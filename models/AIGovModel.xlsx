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/Desktop/Work/modelkit/models/"/>
    </mc:Choice>
  </mc:AlternateContent>
  <xr:revisionPtr revIDLastSave="0" documentId="13_ncr:1_{0FCDEA46-A2F0-D144-8BF9-AD6E7DBA873A}" xr6:coauthVersionLast="47" xr6:coauthVersionMax="47" xr10:uidLastSave="{00000000-0000-0000-0000-000000000000}"/>
  <bookViews>
    <workbookView xWindow="0" yWindow="500" windowWidth="28800" windowHeight="15800" tabRatio="654" activeTab="4" xr2:uid="{0B8283AC-7E92-4B9F-8A89-1226AFE304A8}"/>
  </bookViews>
  <sheets>
    <sheet name="Project Variables" sheetId="5" r:id="rId1"/>
    <sheet name="Target Settings" sheetId="26" r:id="rId2"/>
    <sheet name="Results" sheetId="11" r:id="rId3"/>
    <sheet name="Result Targets" sheetId="12" r:id="rId4"/>
    <sheet name="KPI Impacts" sheetId="23" r:id="rId5"/>
    <sheet name="Startups" sheetId="27" r:id="rId6"/>
    <sheet name="Economy Ministry" sheetId="13" r:id="rId7"/>
    <sheet name="Environment Ministry" sheetId="15" r:id="rId8"/>
    <sheet name="Defence Ministry" sheetId="16" r:id="rId9"/>
    <sheet name="Education Ministry" sheetId="17" r:id="rId10"/>
    <sheet name="Crises" sheetId="9" r:id="rId11"/>
    <sheet name="Breaking News" sheetId="24" r:id="rId12"/>
    <sheet name="Dilemmas" sheetId="25" r:id="rId13"/>
  </sheets>
  <definedNames>
    <definedName name="_C1">Crises!$P$5:$X$5</definedName>
    <definedName name="_C1Enabled">Crises!$P$7:$X$7</definedName>
    <definedName name="_C1Prepared">Crises!$P$8:$X$8</definedName>
    <definedName name="_C1Show">Crises!$P$6:$X$6</definedName>
    <definedName name="_C1ShowCrisisCard">Crises!$P$9:$X$9</definedName>
    <definedName name="_C1Year">Crises!$P$4:$X$4</definedName>
    <definedName name="_C2">Crises!$AD$5:$AL$5</definedName>
    <definedName name="_C2Enabled">Crises!$AD$7:$AL$7</definedName>
    <definedName name="_C2Prepared">Crises!$AD$8:$AL$8</definedName>
    <definedName name="_C2Show">Crises!$AD$6:$AL$6</definedName>
    <definedName name="_C2ShowCrisisCard">Crises!$AD$9:$AL$9</definedName>
    <definedName name="_C2Year">Crises!$AD$4:$AL$4</definedName>
    <definedName name="_C3">Crises!$AR$5:$AZ$5</definedName>
    <definedName name="_C3Enabled">Crises!$AR$7:$AZ$7</definedName>
    <definedName name="_C3Prepared">Crises!$AR$8:$AZ$8</definedName>
    <definedName name="_C3Show">Crises!$AR$6:$AZ$6</definedName>
    <definedName name="_C3ShowCrisisCard">Crises!$AR$9:$AZ$9</definedName>
    <definedName name="_C3Year">Crises!$AR$4:$AZ$4</definedName>
    <definedName name="_C4">Crises!$BF$5:$BN$5</definedName>
    <definedName name="_C4Enabled">Crises!$BF$7:$BN$7</definedName>
    <definedName name="_C4Prepared">Crises!$BF$8:$BN$8</definedName>
    <definedName name="_C4Show">Crises!$BF$6:$BN$6</definedName>
    <definedName name="_C4ShowCrisisCard">Crises!$BF$9:$BN$9</definedName>
    <definedName name="_C4Year">Crises!$BF$4:$BN$4</definedName>
    <definedName name="_C5">Crises!$BT$5:$CB$5</definedName>
    <definedName name="_C5Enabled">Crises!$BT$7:$CB$7</definedName>
    <definedName name="_C5Prepared">Crises!$BT$8:$CB$8</definedName>
    <definedName name="_C5Show">Crises!$BT$6:$CB$6</definedName>
    <definedName name="_C5ShowCrisisCard">Crises!$BT$9:$CB$9</definedName>
    <definedName name="_C5Year">Crises!$BT$4:$CB$4</definedName>
    <definedName name="_C6">Crises!$CH$5:$CP$5</definedName>
    <definedName name="_C6Enabled">Crises!$CH$7:$CP$7</definedName>
    <definedName name="_C6Prepared">Crises!$CH$8:$CP$8</definedName>
    <definedName name="_C6Show">Crises!$CH$6:$CP$6</definedName>
    <definedName name="_C6ShowCrisisCard">Crises!$CH$9:$CP$9</definedName>
    <definedName name="_C6Year">Crises!$CH$4:$CP$4</definedName>
    <definedName name="Accountability">Results!$B$69:$J$69</definedName>
    <definedName name="AIContributionToGDP">Results!$B$73:$J$73</definedName>
    <definedName name="AIContributionToGDPPercOfTargetAchieved">'Result Targets'!$B$73:$J$73</definedName>
    <definedName name="AIContributionToGDPTarget">'Result Targets'!$B$5:$J$5</definedName>
    <definedName name="AIFDIStock">Results!$B$74:$J$74</definedName>
    <definedName name="AIFDIStockPercOfTargetAchieved">'Result Targets'!$B$74:$J$74</definedName>
    <definedName name="AIFDIStockTarget">'Result Targets'!$B$6:$J$6</definedName>
    <definedName name="AIFeedbackEnabled">'Project Variables'!$B$8</definedName>
    <definedName name="AILiteracy">Results!$B$102:$J$102</definedName>
    <definedName name="AILiteracyPercOfTargetAchieved">'Result Targets'!$B$102:$J$102</definedName>
    <definedName name="AILiteracyTarget">'Result Targets'!$B$31:$J$31</definedName>
    <definedName name="AutonomousSystemsSafteyIndex">Results!$B$94:$J$94</definedName>
    <definedName name="AutonomousSystemsSafteyIndexPercOfTargetAchieved">'Result Targets'!$B$94:$J$94</definedName>
    <definedName name="AutonomousSystemsSafteyIndexTarget">'Result Targets'!$B$24:$J$24</definedName>
    <definedName name="AverageMinistryScore">Results!$B$118:$J$118</definedName>
    <definedName name="CarbonIntensityFromDataCenters">Results!$B$83:$J$83</definedName>
    <definedName name="CircularityIndex">Results!$B$87:$J$87</definedName>
    <definedName name="CircularityIndexPercOfTargetAchieved">'Result Targets'!$B$87:$J$87</definedName>
    <definedName name="CircularityIndexTarget">'Result Targets'!$B$18:$J$18</definedName>
    <definedName name="CumulativeStartupImpactYear">Startups!$B$6:$H$6</definedName>
    <definedName name="CybersecurityIndex">Results!$B$93:$J$93</definedName>
    <definedName name="CybersecurityIndexPercOfTargetAchieved">'Result Targets'!$B$93:$J$93</definedName>
    <definedName name="CybersecurityIndexTarget">'Result Targets'!$B$23:$J$23</definedName>
    <definedName name="DefAvaialbleToAllocate">'Defence Ministry'!$B$111:$J$111</definedName>
    <definedName name="DefBudget">'Defence Ministry'!$B$108:$J$108</definedName>
    <definedName name="DefBudgetRemaining">'Defence Ministry'!$B$113:$J$113</definedName>
    <definedName name="DefConfirmed">'Project Variables'!$B$16</definedName>
    <definedName name="DefCumulativeRnDImpactYear">'Defence Ministry'!$M$6:$S$6</definedName>
    <definedName name="DefEnabled">'Project Variables'!$B$22</definedName>
    <definedName name="DefenseExports">Results!$B$95:$J$95</definedName>
    <definedName name="DefenseImports">Results!$B$96:$J$96</definedName>
    <definedName name="DefenseScore">Results!$B$98:$J$98</definedName>
    <definedName name="DefInitialCost">'Defence Ministry'!$B$109:$J$109</definedName>
    <definedName name="DefNextYearReucurringCost">'Defence Ministry'!$B$114:$J$114</definedName>
    <definedName name="DefPro10">'Defence Ministry'!$FQ$4:$FY$4</definedName>
    <definedName name="DefPro10CanCancel">'Defence Ministry'!$FQ$19</definedName>
    <definedName name="DefPro10CostRecurringValue">'Defence Ministry'!$FQ$14</definedName>
    <definedName name="DefPro10CostValue">'Defence Ministry'!$FQ$12</definedName>
    <definedName name="DefPro10Decided2yrsago">'Defence Ministry'!$FQ$10:$FY$10</definedName>
    <definedName name="DefPro10Decidedlastyr">'Defence Ministry'!$FQ$9:$FY$9</definedName>
    <definedName name="DefPro10New">'Defence Ministry'!$FQ$7:$FY$7</definedName>
    <definedName name="DefPro10Reasoning">'Defence Ministry'!$FQ$15</definedName>
    <definedName name="DefPro10Response">'Defence Ministry'!$FQ$16</definedName>
    <definedName name="DefPro10Show">'Defence Ministry'!$FQ$6:$FY$6</definedName>
    <definedName name="DefPro10Sort">'Defence Ministry'!$FQ$8:$FY$8</definedName>
    <definedName name="DefPro10Type">'Defence Ministry'!$FQ$18</definedName>
    <definedName name="DefPro10YearSelected">'Defence Ministry'!$FQ$17</definedName>
    <definedName name="DefPro11">'Defence Ministry'!$GG$4:$GO$4</definedName>
    <definedName name="DefPro11CanCancel">'Defence Ministry'!$GG$19</definedName>
    <definedName name="DefPro11CostRecurringValue">'Defence Ministry'!$GG$14</definedName>
    <definedName name="DefPro11CostValue">'Defence Ministry'!$GG$12</definedName>
    <definedName name="DefPro11Decided2yrsago">'Defence Ministry'!$GG$10:$GO$10</definedName>
    <definedName name="DefPro11Decidedlastyr">'Defence Ministry'!$GG$9:$GO$9</definedName>
    <definedName name="DefPro11New">'Defence Ministry'!$GG$7:$GO$7</definedName>
    <definedName name="DefPro11Reasoning">'Defence Ministry'!$GG$15</definedName>
    <definedName name="DefPro11Response">'Defence Ministry'!$GG$16</definedName>
    <definedName name="DefPro11Show">'Defence Ministry'!$GG$6:$GO$6</definedName>
    <definedName name="DefPro11Sort">'Defence Ministry'!$GG$8:$GO$8</definedName>
    <definedName name="DefPro11Type">'Defence Ministry'!$GG$18</definedName>
    <definedName name="DefPro11YearSelected">'Defence Ministry'!$GG$17</definedName>
    <definedName name="DefPro12">'Defence Ministry'!$GW$4:$HE$4</definedName>
    <definedName name="DefPro12CanCancel">'Defence Ministry'!$GW$19</definedName>
    <definedName name="DefPro12CostRecurringValue">'Defence Ministry'!$GW$14</definedName>
    <definedName name="DefPro12CostValue">'Defence Ministry'!$GW$12</definedName>
    <definedName name="DefPro12Decided2yrsago">'Defence Ministry'!$GW$10:$HE$10</definedName>
    <definedName name="DefPro12Decidedlastyr">'Defence Ministry'!$GW$9:$HE$9</definedName>
    <definedName name="DefPro12New">'Defence Ministry'!$GW$7:$HE$7</definedName>
    <definedName name="DefPro12Reasoning">'Defence Ministry'!$GW$15</definedName>
    <definedName name="DefPro12Response">'Defence Ministry'!$GW$16</definedName>
    <definedName name="DefPro12Show">'Defence Ministry'!$GW$6:$HE$6</definedName>
    <definedName name="DefPro12Sort">'Defence Ministry'!$GW$8:$HE$8</definedName>
    <definedName name="DefPro12Type">'Defence Ministry'!$GW$18</definedName>
    <definedName name="DefPro12YearSelected">'Defence Ministry'!$GW$17</definedName>
    <definedName name="DefPro13">'Defence Ministry'!$HM$4:$HU$4</definedName>
    <definedName name="DefPro13CanCancel">'Defence Ministry'!$HM$19</definedName>
    <definedName name="DefPro13CostRecurringValue">'Defence Ministry'!$HM$14</definedName>
    <definedName name="DefPro13CostValue">'Defence Ministry'!$HM$12</definedName>
    <definedName name="DefPro13Decided2yrsago">'Defence Ministry'!$HM$10:$HU$10</definedName>
    <definedName name="DefPro13Decidedlastyr">'Defence Ministry'!$HM$9:$HU$9</definedName>
    <definedName name="DefPro13New">'Defence Ministry'!$HM$7:$HU$7</definedName>
    <definedName name="DefPro13Reasoning">'Defence Ministry'!$HM$15</definedName>
    <definedName name="DefPro13Response">'Defence Ministry'!$HM$16</definedName>
    <definedName name="DefPro13Show">'Defence Ministry'!$HM$6:$HU$6</definedName>
    <definedName name="DefPro13Sort">'Defence Ministry'!$HM$8:$HU$8</definedName>
    <definedName name="DefPro13Type">'Defence Ministry'!$HM$18</definedName>
    <definedName name="DefPro13YearSelected">'Defence Ministry'!$HM$17</definedName>
    <definedName name="DefPro14">'Defence Ministry'!$IC$4:$IK$4</definedName>
    <definedName name="DefPro14CanCancel">'Defence Ministry'!$IC$19</definedName>
    <definedName name="DefPro14CostRecurringValue">'Defence Ministry'!$IC$14</definedName>
    <definedName name="DefPro14CostValue">'Defence Ministry'!$IC$12</definedName>
    <definedName name="DefPro14Decided2yrsago">'Defence Ministry'!$IC$10:$IK$10</definedName>
    <definedName name="DefPro14Decidedlastyr">'Defence Ministry'!$IC$9:$IK$9</definedName>
    <definedName name="DefPro14New">'Defence Ministry'!$IC$7:$IK$7</definedName>
    <definedName name="DefPro14Reasoning">'Defence Ministry'!$IC$15</definedName>
    <definedName name="DefPro14Response">'Defence Ministry'!$IC$16</definedName>
    <definedName name="DefPro14Show">'Defence Ministry'!$IC$6:$IK$6</definedName>
    <definedName name="DefPro14Sort">'Defence Ministry'!$IC$8:$IK$8</definedName>
    <definedName name="DefPro14Type">'Defence Ministry'!$IC$18</definedName>
    <definedName name="DefPro14YearSelected">'Defence Ministry'!$IC$17</definedName>
    <definedName name="DefPro15">'Defence Ministry'!$IS$4:$JA$4</definedName>
    <definedName name="DefPro15CanCancel">'Defence Ministry'!$IS$19</definedName>
    <definedName name="DefPro15CostRecurringValue">'Defence Ministry'!$IS$14</definedName>
    <definedName name="DefPro15CostValue">'Defence Ministry'!$IS$12</definedName>
    <definedName name="DefPro15Decided2yrsago">'Defence Ministry'!$IS$10:$JA$10</definedName>
    <definedName name="DefPro15Decidedlastyr">'Defence Ministry'!$IS$9:$JA$9</definedName>
    <definedName name="DefPro15New">'Defence Ministry'!$IS$7:$JA$7</definedName>
    <definedName name="DefPro15Reasoning">'Defence Ministry'!$IS$15</definedName>
    <definedName name="DefPro15Response">'Defence Ministry'!$IS$16</definedName>
    <definedName name="DefPro15Show">'Defence Ministry'!$IS$6:$JA$6</definedName>
    <definedName name="DefPro15Sort">'Defence Ministry'!$IS$8:$JA$8</definedName>
    <definedName name="DefPro15Type">'Defence Ministry'!$IS$18</definedName>
    <definedName name="DefPro15YearSelected">'Defence Ministry'!$IS$17</definedName>
    <definedName name="DefPro16">'Defence Ministry'!$JI$4:$JQ$4</definedName>
    <definedName name="DefPro16CanCancel">'Defence Ministry'!$JI$19</definedName>
    <definedName name="DefPro16CostRecurringValue">'Defence Ministry'!$JI$14</definedName>
    <definedName name="DefPro16CostValue">'Defence Ministry'!$JI$12</definedName>
    <definedName name="DefPro16Decided2yrsago">'Defence Ministry'!$JI$10:$JQ$10</definedName>
    <definedName name="DefPro16Decidedlastyr">'Defence Ministry'!$JI$9:$JQ$9</definedName>
    <definedName name="DefPro16New">'Defence Ministry'!$JI$7:$JQ$7</definedName>
    <definedName name="DefPro16Reasoning">'Defence Ministry'!$JI$15</definedName>
    <definedName name="DefPro16Response">'Defence Ministry'!$JI$16</definedName>
    <definedName name="DefPro16Show">'Defence Ministry'!$JI$6:$JQ$6</definedName>
    <definedName name="DefPro16Sort">'Defence Ministry'!$JI$8:$JQ$8</definedName>
    <definedName name="DefPro16Type">'Defence Ministry'!$JI$18</definedName>
    <definedName name="DefPro16YearSelected">'Defence Ministry'!$JI$17</definedName>
    <definedName name="DefPro17">'Defence Ministry'!$JY$4:$KG$4</definedName>
    <definedName name="DefPro17CanCancel">'Defence Ministry'!$JY$19</definedName>
    <definedName name="DefPro17CostRecurringValue">'Defence Ministry'!$JY$14</definedName>
    <definedName name="DefPro17CostValue">'Defence Ministry'!$JY$12</definedName>
    <definedName name="DefPro17Decided2yrsago">'Defence Ministry'!$JY$10:$KG$10</definedName>
    <definedName name="DefPro17Decidedlastyr">'Defence Ministry'!$JY$9:$KG$9</definedName>
    <definedName name="DefPro17New">'Defence Ministry'!$JY$7:$KG$7</definedName>
    <definedName name="DefPro17Reasoning">'Defence Ministry'!$JY$15</definedName>
    <definedName name="DefPro17Response">'Defence Ministry'!$JY$16</definedName>
    <definedName name="DefPro17Show">'Defence Ministry'!$JY$6:$KG$6</definedName>
    <definedName name="DefPro17Sort">'Defence Ministry'!$JY$8:$KG$8</definedName>
    <definedName name="DefPro17Type">'Defence Ministry'!$JY$18</definedName>
    <definedName name="DefPro17YearSelected">'Defence Ministry'!$JY$17</definedName>
    <definedName name="DefPro18">'Defence Ministry'!$KO$4:$KW$4</definedName>
    <definedName name="DefPro18CanCancel">'Defence Ministry'!$KO$19</definedName>
    <definedName name="DefPro18CostRecurringValue">'Defence Ministry'!$KO$14</definedName>
    <definedName name="DefPro18CostValue">'Defence Ministry'!$KO$12</definedName>
    <definedName name="DefPro18Decided2yrsago">'Defence Ministry'!$KO$10:$KW$10</definedName>
    <definedName name="DefPro18Decidedlastyr">'Defence Ministry'!$KO$9:$KW$9</definedName>
    <definedName name="DefPro18New">'Defence Ministry'!$KO$7:$KW$7</definedName>
    <definedName name="DefPro18Reasoning">'Defence Ministry'!$KO$15</definedName>
    <definedName name="DefPro18Response">'Defence Ministry'!$KO$16</definedName>
    <definedName name="DefPro18Show">'Defence Ministry'!$KO$6:$KW$6</definedName>
    <definedName name="DefPro18Sort">'Defence Ministry'!$KO$8:$KW$8</definedName>
    <definedName name="DefPro18YearSelected">'Defence Ministry'!$KO$17</definedName>
    <definedName name="DefPro19">'Defence Ministry'!$LE$4:$LM$4</definedName>
    <definedName name="DefPro19CanCancel">'Defence Ministry'!$LE$19</definedName>
    <definedName name="DefPro19CostRecurringValue">'Defence Ministry'!$LE$14</definedName>
    <definedName name="DefPro19CostValue">'Defence Ministry'!$LE$12</definedName>
    <definedName name="DefPro19Decided2yrsago">'Defence Ministry'!$LE$10:$LM$10</definedName>
    <definedName name="DefPro19Decidedlastyr">'Defence Ministry'!$LE$9:$LM$9</definedName>
    <definedName name="DefPro19New">'Defence Ministry'!$LE$7:$LM$7</definedName>
    <definedName name="DefPro19Reasoning">'Defence Ministry'!$LE$15</definedName>
    <definedName name="DefPro19Response">'Defence Ministry'!$LE$16</definedName>
    <definedName name="DefPro19Show">'Defence Ministry'!$LE$6:$LM$6</definedName>
    <definedName name="DefPro19Sort">'Defence Ministry'!$LE$8:$LM$8</definedName>
    <definedName name="DefPro19YearSelected">'Defence Ministry'!$LE$17</definedName>
    <definedName name="DefPro20">'Defence Ministry'!$LU$4:$MC$4</definedName>
    <definedName name="DefPro20CanCancel">'Defence Ministry'!$LU$19</definedName>
    <definedName name="DefPro20CostRecurringValue">'Defence Ministry'!$LU$14</definedName>
    <definedName name="DefPro20CostValue">'Defence Ministry'!$LU$12</definedName>
    <definedName name="DefPro20Decided2yrsago">'Defence Ministry'!$LU$10:$MC$10</definedName>
    <definedName name="DefPro20Decidedlastyr">'Defence Ministry'!$LU$9:$MC$9</definedName>
    <definedName name="DefPro20New">'Defence Ministry'!$LU$7:$MC$7</definedName>
    <definedName name="DefPro20Reasoning">'Defence Ministry'!$LU$15</definedName>
    <definedName name="DefPro20Response">'Defence Ministry'!$LU$16</definedName>
    <definedName name="DefPro20Show">'Defence Ministry'!$LU$6:$MC$6</definedName>
    <definedName name="DefPro20Sort">'Defence Ministry'!$LU$8:$MC$8</definedName>
    <definedName name="DefPro20YearSelected">'Defence Ministry'!$LU$17</definedName>
    <definedName name="DefPro21">'Defence Ministry'!$MK$4:$MS$4</definedName>
    <definedName name="DefPro21CanCancel">'Defence Ministry'!$MK$19</definedName>
    <definedName name="DefPro21CostRecurringValue">'Defence Ministry'!$MK$14</definedName>
    <definedName name="DefPro21CostValue">'Defence Ministry'!$MK$12</definedName>
    <definedName name="DefPro21Decided2yrsago">'Defence Ministry'!$MK$10:$MS$10</definedName>
    <definedName name="DefPro21Decidedlastyr">'Defence Ministry'!$MK$9:$MS$9</definedName>
    <definedName name="DefPro21New">'Defence Ministry'!$MK$7:$MS$7</definedName>
    <definedName name="DefPro21Reasoning">'Defence Ministry'!$MK$15</definedName>
    <definedName name="DefPro21Response">'Defence Ministry'!$MK$16</definedName>
    <definedName name="DefPro21Show">'Defence Ministry'!$MK$6:$MS$6</definedName>
    <definedName name="DefPro21Sort">'Defence Ministry'!$MK$8:$MS$8</definedName>
    <definedName name="DefPro21YearSelected">'Defence Ministry'!$MK$17</definedName>
    <definedName name="DefPro22">'Defence Ministry'!$NA$4:$NI$4</definedName>
    <definedName name="DefPro22CanCancel">'Defence Ministry'!$NA$19</definedName>
    <definedName name="DefPro22CostRecurringValue">'Defence Ministry'!$NA$14</definedName>
    <definedName name="DefPro22CostValue">'Defence Ministry'!$NA$12</definedName>
    <definedName name="DefPro22Decided2yrsago">'Defence Ministry'!$NA$10:$NI$10</definedName>
    <definedName name="DefPro22Decidedlastyr">'Defence Ministry'!$NA$9:$NI$9</definedName>
    <definedName name="DefPro22New">'Defence Ministry'!$NA$7:$NI$7</definedName>
    <definedName name="DefPro22Reasoning">'Defence Ministry'!$NA$15</definedName>
    <definedName name="DefPro22Response">'Defence Ministry'!$NA$16</definedName>
    <definedName name="DefPro22Show">'Defence Ministry'!$NA$6:$NI$6</definedName>
    <definedName name="DefPro22Sort">'Defence Ministry'!$NA$8:$NI$8</definedName>
    <definedName name="DefPro22YearSelected">'Defence Ministry'!$NA$17</definedName>
    <definedName name="DefPro23">'Defence Ministry'!$NQ$4:$NY$4</definedName>
    <definedName name="DefPro23CanCancel">'Defence Ministry'!$NQ$19</definedName>
    <definedName name="DefPro23CostRecurringValue">'Defence Ministry'!$NQ$14</definedName>
    <definedName name="DefPro23CostValue">'Defence Ministry'!$NQ$12</definedName>
    <definedName name="DefPro23Decided2yrsago">'Defence Ministry'!$NQ$10:$NY$10</definedName>
    <definedName name="DefPro23Decidedlastyr">'Defence Ministry'!$NQ$9:$NY$9</definedName>
    <definedName name="DefPro23New">'Defence Ministry'!$NQ$7:$NY$7</definedName>
    <definedName name="DefPro23Reasoning">'Defence Ministry'!$NQ$15</definedName>
    <definedName name="DefPro23Response">'Defence Ministry'!$NQ$16</definedName>
    <definedName name="DefPro23Show">'Defence Ministry'!$NQ$6:$NY$6</definedName>
    <definedName name="DefPro23Sort">'Defence Ministry'!$NQ$8:$NY$8</definedName>
    <definedName name="DefPro23YearSelected">'Defence Ministry'!$NQ$17</definedName>
    <definedName name="DefPro24">'Defence Ministry'!$OG$4:$OO$4</definedName>
    <definedName name="DefPro24CanCancel">'Defence Ministry'!$OG$19</definedName>
    <definedName name="DefPro24CostRecurringValue">'Defence Ministry'!$OG$14</definedName>
    <definedName name="DefPro24CostValue">'Defence Ministry'!$OG$12</definedName>
    <definedName name="DefPro24Decided2yrsago">'Defence Ministry'!$OG$10:$OO$10</definedName>
    <definedName name="DefPro24Decidedlastyr">'Defence Ministry'!$OG$9:$OO$9</definedName>
    <definedName name="DefPro24New">'Defence Ministry'!$OG$7:$OO$7</definedName>
    <definedName name="DefPro24Reasoning">'Defence Ministry'!$OG$15</definedName>
    <definedName name="DefPro24Response">'Defence Ministry'!$OG$16</definedName>
    <definedName name="DefPro24Show">'Defence Ministry'!$OG$6:$OO$6</definedName>
    <definedName name="DefPro24Sort">'Defence Ministry'!$OG$8:$OO$8</definedName>
    <definedName name="DefPro24YearSelected">'Defence Ministry'!$OG$17</definedName>
    <definedName name="DefPro3">'Defence Ministry'!$BI$4:$BQ$4</definedName>
    <definedName name="DefPro3CanCancel">'Defence Ministry'!$BI$19</definedName>
    <definedName name="DefPro3CostRecurringValue">'Defence Ministry'!$BI$14</definedName>
    <definedName name="DefPro3CostValue">'Defence Ministry'!$BI$12</definedName>
    <definedName name="DefPro3Decided2yrsago">'Defence Ministry'!$BI$10:$BQ$10</definedName>
    <definedName name="DefPro3Decidedlastyr">'Defence Ministry'!$BI$9:$BQ$9</definedName>
    <definedName name="DefPro3New">'Defence Ministry'!$BI$7:$BQ$7</definedName>
    <definedName name="DefPro3Reasoning">'Defence Ministry'!$BI$15</definedName>
    <definedName name="DefPro3Response">'Defence Ministry'!$BI$16</definedName>
    <definedName name="DefPro3Show">'Defence Ministry'!$BI$6:$BQ$6</definedName>
    <definedName name="DefPro3Sort">'Defence Ministry'!$BI$8:$BQ$8</definedName>
    <definedName name="DefPro3Type">'Defence Ministry'!$BI$18</definedName>
    <definedName name="DefPro3YearSelected">'Defence Ministry'!$BI$17</definedName>
    <definedName name="DefPro4">'Defence Ministry'!$BY$4:$CG$4</definedName>
    <definedName name="DefPro4CanCancel">'Defence Ministry'!$BY$19</definedName>
    <definedName name="DefPro4CostRecurringValue">'Defence Ministry'!$BY$14</definedName>
    <definedName name="DefPro4CostValue">'Defence Ministry'!$BY$12</definedName>
    <definedName name="DefPro4Decided2yrsago">'Defence Ministry'!$BY$10:$CG$10</definedName>
    <definedName name="DefPro4Decidedlastyr">'Defence Ministry'!$BY$9:$CG$9</definedName>
    <definedName name="DefPro4New">'Defence Ministry'!$BY$7:$CG$7</definedName>
    <definedName name="DefPro4Reasoning">'Defence Ministry'!$BY$15</definedName>
    <definedName name="DefPro4Response">'Defence Ministry'!$BY$16</definedName>
    <definedName name="DefPro4Show">'Defence Ministry'!$BY$6:$CG$6</definedName>
    <definedName name="DefPro4Sort">'Defence Ministry'!$BY$8:$CG$8</definedName>
    <definedName name="DefPro4Type">'Defence Ministry'!$BY$18</definedName>
    <definedName name="DefPro4YearSelected">'Defence Ministry'!$BY$17</definedName>
    <definedName name="DefPro5">'Defence Ministry'!$CO$4:$CW$4</definedName>
    <definedName name="DefPro5CanCancel">'Defence Ministry'!$CO$19</definedName>
    <definedName name="DefPro5CostRecurringValue">'Defence Ministry'!$CO$14</definedName>
    <definedName name="DefPro5CostValue">'Defence Ministry'!$CO$12</definedName>
    <definedName name="DefPro5Decided2yrsago">'Defence Ministry'!$CO$10:$CW$10</definedName>
    <definedName name="DefPro5Decidedlastyr">'Defence Ministry'!$CO$9:$CW$9</definedName>
    <definedName name="DefPro5New">'Defence Ministry'!$CO$7:$CW$7</definedName>
    <definedName name="DefPro5Reasoning">'Defence Ministry'!$CO$15</definedName>
    <definedName name="DefPro5Response">'Defence Ministry'!$CO$16</definedName>
    <definedName name="DefPro5Show">'Defence Ministry'!$CO$6:$CW$6</definedName>
    <definedName name="DefPro5Sort">'Defence Ministry'!$CO$8:$CW$8</definedName>
    <definedName name="DefPro5Type">'Defence Ministry'!$CO$18</definedName>
    <definedName name="DefPro5YearSelected">'Defence Ministry'!$CO$17</definedName>
    <definedName name="DefPro6">'Defence Ministry'!$DE$4:$DM$4</definedName>
    <definedName name="DefPro6CanCancel">'Defence Ministry'!$DE$19</definedName>
    <definedName name="DefPro6CostRecurringValue">'Defence Ministry'!$DE$14</definedName>
    <definedName name="DefPro6CostValue">'Defence Ministry'!$DE$12</definedName>
    <definedName name="DefPro6Decided2yrsago">'Defence Ministry'!$DE$10:$DM$10</definedName>
    <definedName name="DefPro6Decidedlastyr">'Defence Ministry'!$DE$9:$DM$9</definedName>
    <definedName name="DefPro6New">'Defence Ministry'!$DE$7:$DM$7</definedName>
    <definedName name="DefPro6Reasoning">'Defence Ministry'!$DE$15</definedName>
    <definedName name="DefPro6Response">'Defence Ministry'!$DE$16</definedName>
    <definedName name="DefPro6Show">'Defence Ministry'!$DE$6:$DM$6</definedName>
    <definedName name="DefPro6Sort">'Defence Ministry'!$DE$8:$DM$8</definedName>
    <definedName name="DefPro6Type">'Defence Ministry'!$DE$18</definedName>
    <definedName name="DefPro6YearSelected">'Defence Ministry'!$DE$17</definedName>
    <definedName name="DefPro7">'Defence Ministry'!$DU$4:$EC$4</definedName>
    <definedName name="DefPro7CanCancel">'Defence Ministry'!$DU$19</definedName>
    <definedName name="DefPro7CostRecurringValue">'Defence Ministry'!$DU$14</definedName>
    <definedName name="DefPro7CostValue">'Defence Ministry'!$DU$12</definedName>
    <definedName name="DefPro7Decided2yrsago">'Defence Ministry'!$DU$10:$EC$10</definedName>
    <definedName name="DefPro7Decidedlastyr">'Defence Ministry'!$DU$9:$EC$9</definedName>
    <definedName name="DefPro7New">'Defence Ministry'!$DU$7:$EC$7</definedName>
    <definedName name="DefPro7Reasoning">'Defence Ministry'!$DU$15</definedName>
    <definedName name="DefPro7Response">'Defence Ministry'!$DU$16</definedName>
    <definedName name="DefPro7Show">'Defence Ministry'!$DU$6:$EC$6</definedName>
    <definedName name="DefPro7Sort">'Defence Ministry'!$DU$8:$EC$8</definedName>
    <definedName name="DefPro7Type">'Defence Ministry'!$DU$18</definedName>
    <definedName name="DefPro7YearSelected">'Defence Ministry'!$DU$17</definedName>
    <definedName name="DefPro8">'Defence Ministry'!$EK$4:$ES$4</definedName>
    <definedName name="DefPro8CanCancel">'Defence Ministry'!$EK$19</definedName>
    <definedName name="DefPro8CostRecurringValue">'Defence Ministry'!$EK$14</definedName>
    <definedName name="DefPro8CostValue">'Defence Ministry'!$EK$12</definedName>
    <definedName name="DefPro8Decided2yrsago">'Defence Ministry'!$EK$10:$ES$10</definedName>
    <definedName name="DefPro8Decidedlastyr">'Defence Ministry'!$EK$9:$ES$9</definedName>
    <definedName name="DefPro8New">'Defence Ministry'!$EK$7:$ES$7</definedName>
    <definedName name="DefPro8Reasoning">'Defence Ministry'!$EK$15</definedName>
    <definedName name="DefPro8Response">'Defence Ministry'!$EK$16</definedName>
    <definedName name="DefPro8Show">'Defence Ministry'!$EK$6:$ES$6</definedName>
    <definedName name="DefPro8Sort">'Defence Ministry'!$EK$8:$ES$8</definedName>
    <definedName name="DefPro8Type">'Defence Ministry'!$EK$18</definedName>
    <definedName name="DefPro8YearSelected">'Defence Ministry'!$EK$17</definedName>
    <definedName name="DefPro9">'Defence Ministry'!$FA$4:$FI$4</definedName>
    <definedName name="DefPro9CanCancel">'Defence Ministry'!$FA$19</definedName>
    <definedName name="DefPro9CostRecurringValue">'Defence Ministry'!$FA$14</definedName>
    <definedName name="DefPro9CostValue">'Defence Ministry'!$FA$12</definedName>
    <definedName name="DefPro9Decided2yrsago">'Defence Ministry'!$FA$10:$FI$10</definedName>
    <definedName name="DefPro9Decidedlastyr">'Defence Ministry'!$FA$9:$FI$9</definedName>
    <definedName name="DefPro9New">'Defence Ministry'!$FA$7:$FI$7</definedName>
    <definedName name="DefPro9Reasoning">'Defence Ministry'!$FA$15</definedName>
    <definedName name="DefPro9Response">'Defence Ministry'!$FA$16</definedName>
    <definedName name="DefPro9Show">'Defence Ministry'!$FA$6:$FI$6</definedName>
    <definedName name="DefPro9Sort">'Defence Ministry'!$FA$8:$FI$8</definedName>
    <definedName name="DefPro9Type">'Defence Ministry'!$FA$18</definedName>
    <definedName name="DefPro9YearSelected">'Defence Ministry'!$FA$17</definedName>
    <definedName name="DefRecurringCost">'Defence Ministry'!$B$110:$J$110</definedName>
    <definedName name="DefSlider1">'Defence Ministry'!$Y$4:$AG$4</definedName>
    <definedName name="DefSlider1Cost">'Defence Ministry'!$Y$6:$AG$6</definedName>
    <definedName name="DefSlider1LastYear">'Defence Ministry'!$Y$5:$AG$5</definedName>
    <definedName name="DefSlider2">'Defence Ministry'!$AQ$4:$AY$4</definedName>
    <definedName name="DefSlider2Cost">'Defence Ministry'!$AQ$6:$AY$6</definedName>
    <definedName name="DefSlider2LastYear">'Defence Ministry'!$AQ$5:$AY$5</definedName>
    <definedName name="DefTotalCost">'Defence Ministry'!$B$112:$J$112</definedName>
    <definedName name="EcAvaialbleToAllocate">'Economy Ministry'!$B$111:$J$111</definedName>
    <definedName name="EcBudget">'Economy Ministry'!$B$108:$J$108</definedName>
    <definedName name="EcBudgetRemaining">'Economy Ministry'!$B$113:$J$113</definedName>
    <definedName name="EcCarriedOverBudget">'Economy Ministry'!$B$117:$J$117</definedName>
    <definedName name="EcConfirmed">'Project Variables'!$B$14</definedName>
    <definedName name="EcCumulativeRnDImpactYear">'Economy Ministry'!$M$6:$S$6</definedName>
    <definedName name="EcEnabled">'Project Variables'!$B$20</definedName>
    <definedName name="EcInitialCost">'Economy Ministry'!$B$109:$J$109</definedName>
    <definedName name="EcInvBudget">'Economy Ministry'!$B$116:$J$116</definedName>
    <definedName name="EcInvBudgetRemaining">'Economy Ministry'!$B$119:$J$119</definedName>
    <definedName name="EcNextYearReucurringCost">'Economy Ministry'!$B$114:$J$114</definedName>
    <definedName name="EcNumInisRelLastYr">'Economy Ministry'!$B$122:$J$122</definedName>
    <definedName name="EconomyScore">Results!$B$78:$J$78</definedName>
    <definedName name="EcosystemIntegrityIndex">Results!$B$88:$J$88</definedName>
    <definedName name="EcosystemIntegrityIndexPercOfTargetAchieved">'Result Targets'!$B$88:$J$88</definedName>
    <definedName name="EcosystemIntegrityIndexTarget">'Result Targets'!$B$19:$J$19</definedName>
    <definedName name="EcPro10">'Economy Ministry'!$FQ$4:$FY$4</definedName>
    <definedName name="EcPro10CanCancel">'Economy Ministry'!$FQ$19</definedName>
    <definedName name="EcPro10CostRecurringValue">'Economy Ministry'!$FQ$14</definedName>
    <definedName name="EcPro10CostValue">'Economy Ministry'!$FQ$12</definedName>
    <definedName name="EcPro10Decided2yrsago">'Economy Ministry'!$FQ$10:$FY$10</definedName>
    <definedName name="EcPro10Decidedlastyr">'Economy Ministry'!$FQ$9:$FY$9</definedName>
    <definedName name="EcPro10New">'Economy Ministry'!$FQ$7:$FY$7</definedName>
    <definedName name="EcPro10Reasoning">'Economy Ministry'!$FQ$15</definedName>
    <definedName name="EcPro10Response">'Economy Ministry'!$FQ$16</definedName>
    <definedName name="EcPro10Show">'Economy Ministry'!$FQ$6:$FY$6</definedName>
    <definedName name="EcPro10Sort">'Economy Ministry'!$FQ$8:$FY$8</definedName>
    <definedName name="EcPro10Type">'Economy Ministry'!$FQ$18</definedName>
    <definedName name="EcPro10YearSelected">'Economy Ministry'!$FQ$17</definedName>
    <definedName name="EcPro11">'Economy Ministry'!$GG$4:$GO$4</definedName>
    <definedName name="EcPro11CanCancel">'Economy Ministry'!$GG$19</definedName>
    <definedName name="EcPro11CostRecurringValue">'Economy Ministry'!$GG$14</definedName>
    <definedName name="EcPro11CostValue">'Economy Ministry'!$GG$12</definedName>
    <definedName name="EcPro11Decided2yrsago">'Economy Ministry'!$GG$10:$GO$10</definedName>
    <definedName name="EcPro11Decidedlastyr">'Economy Ministry'!$GG$9:$GO$9</definedName>
    <definedName name="EcPro11New">'Economy Ministry'!$GG$7:$GO$7</definedName>
    <definedName name="EcPro11Reasoning">'Economy Ministry'!$GG$15</definedName>
    <definedName name="EcPro11Response">'Economy Ministry'!$GG$16</definedName>
    <definedName name="EcPro11Show">'Economy Ministry'!$GG$6:$GO$6</definedName>
    <definedName name="EcPro11Sort">'Economy Ministry'!$GG$8:$GO$8</definedName>
    <definedName name="EcPro11Type">'Economy Ministry'!$GG$18</definedName>
    <definedName name="EcPro11YearSelected">'Economy Ministry'!$GG$17</definedName>
    <definedName name="EcPro12">'Economy Ministry'!$GW$4:$HE$4</definedName>
    <definedName name="EcPro12CanCancel">'Economy Ministry'!$GW$19</definedName>
    <definedName name="EcPro12CostRecurringValue">'Economy Ministry'!$GW$14</definedName>
    <definedName name="EcPro12CostValue">'Economy Ministry'!$GW$12</definedName>
    <definedName name="EcPro12Decided2yrsago">'Economy Ministry'!$GW$10:$HE$10</definedName>
    <definedName name="EcPro12Decidedlastyr">'Economy Ministry'!$GW$9:$HE$9</definedName>
    <definedName name="EcPro12New">'Economy Ministry'!$GW$7:$HE$7</definedName>
    <definedName name="EcPro12Reasoning">'Economy Ministry'!$GW$15</definedName>
    <definedName name="EcPro12Response">'Economy Ministry'!$GW$16</definedName>
    <definedName name="EcPro12Show">'Economy Ministry'!$GW$6:$HE$6</definedName>
    <definedName name="EcPro12Sort">'Economy Ministry'!$GW$8:$HE$8</definedName>
    <definedName name="EcPro12Type">'Economy Ministry'!$GW$18</definedName>
    <definedName name="EcPro12YearSelected">'Economy Ministry'!$GW$17</definedName>
    <definedName name="EcPro13">'Economy Ministry'!$HM$4:$HU$4</definedName>
    <definedName name="EcPro13CanCancel">'Economy Ministry'!$HM$19</definedName>
    <definedName name="EcPro13CostRecurringValue">'Economy Ministry'!$HM$14</definedName>
    <definedName name="EcPro13CostValue">'Economy Ministry'!$HM$12</definedName>
    <definedName name="EcPro13Decided2yrsago">'Economy Ministry'!$HM$10:$HU$10</definedName>
    <definedName name="EcPro13Decidedlastyr">'Economy Ministry'!$HM$9:$HU$9</definedName>
    <definedName name="EcPro13New">'Economy Ministry'!$HM$7:$HU$7</definedName>
    <definedName name="EcPro13Reasoning">'Economy Ministry'!$HM$15</definedName>
    <definedName name="EcPro13Response">'Economy Ministry'!$HM$16</definedName>
    <definedName name="EcPro13Show">'Economy Ministry'!$HM$6:$HU$6</definedName>
    <definedName name="EcPro13Sort">'Economy Ministry'!$HM$8:$HU$8</definedName>
    <definedName name="EcPro13Type">'Economy Ministry'!$HM$18</definedName>
    <definedName name="EcPro13YearSelected">'Economy Ministry'!$HM$17</definedName>
    <definedName name="EcPro14">'Economy Ministry'!$IC$4:$IK$4</definedName>
    <definedName name="EcPro14CanCancel">'Economy Ministry'!$IC$19</definedName>
    <definedName name="EcPro14CostRecurringValue">'Economy Ministry'!$IC$14</definedName>
    <definedName name="EcPro14CostValue">'Economy Ministry'!$IC$12</definedName>
    <definedName name="EcPro14Decided2yrsago">'Economy Ministry'!$IC$10:$IK$10</definedName>
    <definedName name="EcPro14Decidedlastyr">'Economy Ministry'!$IC$9:$IK$9</definedName>
    <definedName name="EcPro14New">'Economy Ministry'!$IC$7:$IK$7</definedName>
    <definedName name="EcPro14Reasoning">'Economy Ministry'!$IC$15</definedName>
    <definedName name="EcPro14Response">'Economy Ministry'!$IC$16</definedName>
    <definedName name="EcPro14Show">'Economy Ministry'!$IC$6:$IK$6</definedName>
    <definedName name="EcPro14Sort">'Economy Ministry'!$IC$8:$IK$8</definedName>
    <definedName name="EcPro14Type">'Economy Ministry'!$IC$18</definedName>
    <definedName name="EcPro14YearSelected">'Economy Ministry'!$IC$17</definedName>
    <definedName name="EcPro15">'Economy Ministry'!$IS$4:$JA$4</definedName>
    <definedName name="EcPro15CanCancel">'Economy Ministry'!$IS$19</definedName>
    <definedName name="EcPro15CostRecurringValue">'Economy Ministry'!$IS$14</definedName>
    <definedName name="EcPro15CostValue">'Economy Ministry'!$IS$12</definedName>
    <definedName name="EcPro15Decided2yrsago">'Economy Ministry'!$IS$10:$JA$10</definedName>
    <definedName name="EcPro15Decidedlastyr">'Economy Ministry'!$IS$9:$JA$9</definedName>
    <definedName name="EcPro15New">'Economy Ministry'!$IS$7:$JA$7</definedName>
    <definedName name="EcPro15Reasoning">'Economy Ministry'!$IS$15</definedName>
    <definedName name="EcPro15Response">'Economy Ministry'!$IS$16</definedName>
    <definedName name="EcPro15Show">'Economy Ministry'!$IS$6:$JA$6</definedName>
    <definedName name="EcPro15Sort">'Economy Ministry'!$IS$8:$JA$8</definedName>
    <definedName name="EcPro15Type">'Economy Ministry'!$IS$18</definedName>
    <definedName name="EcPro15YearSelected">'Economy Ministry'!$IS$17</definedName>
    <definedName name="EcPro16">'Economy Ministry'!$JI$4:$JQ$4</definedName>
    <definedName name="EcPro16CanCancel">'Economy Ministry'!$JI$19</definedName>
    <definedName name="EcPro16CostRecurringValue">'Economy Ministry'!$JI$14</definedName>
    <definedName name="EcPro16CostValue">'Economy Ministry'!$JI$12</definedName>
    <definedName name="EcPro16Decided2yrsago">'Economy Ministry'!$JI$10:$JQ$10</definedName>
    <definedName name="EcPro16Decidedlastyr">'Economy Ministry'!$JI$9:$JQ$9</definedName>
    <definedName name="EcPro16New">'Economy Ministry'!$JI$7:$JQ$7</definedName>
    <definedName name="EcPro16Reasoning">'Economy Ministry'!$JI$15</definedName>
    <definedName name="EcPro16Response">'Economy Ministry'!$JI$16</definedName>
    <definedName name="EcPro16Show">'Economy Ministry'!$JI$6:$JQ$6</definedName>
    <definedName name="EcPro16Sort">'Economy Ministry'!$JI$8:$JQ$8</definedName>
    <definedName name="EcPro16Type">'Economy Ministry'!$JI$18</definedName>
    <definedName name="EcPro16YearSelected">'Economy Ministry'!$JI$17</definedName>
    <definedName name="EcPro17">'Economy Ministry'!$JY$4:$KG$4</definedName>
    <definedName name="EcPro17CanCancel">'Economy Ministry'!$JY$19</definedName>
    <definedName name="EcPro17CostRecurringValue">'Economy Ministry'!$JY$14</definedName>
    <definedName name="EcPro17CostValue">'Economy Ministry'!$JY$12</definedName>
    <definedName name="EcPro17Decided2yrsago">'Economy Ministry'!$JY$10:$KG$10</definedName>
    <definedName name="EcPro17Decidedlastyr">'Economy Ministry'!$JY$9:$KG$9</definedName>
    <definedName name="EcPro17New">'Economy Ministry'!$JY$7:$KG$7</definedName>
    <definedName name="EcPro17Reasoning">'Economy Ministry'!$JY$15</definedName>
    <definedName name="EcPro17Response">'Economy Ministry'!$JY$16</definedName>
    <definedName name="EcPro17Show">'Economy Ministry'!$JY$6:$KG$6</definedName>
    <definedName name="EcPro17Sort">'Economy Ministry'!$JY$8:$KG$8</definedName>
    <definedName name="EcPro17Type">'Economy Ministry'!$JY$18</definedName>
    <definedName name="EcPro17YearSelected">'Economy Ministry'!$JY$17</definedName>
    <definedName name="EcPro18">'Economy Ministry'!$KO$4:$KW$4</definedName>
    <definedName name="EcPro18CanCancel">'Economy Ministry'!$KO$19</definedName>
    <definedName name="EcPro18CostRecurringValue">'Economy Ministry'!$KO$14</definedName>
    <definedName name="EcPro18CostValue">'Economy Ministry'!$KO$12</definedName>
    <definedName name="EcPro18Decided2yrsago">'Economy Ministry'!$KO$10:$KW$10</definedName>
    <definedName name="EcPro18Decidedlastyr">'Economy Ministry'!$KO$9:$KW$9</definedName>
    <definedName name="EcPro18New">'Economy Ministry'!$KO$7:$KW$7</definedName>
    <definedName name="EcPro18Reasoning">'Economy Ministry'!$KO$15</definedName>
    <definedName name="EcPro18Response">'Economy Ministry'!$KO$16</definedName>
    <definedName name="EcPro18Show">'Economy Ministry'!$KO$6:$KW$6</definedName>
    <definedName name="EcPro18Sort">'Economy Ministry'!$KO$8:$KW$8</definedName>
    <definedName name="EcPro18YearSelected">'Economy Ministry'!$KO$17</definedName>
    <definedName name="EcPro19">'Economy Ministry'!$LE$4:$LM$4</definedName>
    <definedName name="EcPro19CanCancel">'Economy Ministry'!$LE$19</definedName>
    <definedName name="EcPro19CostRecurringValue">'Economy Ministry'!$LE$14</definedName>
    <definedName name="EcPro19CostValue">'Economy Ministry'!$LE$12</definedName>
    <definedName name="EcPro19Decided2yrsago">'Economy Ministry'!$LE$10:$LM$10</definedName>
    <definedName name="EcPro19Decidedlastyr">'Economy Ministry'!$LE$9:$LM$9</definedName>
    <definedName name="EcPro19New">'Economy Ministry'!$LE$7:$LM$7</definedName>
    <definedName name="EcPro19Reasoning">'Economy Ministry'!$LE$15</definedName>
    <definedName name="EcPro19Response">'Economy Ministry'!$LE$16</definedName>
    <definedName name="EcPro19Show">'Economy Ministry'!$LE$6:$LM$6</definedName>
    <definedName name="EcPro19Sort">'Economy Ministry'!$LE$8:$LM$8</definedName>
    <definedName name="EcPro19YearSelected">'Economy Ministry'!$LE$17</definedName>
    <definedName name="EcPro20">'Economy Ministry'!$LU$4:$MC$4</definedName>
    <definedName name="EcPro20CanCancel">'Economy Ministry'!$LU$19</definedName>
    <definedName name="EcPro20CostRecurringValue">'Economy Ministry'!$LU$14</definedName>
    <definedName name="EcPro20CostValue">'Economy Ministry'!$LU$12</definedName>
    <definedName name="EcPro20Decided2yrsago">'Economy Ministry'!$LU$10:$MC$10</definedName>
    <definedName name="EcPro20Decidedlastyr">'Economy Ministry'!$LU$9:$MC$9</definedName>
    <definedName name="EcPro20New">'Economy Ministry'!$LU$7:$MC$7</definedName>
    <definedName name="EcPro20Reasoning">'Economy Ministry'!$LU$15</definedName>
    <definedName name="EcPro20Response">'Economy Ministry'!$LU$16</definedName>
    <definedName name="EcPro20Show">'Economy Ministry'!$LU$6:$MC$6</definedName>
    <definedName name="EcPro20Sort">'Economy Ministry'!$LU$8:$MC$8</definedName>
    <definedName name="EcPro20YearSelected">'Economy Ministry'!$LU$17</definedName>
    <definedName name="EcPro21">'Economy Ministry'!$MK$4:$MS$4</definedName>
    <definedName name="EcPro21CanCancel">'Economy Ministry'!$MK$19</definedName>
    <definedName name="EcPro21CostRecurringValue">'Economy Ministry'!$MK$14</definedName>
    <definedName name="EcPro21CostValue">'Economy Ministry'!$MK$12</definedName>
    <definedName name="EcPro21Decided2yrsago">'Economy Ministry'!$MK$10:$MS$10</definedName>
    <definedName name="EcPro21Decidedlastyr">'Economy Ministry'!$MK$9:$MS$9</definedName>
    <definedName name="EcPro21New">'Economy Ministry'!$MK$7:$MS$7</definedName>
    <definedName name="EcPro21Reasoning">'Economy Ministry'!$MK$15</definedName>
    <definedName name="EcPro21Response">'Economy Ministry'!$MK$16</definedName>
    <definedName name="EcPro21Show">'Economy Ministry'!$MK$6:$MS$6</definedName>
    <definedName name="EcPro21Sort">'Economy Ministry'!$MK$8:$MS$8</definedName>
    <definedName name="EcPro21YearSelected">'Economy Ministry'!$MK$17</definedName>
    <definedName name="EcPro22">'Economy Ministry'!$NA$4:$NI$4</definedName>
    <definedName name="EcPro22CanCancel">'Economy Ministry'!$NA$19</definedName>
    <definedName name="EcPro22CostRecurringValue">'Economy Ministry'!$NA$14</definedName>
    <definedName name="EcPro22CostValue">'Economy Ministry'!$NA$12</definedName>
    <definedName name="EcPro22Decided2yrsago">'Economy Ministry'!$NA$10:$NI$10</definedName>
    <definedName name="EcPro22Decidedlastyr">'Economy Ministry'!$NA$9:$NI$9</definedName>
    <definedName name="EcPro22New">'Economy Ministry'!$NA$7:$NI$7</definedName>
    <definedName name="EcPro22Reasoning">'Economy Ministry'!$NA$15</definedName>
    <definedName name="EcPro22Response">'Economy Ministry'!$NA$16</definedName>
    <definedName name="EcPro22Show">'Economy Ministry'!$NA$6:$NI$6</definedName>
    <definedName name="EcPro22Sort">'Economy Ministry'!$NA$8:$NI$8</definedName>
    <definedName name="EcPro22YearSelected">'Economy Ministry'!$NA$17</definedName>
    <definedName name="EcPro23">'Economy Ministry'!$NQ$4:$NY$4</definedName>
    <definedName name="EcPro23CanCancel">'Economy Ministry'!$NQ$19</definedName>
    <definedName name="EcPro23CostRecurringValue">'Economy Ministry'!$NQ$14</definedName>
    <definedName name="EcPro23CostValue">'Economy Ministry'!$NQ$12</definedName>
    <definedName name="EcPro23Decided2yrsago">'Economy Ministry'!$NQ$10:$NY$10</definedName>
    <definedName name="EcPro23Decidedlastyr">'Economy Ministry'!$NQ$9:$NY$9</definedName>
    <definedName name="EcPro23New">'Economy Ministry'!$NQ$7:$NY$7</definedName>
    <definedName name="EcPro23Reasoning">'Economy Ministry'!$NQ$15</definedName>
    <definedName name="EcPro23Response">'Economy Ministry'!$NQ$16</definedName>
    <definedName name="EcPro23Show">'Economy Ministry'!$NQ$6:$NY$6</definedName>
    <definedName name="EcPro23Sort">'Economy Ministry'!$NQ$8:$NY$8</definedName>
    <definedName name="EcPro23YearSelected">'Economy Ministry'!$NQ$17</definedName>
    <definedName name="EcPro24">'Economy Ministry'!$OG$4:$OO$4</definedName>
    <definedName name="EcPro24CanCancel">'Economy Ministry'!$OG$19</definedName>
    <definedName name="EcPro24CostRecurringValue">'Economy Ministry'!$OG$14</definedName>
    <definedName name="EcPro24CostValue">'Economy Ministry'!$OG$12</definedName>
    <definedName name="EcPro24Decided2yrsago">'Economy Ministry'!$OG$10:$OO$10</definedName>
    <definedName name="EcPro24Decidedlastyr">'Economy Ministry'!$OG$9:$OO$9</definedName>
    <definedName name="EcPro24New">'Economy Ministry'!$OG$7:$OO$7</definedName>
    <definedName name="EcPro24Reasoning">'Economy Ministry'!$OG$15</definedName>
    <definedName name="EcPro24Response">'Economy Ministry'!$OG$16</definedName>
    <definedName name="EcPro24Show">'Economy Ministry'!$OG$6:$OO$6</definedName>
    <definedName name="EcPro24Sort">'Economy Ministry'!$OG$8:$OO$8</definedName>
    <definedName name="EcPro24YearSelected">'Economy Ministry'!$OG$17</definedName>
    <definedName name="EcPro3">'Economy Ministry'!$BI$4:$BQ$4</definedName>
    <definedName name="EcPro3CanCancel">'Economy Ministry'!$BI$19</definedName>
    <definedName name="EcPro3CostRecurringValue">'Economy Ministry'!$BI$14</definedName>
    <definedName name="EcPro3CostValue">'Economy Ministry'!$BI$12</definedName>
    <definedName name="EcPro3Decided2yrsago">'Economy Ministry'!$BI$10:$BQ$10</definedName>
    <definedName name="EcPro3Decidedlastyr">'Economy Ministry'!$BI$9:$BQ$9</definedName>
    <definedName name="EcPro3New">'Economy Ministry'!$BI$7:$BQ$7</definedName>
    <definedName name="EcPro3Reasoning">'Economy Ministry'!$BI$15</definedName>
    <definedName name="EcPro3Response">'Economy Ministry'!$BI$16</definedName>
    <definedName name="EcPro3Show">'Economy Ministry'!$BI$6:$BQ$6</definedName>
    <definedName name="EcPro3Sort">'Economy Ministry'!$BI$8:$BQ$8</definedName>
    <definedName name="EcPro3Type">'Economy Ministry'!$BI$18</definedName>
    <definedName name="EcPro3YearSelected">'Economy Ministry'!$BI$17</definedName>
    <definedName name="EcPro4">'Economy Ministry'!$BY$4:$CG$4</definedName>
    <definedName name="EcPro4CanCancel">'Economy Ministry'!$BY$19</definedName>
    <definedName name="EcPro4CostRecurringValue">'Economy Ministry'!$BY$14</definedName>
    <definedName name="EcPro4CostValue">'Economy Ministry'!$BY$12</definedName>
    <definedName name="EcPro4Decided2yrsago">'Economy Ministry'!$BY$10:$CG$10</definedName>
    <definedName name="EcPro4Decidedlastyr">'Economy Ministry'!$BY$9:$CG$9</definedName>
    <definedName name="EcPro4New">'Economy Ministry'!$BY$7:$CG$7</definedName>
    <definedName name="EcPro4Reasoning">'Economy Ministry'!$BY$15</definedName>
    <definedName name="EcPro4Response">'Economy Ministry'!$BY$16</definedName>
    <definedName name="EcPro4Show">'Economy Ministry'!$BY$6:$CG$6</definedName>
    <definedName name="EcPro4Sort">'Economy Ministry'!$BY$8:$CG$8</definedName>
    <definedName name="EcPro4Type">'Economy Ministry'!$BY$18</definedName>
    <definedName name="EcPro4YearSelected">'Economy Ministry'!$BY$17</definedName>
    <definedName name="EcPro5">'Economy Ministry'!$CO$4:$CW$4</definedName>
    <definedName name="EcPro5CanCancel">'Economy Ministry'!$CO$19</definedName>
    <definedName name="EcPro5CostRecurringValue">'Economy Ministry'!$CO$14</definedName>
    <definedName name="EcPro5CostValue">'Economy Ministry'!$CO$12</definedName>
    <definedName name="EcPro5Decided2yrsago">'Economy Ministry'!$CO$10:$CW$10</definedName>
    <definedName name="EcPro5Decidedlastyr">'Economy Ministry'!$CO$9:$CW$9</definedName>
    <definedName name="EcPro5New">'Economy Ministry'!$CO$7:$CW$7</definedName>
    <definedName name="EcPro5Reasoning">'Economy Ministry'!$CO$15</definedName>
    <definedName name="EcPro5Response">'Economy Ministry'!$CO$16</definedName>
    <definedName name="EcPro5Show">'Economy Ministry'!$CO$6:$CW$6</definedName>
    <definedName name="EcPro5Sort">'Economy Ministry'!$CO$8:$CW$8</definedName>
    <definedName name="EcPro5Type">'Economy Ministry'!$CO$18</definedName>
    <definedName name="EcPro5YearSelected">'Economy Ministry'!$CO$17</definedName>
    <definedName name="EcPro6">'Economy Ministry'!$DE$4:$DM$4</definedName>
    <definedName name="EcPro6CanCancel">'Economy Ministry'!$DE$19</definedName>
    <definedName name="EcPro6CostRecurringValue">'Economy Ministry'!$DE$14</definedName>
    <definedName name="EcPro6CostValue">'Economy Ministry'!$DE$12</definedName>
    <definedName name="EcPro6Decided2yrsago">'Economy Ministry'!$DE$10:$DM$10</definedName>
    <definedName name="EcPro6Decidedlastyr">'Economy Ministry'!$DE$9:$DM$9</definedName>
    <definedName name="EcPro6New">'Economy Ministry'!$DE$7:$DM$7</definedName>
    <definedName name="EcPro6Reasoning">'Economy Ministry'!$DE$15</definedName>
    <definedName name="EcPro6Response">'Economy Ministry'!$DE$16</definedName>
    <definedName name="EcPro6Show">'Economy Ministry'!$DE$6:$DM$6</definedName>
    <definedName name="EcPro6Sort">'Economy Ministry'!$DE$8:$DM$8</definedName>
    <definedName name="EcPro6Type">'Economy Ministry'!$DE$18</definedName>
    <definedName name="EcPro6YearSelected">'Economy Ministry'!$DE$17</definedName>
    <definedName name="EcPro7">'Economy Ministry'!$DU$4:$EC$4</definedName>
    <definedName name="EcPro7CanCancel">'Economy Ministry'!$DU$19</definedName>
    <definedName name="EcPro7CostRecurringValue">'Economy Ministry'!$DU$14</definedName>
    <definedName name="EcPro7CostValue">'Economy Ministry'!$DU$12</definedName>
    <definedName name="EcPro7Decided2yrsago">'Economy Ministry'!$DU$10:$EC$10</definedName>
    <definedName name="EcPro7Decidedlastyr">'Economy Ministry'!$DU$9:$EC$9</definedName>
    <definedName name="EcPro7New">'Economy Ministry'!$DU$7:$EC$7</definedName>
    <definedName name="EcPro7Reasoning">'Economy Ministry'!$DU$15</definedName>
    <definedName name="EcPro7Response">'Economy Ministry'!$DU$16</definedName>
    <definedName name="EcPro7Show">'Economy Ministry'!$DU$6:$EC$6</definedName>
    <definedName name="EcPro7Sort">'Economy Ministry'!$DU$8:$EC$8</definedName>
    <definedName name="EcPro7Type">'Economy Ministry'!$DU$18</definedName>
    <definedName name="EcPro7YearSelected">'Economy Ministry'!$DU$17</definedName>
    <definedName name="EcPro8">'Economy Ministry'!$EK$4:$ES$4</definedName>
    <definedName name="EcPro8CanCancel">'Economy Ministry'!$EK$19</definedName>
    <definedName name="EcPro8CostRecurringValue">'Economy Ministry'!$EK$14</definedName>
    <definedName name="EcPro8CostValue">'Economy Ministry'!$EK$12</definedName>
    <definedName name="EcPro8Decided2yrsago">'Economy Ministry'!$EK$10:$ES$10</definedName>
    <definedName name="EcPro8Decidedlastyr">'Economy Ministry'!$EK$9:$ES$9</definedName>
    <definedName name="EcPro8New">'Economy Ministry'!$EK$7:$ES$7</definedName>
    <definedName name="EcPro8Reasoning">'Economy Ministry'!$EK$15</definedName>
    <definedName name="EcPro8Response">'Economy Ministry'!$EK$16</definedName>
    <definedName name="EcPro8Show">'Economy Ministry'!$EK$6:$ES$6</definedName>
    <definedName name="EcPro8Sort">'Economy Ministry'!$EK$8:$ES$8</definedName>
    <definedName name="EcPro8Type">'Economy Ministry'!$EK$18</definedName>
    <definedName name="EcPro8YearSelected">'Economy Ministry'!$EK$17</definedName>
    <definedName name="EcPro9">'Economy Ministry'!$FA$4:$FI$4</definedName>
    <definedName name="EcPro9CanCancel">'Economy Ministry'!$FA$19</definedName>
    <definedName name="EcPro9CostRecurringValue">'Economy Ministry'!$FA$14</definedName>
    <definedName name="EcPro9CostValue">'Economy Ministry'!$FA$12</definedName>
    <definedName name="EcPro9Decided2yrsago">'Economy Ministry'!$FA$10:$FI$10</definedName>
    <definedName name="EcPro9Decidedlastyr">'Economy Ministry'!$FA$9:$FI$9</definedName>
    <definedName name="EcPro9New">'Economy Ministry'!$FA$7:$FI$7</definedName>
    <definedName name="EcPro9Reasoning">'Economy Ministry'!$FA$15</definedName>
    <definedName name="EcPro9Response">'Economy Ministry'!$FA$16</definedName>
    <definedName name="EcPro9Show">'Economy Ministry'!$FA$6:$FI$6</definedName>
    <definedName name="EcPro9Sort">'Economy Ministry'!$FA$8:$FI$8</definedName>
    <definedName name="EcPro9Type">'Economy Ministry'!$FA$18</definedName>
    <definedName name="EcPro9YearSelected">'Economy Ministry'!$FA$17</definedName>
    <definedName name="EcRecurringCost">'Economy Ministry'!$B$110:$J$110</definedName>
    <definedName name="EcSlider1">'Economy Ministry'!$Y$4:$AG$4</definedName>
    <definedName name="EcSlider1Cost">'Economy Ministry'!$Y$6:$AG$6</definedName>
    <definedName name="EcSlider1LastYear">'Economy Ministry'!$Y$5:$AG$5</definedName>
    <definedName name="EcSlider2">'Economy Ministry'!$AQ$4:$AY$4</definedName>
    <definedName name="EcSlider2Cost">'Economy Ministry'!$AQ$6:$AY$6</definedName>
    <definedName name="EcSlider2LastYear">'Economy Ministry'!$AQ$5:$AY$5</definedName>
    <definedName name="EcTotalCost">'Economy Ministry'!$B$112:$J$112</definedName>
    <definedName name="EcTotalInvCost">'Economy Ministry'!$B$118:$J$118</definedName>
    <definedName name="EduAvaialbleToAllocate">'Education Ministry'!$B$111:$J$111</definedName>
    <definedName name="EduBudget">'Education Ministry'!$B$108:$J$108</definedName>
    <definedName name="EduBudgetRemaining">'Education Ministry'!$B$113:$J$113</definedName>
    <definedName name="EducationScore">Results!$B$105:$J$105</definedName>
    <definedName name="EduConfirmed">'Project Variables'!$B$17</definedName>
    <definedName name="EduCumulativeRnDImpactYear">'Education Ministry'!$M$6:$S$6</definedName>
    <definedName name="EduEnabled">'Project Variables'!$B$23</definedName>
    <definedName name="EduInitialCost">'Education Ministry'!$B$109:$J$109</definedName>
    <definedName name="EduNextYearReucurringCost">'Education Ministry'!$B$114:$J$114</definedName>
    <definedName name="EduPro10">'Education Ministry'!$FQ$4:$FY$4</definedName>
    <definedName name="EduPro10CanCancel">'Education Ministry'!$FQ$19</definedName>
    <definedName name="EduPro10CostRecurringValue">'Education Ministry'!$FQ$14</definedName>
    <definedName name="EduPro10CostValue">'Education Ministry'!$FQ$12</definedName>
    <definedName name="EduPro10Decided2yrsago">'Education Ministry'!$FQ$10:$FY$10</definedName>
    <definedName name="EduPro10Decidedlastyr">'Education Ministry'!$FQ$9:$FY$9</definedName>
    <definedName name="EduPro10New">'Education Ministry'!$FQ$7:$FY$7</definedName>
    <definedName name="EduPro10Reasoning">'Education Ministry'!$FQ$15</definedName>
    <definedName name="EduPro10Response">'Education Ministry'!$FQ$16</definedName>
    <definedName name="EduPro10Show">'Education Ministry'!$FQ$6:$FY$6</definedName>
    <definedName name="EduPro10Sort">'Education Ministry'!$FQ$8:$FY$8</definedName>
    <definedName name="EduPro10Type">'Education Ministry'!$FQ$18</definedName>
    <definedName name="EduPro10YearSelected">'Education Ministry'!$FQ$17</definedName>
    <definedName name="EduPro11">'Education Ministry'!$GG$4:$GO$4</definedName>
    <definedName name="EduPro11CanCancel">'Education Ministry'!$GG$19</definedName>
    <definedName name="EduPro11CostRecurringValue">'Education Ministry'!$GG$14</definedName>
    <definedName name="EduPro11CostValue">'Education Ministry'!$GG$12</definedName>
    <definedName name="EduPro11Decided2yrsago">'Education Ministry'!$GG$10:$GO$10</definedName>
    <definedName name="EduPro11Decidedlastyr">'Education Ministry'!$GG$9:$GO$9</definedName>
    <definedName name="EduPro11New">'Education Ministry'!$GG$7:$GO$7</definedName>
    <definedName name="EduPro11Reasoning">'Education Ministry'!$GG$15</definedName>
    <definedName name="EduPro11Response">'Education Ministry'!$GG$16</definedName>
    <definedName name="EduPro11Show">'Education Ministry'!$GG$6:$GO$6</definedName>
    <definedName name="EduPro11Sort">'Education Ministry'!$GG$8:$GO$8</definedName>
    <definedName name="EduPro11Type">'Education Ministry'!$GG$18</definedName>
    <definedName name="EduPro11YearSelected">'Education Ministry'!$GG$17</definedName>
    <definedName name="EduPro12">'Education Ministry'!$GW$4:$HE$4</definedName>
    <definedName name="EduPro12CanCancel">'Education Ministry'!$GW$19</definedName>
    <definedName name="EduPro12CostRecurringValue">'Education Ministry'!$GW$14</definedName>
    <definedName name="EduPro12CostValue">'Education Ministry'!$GW$12</definedName>
    <definedName name="EduPro12Decided2yrsago">'Education Ministry'!$GW$10:$HE$10</definedName>
    <definedName name="EduPro12Decidedlastyr">'Education Ministry'!$GW$9:$HE$9</definedName>
    <definedName name="EduPro12New">'Education Ministry'!$GW$7:$HE$7</definedName>
    <definedName name="EduPro12Reasoning">'Education Ministry'!$GW$15</definedName>
    <definedName name="EduPro12Response">'Education Ministry'!$GW$16</definedName>
    <definedName name="EduPro12Show">'Education Ministry'!$GW$6:$HE$6</definedName>
    <definedName name="EduPro12Sort">'Education Ministry'!$GW$8:$HE$8</definedName>
    <definedName name="EduPro12Type">'Education Ministry'!$GW$18</definedName>
    <definedName name="EduPro12YearSelected">'Education Ministry'!$GW$17</definedName>
    <definedName name="EduPro13">'Education Ministry'!$HM$4:$HU$4</definedName>
    <definedName name="EduPro13CanCancel">'Education Ministry'!$HM$19</definedName>
    <definedName name="EduPro13CostRecurringValue">'Education Ministry'!$HM$14</definedName>
    <definedName name="EduPro13CostValue">'Education Ministry'!$HM$12</definedName>
    <definedName name="EduPro13Decided2yrsago">'Education Ministry'!$HM$10:$HU$10</definedName>
    <definedName name="EduPro13Decidedlastyr">'Education Ministry'!$HM$9:$HU$9</definedName>
    <definedName name="EduPro13New">'Education Ministry'!$HM$7:$HU$7</definedName>
    <definedName name="EduPro13Reasoning">'Education Ministry'!$HM$15</definedName>
    <definedName name="EduPro13Response">'Education Ministry'!$HM$16</definedName>
    <definedName name="EduPro13Show">'Education Ministry'!$HM$6:$HU$6</definedName>
    <definedName name="EduPro13Sort">'Education Ministry'!$HM$8:$HU$8</definedName>
    <definedName name="EduPro13Type">'Education Ministry'!$HM$18</definedName>
    <definedName name="EduPro13YearSelected">'Education Ministry'!$HM$17</definedName>
    <definedName name="EduPro14">'Education Ministry'!$IC$4:$IK$4</definedName>
    <definedName name="EduPro14CanCancel">'Education Ministry'!$IC$19</definedName>
    <definedName name="EduPro14CostRecurringValue">'Education Ministry'!$IC$14</definedName>
    <definedName name="EduPro14CostValue">'Education Ministry'!$IC$12</definedName>
    <definedName name="EduPro14Decided2yrsago">'Education Ministry'!$IC$10:$IK$10</definedName>
    <definedName name="EduPro14Decidedlastyr">'Education Ministry'!$IC$9:$IK$9</definedName>
    <definedName name="EduPro14New">'Education Ministry'!$IC$7:$IK$7</definedName>
    <definedName name="EduPro14Reasoning">'Education Ministry'!$IC$15</definedName>
    <definedName name="EduPro14Response">'Education Ministry'!$IC$16</definedName>
    <definedName name="EduPro14Show">'Education Ministry'!$IC$6:$IK$6</definedName>
    <definedName name="EduPro14Sort">'Education Ministry'!$IC$8:$IK$8</definedName>
    <definedName name="EduPro14Type">'Education Ministry'!$IC$18</definedName>
    <definedName name="EduPro14YearSelected">'Education Ministry'!$IC$17</definedName>
    <definedName name="EduPro15">'Education Ministry'!$IS$4:$JA$4</definedName>
    <definedName name="EduPro15CanCancel">'Education Ministry'!$IS$19</definedName>
    <definedName name="EduPro15CostRecurringValue">'Education Ministry'!$IS$14</definedName>
    <definedName name="EduPro15CostValue">'Education Ministry'!$IS$12</definedName>
    <definedName name="EduPro15Decided2yrsago">'Education Ministry'!$IS$10:$JA$10</definedName>
    <definedName name="EduPro15Decidedlastyr">'Education Ministry'!$IS$9:$JA$9</definedName>
    <definedName name="EduPro15New">'Education Ministry'!$IS$7:$JA$7</definedName>
    <definedName name="EduPro15Reasoning">'Education Ministry'!$IS$15</definedName>
    <definedName name="EduPro15Response">'Education Ministry'!$IS$16</definedName>
    <definedName name="EduPro15Show">'Education Ministry'!$IS$6:$JA$6</definedName>
    <definedName name="EduPro15Sort">'Education Ministry'!$IS$8:$JA$8</definedName>
    <definedName name="EduPro15Type">'Education Ministry'!$IS$18</definedName>
    <definedName name="EduPro15YearSelected">'Education Ministry'!$IS$17</definedName>
    <definedName name="EduPro16">'Education Ministry'!$JI$4:$JQ$4</definedName>
    <definedName name="EduPro16CanCancel">'Education Ministry'!$JI$19</definedName>
    <definedName name="EduPro16CostRecurringValue">'Education Ministry'!$JI$14</definedName>
    <definedName name="EduPro16CostValue">'Education Ministry'!$JI$12</definedName>
    <definedName name="EduPro16Decided2yrsago">'Education Ministry'!$JI$10:$JQ$10</definedName>
    <definedName name="EduPro16Decidedlastyr">'Education Ministry'!$JI$9:$JQ$9</definedName>
    <definedName name="EduPro16New">'Education Ministry'!$JI$7:$JQ$7</definedName>
    <definedName name="EduPro16Reasoning">'Education Ministry'!$JI$15</definedName>
    <definedName name="EduPro16Response">'Education Ministry'!$JI$16</definedName>
    <definedName name="EduPro16Show">'Education Ministry'!$JI$6:$JQ$6</definedName>
    <definedName name="EduPro16Sort">'Education Ministry'!$JI$8:$JQ$8</definedName>
    <definedName name="EduPro16Type">'Education Ministry'!$JI$18</definedName>
    <definedName name="EduPro16YearSelected">'Education Ministry'!$JI$17</definedName>
    <definedName name="EduPro17">'Education Ministry'!$JY$4:$KG$4</definedName>
    <definedName name="EduPro17CanCancel">'Education Ministry'!$JY$19</definedName>
    <definedName name="EduPro17CostRecurringValue">'Education Ministry'!$JY$14</definedName>
    <definedName name="EduPro17CostValue">'Education Ministry'!$JY$12</definedName>
    <definedName name="EduPro17Decided2yrsago">'Education Ministry'!$JY$10:$KG$10</definedName>
    <definedName name="EduPro17Decidedlastyr">'Education Ministry'!$JY$9:$KG$9</definedName>
    <definedName name="EduPro17New">'Education Ministry'!$JY$7:$KG$7</definedName>
    <definedName name="EduPro17Reasoning">'Education Ministry'!$JY$15</definedName>
    <definedName name="EduPro17Response">'Education Ministry'!$JY$16</definedName>
    <definedName name="EduPro17Show">'Education Ministry'!$JY$6:$KG$6</definedName>
    <definedName name="EduPro17Sort">'Education Ministry'!$JY$8:$KG$8</definedName>
    <definedName name="EduPro17Type">'Education Ministry'!$JY$18</definedName>
    <definedName name="EduPro17YearSelected">'Education Ministry'!$JY$17</definedName>
    <definedName name="EduPro18">'Education Ministry'!$KO$4:$KW$4</definedName>
    <definedName name="EduPro18CanCancel">'Education Ministry'!$KO$19</definedName>
    <definedName name="EduPro18CostRecurringValue">'Education Ministry'!$KO$14</definedName>
    <definedName name="EduPro18CostValue">'Education Ministry'!$KO$12</definedName>
    <definedName name="EduPro18Decided2yrsago">'Education Ministry'!$KO$10:$KW$10</definedName>
    <definedName name="EduPro18Decidedlastyr">'Education Ministry'!$KO$9:$KW$9</definedName>
    <definedName name="EduPro18New">'Education Ministry'!$KO$7:$KW$7</definedName>
    <definedName name="EduPro18Reasoning">'Education Ministry'!$KO$15</definedName>
    <definedName name="EduPro18Response">'Education Ministry'!$KO$16</definedName>
    <definedName name="EduPro18Show">'Education Ministry'!$KO$6:$KW$6</definedName>
    <definedName name="EduPro18Sort">'Education Ministry'!$KO$8:$KW$8</definedName>
    <definedName name="EduPro18YearSelected">'Education Ministry'!$KO$17</definedName>
    <definedName name="EduPro19">'Education Ministry'!$LE$4:$LM$4</definedName>
    <definedName name="EduPro19CanCancel">'Education Ministry'!$LE$19</definedName>
    <definedName name="EduPro19CostRecurringValue">'Education Ministry'!$LE$14</definedName>
    <definedName name="EduPro19CostValue">'Education Ministry'!$LE$12</definedName>
    <definedName name="EduPro19Decided2yrsago">'Education Ministry'!$LE$10:$LM$10</definedName>
    <definedName name="EduPro19Decidedlastyr">'Education Ministry'!$LE$9:$LM$9</definedName>
    <definedName name="EduPro19New">'Education Ministry'!$LE$7:$LM$7</definedName>
    <definedName name="EduPro19Reasoning">'Education Ministry'!$LE$15</definedName>
    <definedName name="EduPro19Response">'Education Ministry'!$LE$16</definedName>
    <definedName name="EduPro19Show">'Education Ministry'!$LE$6:$LM$6</definedName>
    <definedName name="EduPro19Sort">'Education Ministry'!$LE$8:$LM$8</definedName>
    <definedName name="EduPro19YearSelected">'Education Ministry'!$LE$17</definedName>
    <definedName name="EduPro20">'Education Ministry'!$LU$4:$MC$4</definedName>
    <definedName name="EduPro20CanCancel">'Education Ministry'!$LU$19</definedName>
    <definedName name="EduPro20CostRecurringValue">'Education Ministry'!$LU$14</definedName>
    <definedName name="EduPro20CostValue">'Education Ministry'!$LU$12</definedName>
    <definedName name="EduPro20Decided2yrsago">'Education Ministry'!$LU$10:$MC$10</definedName>
    <definedName name="EduPro20Decidedlastyr">'Education Ministry'!$LU$9:$MC$9</definedName>
    <definedName name="EduPro20New">'Education Ministry'!$LU$7:$MC$7</definedName>
    <definedName name="EduPro20Reasoning">'Education Ministry'!$LU$15</definedName>
    <definedName name="EduPro20Response">'Education Ministry'!$LU$16</definedName>
    <definedName name="EduPro20Show">'Education Ministry'!$LU$6:$MC$6</definedName>
    <definedName name="EduPro20Sort">'Education Ministry'!$LU$8:$MC$8</definedName>
    <definedName name="EduPro20YearSelected">'Education Ministry'!$LU$17</definedName>
    <definedName name="EduPro21">'Education Ministry'!$MK$4:$MS$4</definedName>
    <definedName name="EduPro21CanCancel">'Education Ministry'!$MK$19</definedName>
    <definedName name="EduPro21CostRecurringValue">'Education Ministry'!$MK$14</definedName>
    <definedName name="EduPro21CostValue">'Education Ministry'!$MK$12</definedName>
    <definedName name="EduPro21Decided2yrsago">'Education Ministry'!$MK$10:$MS$10</definedName>
    <definedName name="EduPro21Decidedlastyr">'Education Ministry'!$MK$9:$MS$9</definedName>
    <definedName name="EduPro21New">'Education Ministry'!$MK$7:$MS$7</definedName>
    <definedName name="EduPro21Reasoning">'Education Ministry'!$MK$15</definedName>
    <definedName name="EduPro21Response">'Education Ministry'!$MK$16</definedName>
    <definedName name="EduPro21Show">'Education Ministry'!$MK$6:$MS$6</definedName>
    <definedName name="EduPro21Sort">'Education Ministry'!$MK$8:$MS$8</definedName>
    <definedName name="EduPro21YearSelected">'Education Ministry'!$MK$17</definedName>
    <definedName name="EduPro22">'Education Ministry'!$NA$4:$NI$4</definedName>
    <definedName name="EduPro22CanCancel">'Education Ministry'!$NA$19</definedName>
    <definedName name="EduPro22CostRecurringValue">'Education Ministry'!$NA$14</definedName>
    <definedName name="EduPro22CostValue">'Education Ministry'!$NA$12</definedName>
    <definedName name="EduPro22Decided2yrsago">'Education Ministry'!$NA$10:$NI$10</definedName>
    <definedName name="EduPro22Decidedlastyr">'Education Ministry'!$NA$9:$NI$9</definedName>
    <definedName name="EduPro22New">'Education Ministry'!$NA$7:$NI$7</definedName>
    <definedName name="EduPro22Reasoning">'Education Ministry'!$NA$15</definedName>
    <definedName name="EduPro22Response">'Education Ministry'!$NA$16</definedName>
    <definedName name="EduPro22Show">'Education Ministry'!$NA$6:$NI$6</definedName>
    <definedName name="EduPro22Sort">'Education Ministry'!$NA$8:$NI$8</definedName>
    <definedName name="EduPro22YearSelected">'Education Ministry'!$NA$17</definedName>
    <definedName name="EduPro23">'Education Ministry'!$NQ$4:$NY$4</definedName>
    <definedName name="EduPro23CanCancel">'Education Ministry'!$NQ$19</definedName>
    <definedName name="EduPro23CostRecurringValue">'Education Ministry'!$NQ$14</definedName>
    <definedName name="EduPro23CostValue">'Education Ministry'!$NQ$12</definedName>
    <definedName name="EduPro23Decided2yrsago">'Education Ministry'!$NQ$10:$NY$10</definedName>
    <definedName name="EduPro23Decidedlastyr">'Education Ministry'!$NQ$9:$NY$9</definedName>
    <definedName name="EduPro23New">'Education Ministry'!$NQ$7:$NY$7</definedName>
    <definedName name="EduPro23Reasoning">'Education Ministry'!$NQ$15</definedName>
    <definedName name="EduPro23Response">'Education Ministry'!$NQ$16</definedName>
    <definedName name="EduPro23Show">'Education Ministry'!$NQ$6:$NY$6</definedName>
    <definedName name="EduPro23Sort">'Education Ministry'!$NQ$8:$NY$8</definedName>
    <definedName name="EduPro23YearSelected">'Education Ministry'!$NQ$17</definedName>
    <definedName name="EduPro24">'Education Ministry'!$OG$4:$OO$4</definedName>
    <definedName name="EduPro24CanCancel">'Education Ministry'!$OG$19</definedName>
    <definedName name="EduPro24CostRecurringValue">'Education Ministry'!$OG$14</definedName>
    <definedName name="EduPro24CostValue">'Education Ministry'!$OG$12</definedName>
    <definedName name="EduPro24Decided2yrsago">'Education Ministry'!$OG$10:$OO$10</definedName>
    <definedName name="EduPro24Decidedlastyr">'Education Ministry'!$OG$9:$OO$9</definedName>
    <definedName name="EduPro24New">'Education Ministry'!$OG$7:$OO$7</definedName>
    <definedName name="EduPro24Reasoning">'Education Ministry'!$OG$15</definedName>
    <definedName name="EduPro24Response">'Education Ministry'!$OG$16</definedName>
    <definedName name="EduPro24Show">'Education Ministry'!$OG$6:$OO$6</definedName>
    <definedName name="EduPro24Sort">'Education Ministry'!$OG$8:$OO$8</definedName>
    <definedName name="EduPro24YearSelected">'Education Ministry'!$OG$17</definedName>
    <definedName name="EduPro3">'Education Ministry'!$BI$4:$BQ$4</definedName>
    <definedName name="EduPro3CanCancel">'Education Ministry'!$BI$19</definedName>
    <definedName name="EduPro3CostRecurringValue">'Education Ministry'!$BI$14</definedName>
    <definedName name="EduPro3CostValue">'Education Ministry'!$BI$12</definedName>
    <definedName name="EduPro3Decided2yrsago">'Education Ministry'!$BI$10:$BQ$10</definedName>
    <definedName name="EduPro3Decidedlastyr">'Education Ministry'!$BI$9:$BQ$9</definedName>
    <definedName name="EduPro3New">'Education Ministry'!$BI$7:$BQ$7</definedName>
    <definedName name="EduPro3Reasoning">'Education Ministry'!$BI$15</definedName>
    <definedName name="EduPro3Response">'Education Ministry'!$BI$16</definedName>
    <definedName name="EduPro3Show">'Education Ministry'!$BI$6:$BQ$6</definedName>
    <definedName name="EduPro3Sort">'Education Ministry'!$BI$8:$BQ$8</definedName>
    <definedName name="EduPro3Type">'Education Ministry'!$BI$18</definedName>
    <definedName name="EduPro3YearSelected">'Education Ministry'!$BI$17</definedName>
    <definedName name="EduPro4">'Education Ministry'!$BY$4:$CG$4</definedName>
    <definedName name="EduPro4CanCancel">'Education Ministry'!$BY$19</definedName>
    <definedName name="EduPro4CostRecurringValue">'Education Ministry'!$BY$14</definedName>
    <definedName name="EduPro4CostValue">'Education Ministry'!$BY$12</definedName>
    <definedName name="EduPro4Decided2yrsago">'Education Ministry'!$BY$10:$CG$10</definedName>
    <definedName name="EduPro4Decidedlastyr">'Education Ministry'!$BY$9:$CG$9</definedName>
    <definedName name="EduPro4New">'Education Ministry'!$BY$7:$CG$7</definedName>
    <definedName name="EduPro4Reasoning">'Education Ministry'!$BY$15</definedName>
    <definedName name="EduPro4Response">'Education Ministry'!$BY$16</definedName>
    <definedName name="EduPro4Show">'Education Ministry'!$BY$6:$CG$6</definedName>
    <definedName name="EduPro4Sort">'Education Ministry'!$BY$8:$CG$8</definedName>
    <definedName name="EduPro4Type">'Education Ministry'!$BY$18</definedName>
    <definedName name="EduPro4YearSelected">'Education Ministry'!$BY$17</definedName>
    <definedName name="EduPro5">'Education Ministry'!$CO$4:$CW$4</definedName>
    <definedName name="EduPro5CanCancel">'Education Ministry'!$CO$19</definedName>
    <definedName name="EduPro5CostRecurringValue">'Education Ministry'!$CO$14</definedName>
    <definedName name="EduPro5CostValue">'Education Ministry'!$CO$12</definedName>
    <definedName name="EduPro5Decided2yrsago">'Education Ministry'!$CO$10:$CW$10</definedName>
    <definedName name="EduPro5Decidedlastyr">'Education Ministry'!$CO$9:$CW$9</definedName>
    <definedName name="EduPro5New">'Education Ministry'!$CO$7:$CW$7</definedName>
    <definedName name="EduPro5Reasoning">'Education Ministry'!$CO$15</definedName>
    <definedName name="EduPro5Response">'Education Ministry'!$CO$16</definedName>
    <definedName name="EduPro5Show">'Education Ministry'!$CO$6:$CW$6</definedName>
    <definedName name="EduPro5Sort">'Education Ministry'!$CO$8:$CW$8</definedName>
    <definedName name="EduPro5Type">'Education Ministry'!$CO$18</definedName>
    <definedName name="EduPro5YearSelected">'Education Ministry'!$CO$17</definedName>
    <definedName name="EduPro6">'Education Ministry'!$DE$4:$DM$4</definedName>
    <definedName name="EduPro6CanCancel">'Education Ministry'!$DE$19</definedName>
    <definedName name="EduPro6CostRecurringValue">'Education Ministry'!$DE$14</definedName>
    <definedName name="EduPro6CostValue">'Education Ministry'!$DE$12</definedName>
    <definedName name="EduPro6Decided2yrsago">'Education Ministry'!$DE$10:$DM$10</definedName>
    <definedName name="EduPro6Decidedlastyr">'Education Ministry'!$DE$9:$DM$9</definedName>
    <definedName name="EduPro6New">'Education Ministry'!$DE$7:$DM$7</definedName>
    <definedName name="EduPro6Reasoning">'Education Ministry'!$DE$15</definedName>
    <definedName name="EduPro6Response">'Education Ministry'!$DE$16</definedName>
    <definedName name="EduPro6Show">'Education Ministry'!$DE$6:$DM$6</definedName>
    <definedName name="EduPro6Sort">'Education Ministry'!$DE$8:$DM$8</definedName>
    <definedName name="EduPro6Type">'Education Ministry'!$DE$18</definedName>
    <definedName name="EduPro6YearSelected">'Education Ministry'!$DE$17</definedName>
    <definedName name="EduPro7">'Education Ministry'!$DU$4:$EC$4</definedName>
    <definedName name="EduPro7CanCancel">'Education Ministry'!$DU$19</definedName>
    <definedName name="EduPro7CostRecurringValue">'Education Ministry'!$DU$14</definedName>
    <definedName name="EduPro7CostValue">'Education Ministry'!$DU$12</definedName>
    <definedName name="EduPro7Decided2yrsago">'Education Ministry'!$DU$10:$EC$10</definedName>
    <definedName name="EduPro7Decidedlastyr">'Education Ministry'!$DU$9:$EC$9</definedName>
    <definedName name="EduPro7New">'Education Ministry'!$DU$7:$EC$7</definedName>
    <definedName name="EduPro7Reasoning">'Education Ministry'!$DU$15</definedName>
    <definedName name="EduPro7Response">'Education Ministry'!$DU$16</definedName>
    <definedName name="EduPro7Show">'Education Ministry'!$DU$6:$EC$6</definedName>
    <definedName name="EduPro7Sort">'Education Ministry'!$DU$8:$EC$8</definedName>
    <definedName name="EduPro7Type">'Education Ministry'!$DU$18</definedName>
    <definedName name="EduPro7YearSelected">'Education Ministry'!$DU$17</definedName>
    <definedName name="EduPro8">'Education Ministry'!$EK$4:$ES$4</definedName>
    <definedName name="EduPro8CanCancel">'Education Ministry'!$EK$19</definedName>
    <definedName name="EduPro8CostRecurringValue">'Education Ministry'!$EK$14</definedName>
    <definedName name="EduPro8CostValue">'Education Ministry'!$EK$12</definedName>
    <definedName name="EduPro8Decided2yrsago">'Education Ministry'!$EK$10:$ES$10</definedName>
    <definedName name="EduPro8Decidedlastyr">'Education Ministry'!$EK$9:$ES$9</definedName>
    <definedName name="EduPro8New">'Education Ministry'!$EK$7:$ES$7</definedName>
    <definedName name="EduPro8Reasoning">'Education Ministry'!$EK$15</definedName>
    <definedName name="EduPro8Response">'Education Ministry'!$EK$16</definedName>
    <definedName name="EduPro8Show">'Education Ministry'!$EK$6:$ES$6</definedName>
    <definedName name="EduPro8Sort">'Education Ministry'!$EK$8:$ES$8</definedName>
    <definedName name="EduPro8Type">'Education Ministry'!$EK$18</definedName>
    <definedName name="EduPro8YearSelected">'Education Ministry'!$EK$17</definedName>
    <definedName name="EduPro9">'Education Ministry'!$FA$4:$FI$4</definedName>
    <definedName name="EduPro9CanCancel">'Education Ministry'!$FA$19</definedName>
    <definedName name="EduPro9CostRecurringValue">'Education Ministry'!$FA$14</definedName>
    <definedName name="EduPro9CostValue">'Education Ministry'!$FA$12</definedName>
    <definedName name="EduPro9Decided2yrsago">'Education Ministry'!$FA$10:$FI$10</definedName>
    <definedName name="EduPro9Decidedlastyr">'Education Ministry'!$FA$9:$FI$9</definedName>
    <definedName name="EduPro9New">'Education Ministry'!$FA$7:$FI$7</definedName>
    <definedName name="EduPro9Reasoning">'Education Ministry'!$FA$15</definedName>
    <definedName name="EduPro9Response">'Education Ministry'!$FA$16</definedName>
    <definedName name="EduPro9Show">'Education Ministry'!$FA$6:$FI$6</definedName>
    <definedName name="EduPro9Sort">'Education Ministry'!$FA$8:$FI$8</definedName>
    <definedName name="EduPro9Type">'Education Ministry'!$FA$18</definedName>
    <definedName name="EduPro9YearSelected">'Education Ministry'!$FA$17</definedName>
    <definedName name="EduRecurringCost">'Education Ministry'!$B$110:$J$110</definedName>
    <definedName name="EduSlider1">'Education Ministry'!$Y$4:$AG$4</definedName>
    <definedName name="EduSlider1Cost">'Education Ministry'!$Y$6:$AG$6</definedName>
    <definedName name="EduSlider1LastYear">'Education Ministry'!$Y$5:$AG$5</definedName>
    <definedName name="EduSlider2">'Education Ministry'!$AQ$4:$AY$4</definedName>
    <definedName name="EduSlider2Cost">'Education Ministry'!$AQ$6:$AY$6</definedName>
    <definedName name="EduSlider2LastYear">'Education Ministry'!$AQ$5:$AY$5</definedName>
    <definedName name="EduTotalCost">'Education Ministry'!$B$112:$J$112</definedName>
    <definedName name="EnergyConsumedFromDataCenters">Results!$B$82:$J$82</definedName>
    <definedName name="EnvAvaialbleToAllocate">'Environment Ministry'!$B$111:$J$111</definedName>
    <definedName name="EnvBudget">'Environment Ministry'!$B$108:$J$108</definedName>
    <definedName name="EnvBudgetRemaining">'Environment Ministry'!$B$113:$J$113</definedName>
    <definedName name="EnvConfirmed">'Project Variables'!$B$15</definedName>
    <definedName name="EnvCumulativeRnDImpactYear">'Environment Ministry'!$M$6:$S$6</definedName>
    <definedName name="EnvEnabled">'Project Variables'!$B$21</definedName>
    <definedName name="EnvInitialCost">'Environment Ministry'!$B$109:$J$109</definedName>
    <definedName name="EnvironmentScore">Results!$B$89:$J$89</definedName>
    <definedName name="EnvNextYearReucurringCost">'Environment Ministry'!$B$114:$J$114</definedName>
    <definedName name="EnvPro10">'Environment Ministry'!$FQ$4:$FY$4</definedName>
    <definedName name="EnvPro10CanCancel">'Environment Ministry'!$FQ$19</definedName>
    <definedName name="EnvPro10CostRecurringValue">'Environment Ministry'!$FQ$14</definedName>
    <definedName name="EnvPro10CostValue">'Environment Ministry'!$FQ$12</definedName>
    <definedName name="EnvPro10Decided2yrsago">'Environment Ministry'!$FQ$10:$FY$10</definedName>
    <definedName name="EnvPro10Decidedlastyr">'Environment Ministry'!$FQ$9:$FY$9</definedName>
    <definedName name="EnvPro10New">'Environment Ministry'!$FQ$7:$FY$7</definedName>
    <definedName name="EnvPro10Reasoning">'Environment Ministry'!$FQ$15</definedName>
    <definedName name="EnvPro10Response">'Environment Ministry'!$FQ$16</definedName>
    <definedName name="EnvPro10Show">'Environment Ministry'!$FQ$6:$FY$6</definedName>
    <definedName name="EnvPro10Sort">'Environment Ministry'!$FQ$8:$FY$8</definedName>
    <definedName name="EnvPro10Type">'Environment Ministry'!$FQ$18</definedName>
    <definedName name="EnvPro10YearSelected">'Environment Ministry'!$FQ$17</definedName>
    <definedName name="EnvPro11">'Environment Ministry'!$GG$4:$GO$4</definedName>
    <definedName name="EnvPro11CanCancel">'Environment Ministry'!$GG$19</definedName>
    <definedName name="EnvPro11CostRecurringValue">'Environment Ministry'!$GG$14</definedName>
    <definedName name="EnvPro11CostValue">'Environment Ministry'!$GG$12</definedName>
    <definedName name="EnvPro11Decided2yrsago">'Environment Ministry'!$GG$10:$GO$10</definedName>
    <definedName name="EnvPro11Decidedlastyr">'Environment Ministry'!$GG$9:$GO$9</definedName>
    <definedName name="EnvPro11New">'Environment Ministry'!$GG$7:$GO$7</definedName>
    <definedName name="EnvPro11Reasoning">'Environment Ministry'!$GG$15</definedName>
    <definedName name="EnvPro11Response">'Environment Ministry'!$GG$16</definedName>
    <definedName name="EnvPro11Show">'Environment Ministry'!$GG$6:$GO$6</definedName>
    <definedName name="EnvPro11Sort">'Environment Ministry'!$GG$8:$GO$8</definedName>
    <definedName name="EnvPro11Type">'Environment Ministry'!$GG$18</definedName>
    <definedName name="EnvPro11YearSelected">'Environment Ministry'!$GG$17</definedName>
    <definedName name="EnvPro12">'Environment Ministry'!$GW$4:$HE$4</definedName>
    <definedName name="EnvPro12CanCancel">'Environment Ministry'!$GW$19</definedName>
    <definedName name="EnvPro12CostRecurringValue">'Environment Ministry'!$GW$14</definedName>
    <definedName name="EnvPro12CostValue">'Environment Ministry'!$GW$12</definedName>
    <definedName name="EnvPro12Decided2yrsago">'Environment Ministry'!$GW$10:$HE$10</definedName>
    <definedName name="EnvPro12Decidedlastyr">'Environment Ministry'!$GW$9:$HE$9</definedName>
    <definedName name="EnvPro12New">'Environment Ministry'!$GW$7:$HE$7</definedName>
    <definedName name="EnvPro12Reasoning">'Environment Ministry'!$GW$15</definedName>
    <definedName name="EnvPro12Response">'Environment Ministry'!$GW$16</definedName>
    <definedName name="EnvPro12Show">'Environment Ministry'!$GW$6:$HE$6</definedName>
    <definedName name="EnvPro12Sort">'Environment Ministry'!$GW$8:$HE$8</definedName>
    <definedName name="EnvPro12Type">'Environment Ministry'!$GW$18</definedName>
    <definedName name="EnvPro12YearSelected">'Environment Ministry'!$GW$17</definedName>
    <definedName name="EnvPro13">'Environment Ministry'!$HM$4:$HU$4</definedName>
    <definedName name="EnvPro13CanCancel">'Environment Ministry'!$HM$19</definedName>
    <definedName name="EnvPro13CostRecurringValue">'Environment Ministry'!$HM$14</definedName>
    <definedName name="EnvPro13CostValue">'Environment Ministry'!$HM$12</definedName>
    <definedName name="EnvPro13Decided2yrsago">'Environment Ministry'!$HM$10:$HU$10</definedName>
    <definedName name="EnvPro13Decidedlastyr">'Environment Ministry'!$HM$9:$HU$9</definedName>
    <definedName name="EnvPro13New">'Environment Ministry'!$HM$7:$HU$7</definedName>
    <definedName name="EnvPro13Reasoning">'Environment Ministry'!$HM$15</definedName>
    <definedName name="EnvPro13Response">'Environment Ministry'!$HM$16</definedName>
    <definedName name="EnvPro13Show">'Environment Ministry'!$HM$6:$HU$6</definedName>
    <definedName name="EnvPro13Sort">'Environment Ministry'!$HM$8:$HU$8</definedName>
    <definedName name="EnvPro13Type">'Environment Ministry'!$HM$18</definedName>
    <definedName name="EnvPro13YearSelected">'Environment Ministry'!$HM$17</definedName>
    <definedName name="EnvPro14">'Environment Ministry'!$IC$4:$IK$4</definedName>
    <definedName name="EnvPro14CanCancel">'Environment Ministry'!$IC$19</definedName>
    <definedName name="EnvPro14CostRecurringValue">'Environment Ministry'!$IC$14</definedName>
    <definedName name="EnvPro14CostValue">'Environment Ministry'!$IC$12</definedName>
    <definedName name="EnvPro14Decided2yrsago">'Environment Ministry'!$IC$10:$IK$10</definedName>
    <definedName name="EnvPro14Decidedlastyr">'Environment Ministry'!$IC$9:$IK$9</definedName>
    <definedName name="EnvPro14New">'Environment Ministry'!$IC$7:$IK$7</definedName>
    <definedName name="EnvPro14Reasoning">'Environment Ministry'!$IC$15</definedName>
    <definedName name="EnvPro14Response">'Environment Ministry'!$IC$16</definedName>
    <definedName name="EnvPro14Show">'Environment Ministry'!$IC$6:$IK$6</definedName>
    <definedName name="EnvPro14Sort">'Environment Ministry'!$IC$8:$IK$8</definedName>
    <definedName name="EnvPro14Type">'Environment Ministry'!$IC$18</definedName>
    <definedName name="EnvPro14YearSelected">'Environment Ministry'!$IC$17</definedName>
    <definedName name="EnvPro15">'Environment Ministry'!$IS$4:$JA$4</definedName>
    <definedName name="EnvPro15CanCancel">'Environment Ministry'!$IS$19</definedName>
    <definedName name="EnvPro15CostRecurringValue">'Environment Ministry'!$IS$14</definedName>
    <definedName name="EnvPro15CostValue">'Environment Ministry'!$IS$12</definedName>
    <definedName name="EnvPro15Decided2yrsago">'Environment Ministry'!$IS$10:$JA$10</definedName>
    <definedName name="EnvPro15Decidedlastyr">'Environment Ministry'!$IS$9:$JA$9</definedName>
    <definedName name="EnvPro15New">'Environment Ministry'!$IS$7:$JA$7</definedName>
    <definedName name="EnvPro15Reasoning">'Environment Ministry'!$IS$15</definedName>
    <definedName name="EnvPro15Response">'Environment Ministry'!$IS$16</definedName>
    <definedName name="EnvPro15Show">'Environment Ministry'!$IS$6:$JA$6</definedName>
    <definedName name="EnvPro15Sort">'Environment Ministry'!$IS$8:$JA$8</definedName>
    <definedName name="EnvPro15Type">'Environment Ministry'!$IS$18</definedName>
    <definedName name="EnvPro15YearSelected">'Environment Ministry'!$IS$17</definedName>
    <definedName name="EnvPro16">'Environment Ministry'!$JI$4:$JQ$4</definedName>
    <definedName name="EnvPro16CanCancel">'Environment Ministry'!$JI$19</definedName>
    <definedName name="EnvPro16CostRecurringValue">'Environment Ministry'!$JI$14</definedName>
    <definedName name="EnvPro16CostValue">'Environment Ministry'!$JI$12</definedName>
    <definedName name="EnvPro16Decided2yrsago">'Environment Ministry'!$JI$10:$JQ$10</definedName>
    <definedName name="EnvPro16Decidedlastyr">'Environment Ministry'!$JI$9:$JQ$9</definedName>
    <definedName name="EnvPro16New">'Environment Ministry'!$JI$7:$JQ$7</definedName>
    <definedName name="EnvPro16Reasoning">'Environment Ministry'!$JI$15</definedName>
    <definedName name="EnvPro16Response">'Environment Ministry'!$JI$16</definedName>
    <definedName name="EnvPro16Show">'Environment Ministry'!$JI$6:$JQ$6</definedName>
    <definedName name="EnvPro16Sort">'Environment Ministry'!$JI$8:$JQ$8</definedName>
    <definedName name="EnvPro16Type">'Environment Ministry'!$JI$18</definedName>
    <definedName name="EnvPro16YearSelected">'Environment Ministry'!$JI$17</definedName>
    <definedName name="EnvPro17">'Environment Ministry'!$JY$4:$KG$4</definedName>
    <definedName name="EnvPro17CanCancel">'Environment Ministry'!$JY$19</definedName>
    <definedName name="EnvPro17CostRecurringValue">'Environment Ministry'!$JY$14</definedName>
    <definedName name="EnvPro17CostValue">'Environment Ministry'!$JY$12</definedName>
    <definedName name="EnvPro17Decided2yrsago">'Environment Ministry'!$JY$10:$KG$10</definedName>
    <definedName name="EnvPro17Decidedlastyr">'Environment Ministry'!$JY$9:$KG$9</definedName>
    <definedName name="EnvPro17New">'Environment Ministry'!$JY$7:$KG$7</definedName>
    <definedName name="EnvPro17Reasoning">'Environment Ministry'!$JY$15</definedName>
    <definedName name="EnvPro17Response">'Environment Ministry'!$JY$16</definedName>
    <definedName name="EnvPro17Show">'Environment Ministry'!$JY$6:$KG$6</definedName>
    <definedName name="EnvPro17Sort">'Environment Ministry'!$JY$8:$KG$8</definedName>
    <definedName name="EnvPro17Type">'Environment Ministry'!$JY$18</definedName>
    <definedName name="EnvPro17YearSelected">'Environment Ministry'!$JY$17</definedName>
    <definedName name="EnvPro18">'Environment Ministry'!$KO$4:$KW$4</definedName>
    <definedName name="EnvPro18CanCancel">'Environment Ministry'!$KO$19</definedName>
    <definedName name="EnvPro18CostRecurringValue">'Environment Ministry'!$KO$14</definedName>
    <definedName name="EnvPro18CostValue">'Environment Ministry'!$KO$12</definedName>
    <definedName name="EnvPro18Decided2yrsago">'Environment Ministry'!$KO$10:$KW$10</definedName>
    <definedName name="EnvPro18Decidedlastyr">'Environment Ministry'!$KO$9:$KW$9</definedName>
    <definedName name="EnvPro18New">'Environment Ministry'!$KO$7:$KW$7</definedName>
    <definedName name="EnvPro18Reasoning">'Environment Ministry'!$KO$15</definedName>
    <definedName name="EnvPro18Response">'Environment Ministry'!$KO$16</definedName>
    <definedName name="EnvPro18Show">'Environment Ministry'!$KO$6:$KW$6</definedName>
    <definedName name="EnvPro18Sort">'Environment Ministry'!$KO$8:$KW$8</definedName>
    <definedName name="EnvPro18YearSelected">'Environment Ministry'!$KO$17</definedName>
    <definedName name="EnvPro19">'Environment Ministry'!$LE$4:$LM$4</definedName>
    <definedName name="EnvPro19CanCancel">'Environment Ministry'!$LE$19</definedName>
    <definedName name="EnvPro19CostRecurringValue">'Environment Ministry'!$LE$14</definedName>
    <definedName name="EnvPro19CostValue">'Environment Ministry'!$LE$12</definedName>
    <definedName name="EnvPro19Decided2yrsago">'Environment Ministry'!$LE$10:$LM$10</definedName>
    <definedName name="EnvPro19Decidedlastyr">'Environment Ministry'!$LE$9:$LM$9</definedName>
    <definedName name="EnvPro19New">'Environment Ministry'!$LE$7:$LM$7</definedName>
    <definedName name="EnvPro19Reasoning">'Environment Ministry'!$LE$15</definedName>
    <definedName name="EnvPro19Response">'Environment Ministry'!$LE$16</definedName>
    <definedName name="EnvPro19Show">'Environment Ministry'!$LE$6:$LM$6</definedName>
    <definedName name="EnvPro19Sort">'Environment Ministry'!$LE$8:$LM$8</definedName>
    <definedName name="EnvPro19YearSelected">'Environment Ministry'!$LE$17</definedName>
    <definedName name="EnvPro20">'Environment Ministry'!$LU$4:$MC$4</definedName>
    <definedName name="EnvPro20CanCancel">'Environment Ministry'!$LU$19</definedName>
    <definedName name="EnvPro20CostRecurringValue">'Environment Ministry'!$LU$14</definedName>
    <definedName name="EnvPro20CostValue">'Environment Ministry'!$LU$12</definedName>
    <definedName name="EnvPro20Decided2yrsago">'Environment Ministry'!$LU$10:$MC$10</definedName>
    <definedName name="EnvPro20Decidedlastyr">'Environment Ministry'!$LU$9:$MC$9</definedName>
    <definedName name="EnvPro20New">'Environment Ministry'!$LU$7:$MC$7</definedName>
    <definedName name="EnvPro20Reasoning">'Environment Ministry'!$LU$15</definedName>
    <definedName name="EnvPro20Response">'Environment Ministry'!$LU$16</definedName>
    <definedName name="EnvPro20Show">'Environment Ministry'!$LU$6:$MC$6</definedName>
    <definedName name="EnvPro20Sort">'Environment Ministry'!$LU$8:$MC$8</definedName>
    <definedName name="EnvPro20YearSelected">'Environment Ministry'!$LU$17</definedName>
    <definedName name="EnvPro21">'Environment Ministry'!$MK$4:$MS$4</definedName>
    <definedName name="EnvPro21CanCancel">'Environment Ministry'!$MK$19</definedName>
    <definedName name="EnvPro21CostRecurringValue">'Environment Ministry'!$MK$14</definedName>
    <definedName name="EnvPro21CostValue">'Environment Ministry'!$MK$12</definedName>
    <definedName name="EnvPro21Decided2yrsago">'Environment Ministry'!$MK$10:$MS$10</definedName>
    <definedName name="EnvPro21Decidedlastyr">'Environment Ministry'!$MK$9:$MS$9</definedName>
    <definedName name="EnvPro21New">'Environment Ministry'!$MK$7:$MS$7</definedName>
    <definedName name="EnvPro21Reasoning">'Environment Ministry'!$MK$15</definedName>
    <definedName name="EnvPro21Response">'Environment Ministry'!$MK$16</definedName>
    <definedName name="EnvPro21Show">'Environment Ministry'!$MK$6:$MS$6</definedName>
    <definedName name="EnvPro21Sort">'Environment Ministry'!$MK$8:$MS$8</definedName>
    <definedName name="EnvPro21YearSelected">'Environment Ministry'!$MK$17</definedName>
    <definedName name="EnvPro22">'Environment Ministry'!$NA$4:$NI$4</definedName>
    <definedName name="EnvPro22CanCancel">'Environment Ministry'!$NA$19</definedName>
    <definedName name="EnvPro22CostRecurringValue">'Environment Ministry'!$NA$14</definedName>
    <definedName name="EnvPro22CostValue">'Environment Ministry'!$NA$12</definedName>
    <definedName name="EnvPro22Decided2yrsago">'Environment Ministry'!$NA$10:$NI$10</definedName>
    <definedName name="EnvPro22Decidedlastyr">'Environment Ministry'!$NA$9:$NI$9</definedName>
    <definedName name="EnvPro22New">'Environment Ministry'!$NA$7:$NI$7</definedName>
    <definedName name="EnvPro22Reasoning">'Environment Ministry'!$NA$15</definedName>
    <definedName name="EnvPro22Response">'Environment Ministry'!$NA$16</definedName>
    <definedName name="EnvPro22Show">'Environment Ministry'!$NA$6:$NI$6</definedName>
    <definedName name="EnvPro22Sort">'Environment Ministry'!$NA$8:$NI$8</definedName>
    <definedName name="EnvPro22YearSelected">'Environment Ministry'!$NA$17</definedName>
    <definedName name="EnvPro23">'Environment Ministry'!$NQ$4:$NY$4</definedName>
    <definedName name="EnvPro23CanCancel">'Environment Ministry'!$NQ$19</definedName>
    <definedName name="EnvPro23CostRecurringValue">'Environment Ministry'!$NQ$14</definedName>
    <definedName name="EnvPro23CostValue">'Environment Ministry'!$NQ$12</definedName>
    <definedName name="EnvPro23Decided2yrsago">'Environment Ministry'!$NQ$10:$NY$10</definedName>
    <definedName name="EnvPro23Decidedlastyr">'Environment Ministry'!$NQ$9:$NY$9</definedName>
    <definedName name="EnvPro23New">'Environment Ministry'!$NQ$7:$NY$7</definedName>
    <definedName name="EnvPro23Reasoning">'Environment Ministry'!$NQ$15</definedName>
    <definedName name="EnvPro23Response">'Environment Ministry'!$NQ$16</definedName>
    <definedName name="EnvPro23Show">'Environment Ministry'!$NQ$6:$NY$6</definedName>
    <definedName name="EnvPro23Sort">'Environment Ministry'!$NQ$8:$NY$8</definedName>
    <definedName name="EnvPro23YearSelected">'Environment Ministry'!$NQ$17</definedName>
    <definedName name="EnvPro24">'Environment Ministry'!$OG$4:$OO$4</definedName>
    <definedName name="EnvPro24CanCancel">'Environment Ministry'!$OG$19</definedName>
    <definedName name="EnvPro24CostRecurringValue">'Environment Ministry'!$OG$14</definedName>
    <definedName name="EnvPro24CostValue">'Environment Ministry'!$OG$12</definedName>
    <definedName name="EnvPro24Decided2yrsago">'Environment Ministry'!$OG$10:$OO$10</definedName>
    <definedName name="EnvPro24Decidedlastyr">'Environment Ministry'!$OG$9:$OO$9</definedName>
    <definedName name="EnvPro24New">'Environment Ministry'!$OG$7:$OO$7</definedName>
    <definedName name="EnvPro24Reasoning">'Environment Ministry'!$OG$15</definedName>
    <definedName name="EnvPro24Response">'Environment Ministry'!$OG$16</definedName>
    <definedName name="EnvPro24Show">'Environment Ministry'!$OG$6:$OO$6</definedName>
    <definedName name="EnvPro24Sort">'Environment Ministry'!$OG$8:$OO$8</definedName>
    <definedName name="EnvPro24Type">'Environment Ministry'!$OG$18</definedName>
    <definedName name="EnvPro24YearSelected">'Environment Ministry'!$OG$17</definedName>
    <definedName name="EnvPro3">'Environment Ministry'!$BI$4:$BQ$4</definedName>
    <definedName name="EnvPro3CanCancel">'Environment Ministry'!$BI$19</definedName>
    <definedName name="EnvPro3CostRecurringValue">'Environment Ministry'!$BI$14</definedName>
    <definedName name="EnvPro3CostValue">'Environment Ministry'!$BI$12</definedName>
    <definedName name="EnvPro3Decided2yrsago">'Environment Ministry'!$BI$10:$BQ$10</definedName>
    <definedName name="EnvPro3Decidedlastyr">'Environment Ministry'!$BI$9:$BQ$9</definedName>
    <definedName name="EnvPro3New">'Environment Ministry'!$BI$7:$BQ$7</definedName>
    <definedName name="EnvPro3Reasoning">'Environment Ministry'!$BI$15</definedName>
    <definedName name="EnvPro3Response">'Environment Ministry'!$BI$16</definedName>
    <definedName name="EnvPro3Show">'Environment Ministry'!$BI$6:$BQ$6</definedName>
    <definedName name="EnvPro3Sort">'Environment Ministry'!$BI$8:$BQ$8</definedName>
    <definedName name="EnvPro3Type">'Environment Ministry'!$BI$18</definedName>
    <definedName name="EnvPro3YearSelected">'Environment Ministry'!$BI$17</definedName>
    <definedName name="EnvPro4">'Environment Ministry'!$BY$4:$CG$4</definedName>
    <definedName name="EnvPro4CanCancel">'Environment Ministry'!$BY$19</definedName>
    <definedName name="EnvPro4CostRecurringValue">'Environment Ministry'!$BY$14</definedName>
    <definedName name="EnvPro4CostValue">'Environment Ministry'!$BY$12</definedName>
    <definedName name="EnvPro4Decided2yrsago">'Environment Ministry'!$BY$10:$CG$10</definedName>
    <definedName name="EnvPro4Decidedlastyr">'Environment Ministry'!$BY$9:$CG$9</definedName>
    <definedName name="EnvPro4New">'Environment Ministry'!$BY$7:$CG$7</definedName>
    <definedName name="EnvPro4Reasoning">'Environment Ministry'!$BY$15</definedName>
    <definedName name="EnvPro4Response">'Environment Ministry'!$BY$16</definedName>
    <definedName name="EnvPro4Show">'Environment Ministry'!$BY$6:$CG$6</definedName>
    <definedName name="EnvPro4Sort">'Environment Ministry'!$BY$8:$CG$8</definedName>
    <definedName name="EnvPro4Type">'Environment Ministry'!$BY$18</definedName>
    <definedName name="EnvPro4YearSelected">'Environment Ministry'!$BY$17</definedName>
    <definedName name="EnvPro5">'Environment Ministry'!$CO$4:$CW$4</definedName>
    <definedName name="EnvPro5CanCancel">'Environment Ministry'!$CO$19</definedName>
    <definedName name="EnvPro5CostRecurringValue">'Environment Ministry'!$CO$14</definedName>
    <definedName name="EnvPro5CostValue">'Environment Ministry'!$CO$12</definedName>
    <definedName name="EnvPro5Decided2yrsago">'Environment Ministry'!$CO$10:$CW$10</definedName>
    <definedName name="EnvPro5Decidedlastyr">'Environment Ministry'!$CO$9:$CW$9</definedName>
    <definedName name="EnvPro5New">'Environment Ministry'!$CO$7:$CW$7</definedName>
    <definedName name="EnvPro5Reasoning">'Environment Ministry'!$CO$15</definedName>
    <definedName name="EnvPro5Response">'Environment Ministry'!$CO$16</definedName>
    <definedName name="EnvPro5Show">'Environment Ministry'!$CO$6:$CW$6</definedName>
    <definedName name="EnvPro5Sort">'Environment Ministry'!$CO$8:$CW$8</definedName>
    <definedName name="EnvPro5Type">'Environment Ministry'!$CO$18</definedName>
    <definedName name="EnvPro5YearSelected">'Environment Ministry'!$CO$17</definedName>
    <definedName name="EnvPro6">'Environment Ministry'!$DE$4:$DM$4</definedName>
    <definedName name="EnvPro6CanCancel">'Environment Ministry'!$DE$19</definedName>
    <definedName name="EnvPro6CostRecurringValue">'Environment Ministry'!$DE$14</definedName>
    <definedName name="EnvPro6CostValue">'Environment Ministry'!$DE$12</definedName>
    <definedName name="EnvPro6Decided2yrsago">'Environment Ministry'!$DE$10:$DM$10</definedName>
    <definedName name="EnvPro6Decidedlastyr">'Environment Ministry'!$DE$9:$DM$9</definedName>
    <definedName name="EnvPro6New">'Environment Ministry'!$DE$7:$DM$7</definedName>
    <definedName name="EnvPro6Reasoning">'Environment Ministry'!$DE$15</definedName>
    <definedName name="EnvPro6Response">'Environment Ministry'!$DE$16</definedName>
    <definedName name="EnvPro6Show">'Environment Ministry'!$DE$6:$DM$6</definedName>
    <definedName name="EnvPro6Sort">'Environment Ministry'!$DE$8:$DM$8</definedName>
    <definedName name="EnvPro6Type">'Environment Ministry'!$DE$18</definedName>
    <definedName name="EnvPro6YearSelected">'Environment Ministry'!$DE$17</definedName>
    <definedName name="EnvPro7">'Environment Ministry'!$DU$4:$EC$4</definedName>
    <definedName name="EnvPro7CanCancel">'Environment Ministry'!$DU$19</definedName>
    <definedName name="EnvPro7CostRecurringValue">'Environment Ministry'!$DU$14</definedName>
    <definedName name="EnvPro7CostValue">'Environment Ministry'!$DU$12</definedName>
    <definedName name="EnvPro7Decided2yrsago">'Environment Ministry'!$DU$10:$EC$10</definedName>
    <definedName name="EnvPro7Decidedlastyr">'Environment Ministry'!$DU$9:$EC$9</definedName>
    <definedName name="EnvPro7New">'Environment Ministry'!$DU$7:$EC$7</definedName>
    <definedName name="EnvPro7Reasoning">'Environment Ministry'!$DU$15</definedName>
    <definedName name="EnvPro7Response">'Environment Ministry'!$DU$16</definedName>
    <definedName name="EnvPro7Show">'Environment Ministry'!$DU$6:$EC$6</definedName>
    <definedName name="EnvPro7Sort">'Environment Ministry'!$DU$8:$EC$8</definedName>
    <definedName name="EnvPro7Type">'Environment Ministry'!$DU$18</definedName>
    <definedName name="EnvPro7YearSelected">'Environment Ministry'!$DU$17</definedName>
    <definedName name="EnvPro8">'Environment Ministry'!$EK$4:$ES$4</definedName>
    <definedName name="EnvPro8CanCancel">'Environment Ministry'!$EK$19</definedName>
    <definedName name="EnvPro8CostRecurringValue">'Environment Ministry'!$EK$14</definedName>
    <definedName name="EnvPro8CostValue">'Environment Ministry'!$EK$12</definedName>
    <definedName name="EnvPro8Decided2yrsago">'Environment Ministry'!$EK$10:$ES$10</definedName>
    <definedName name="EnvPro8Decidedlastyr">'Environment Ministry'!$EK$9:$ES$9</definedName>
    <definedName name="EnvPro8New">'Environment Ministry'!$EK$7:$ES$7</definedName>
    <definedName name="EnvPro8Reasoning">'Environment Ministry'!$EK$15</definedName>
    <definedName name="EnvPro8Response">'Environment Ministry'!$EK$16</definedName>
    <definedName name="EnvPro8Show">'Environment Ministry'!$EK$6:$ES$6</definedName>
    <definedName name="EnvPro8Sort">'Environment Ministry'!$EK$8:$ES$8</definedName>
    <definedName name="EnvPro8Type">'Environment Ministry'!$EK$18</definedName>
    <definedName name="EnvPro8YearSelected">'Environment Ministry'!$EK$17</definedName>
    <definedName name="EnvPro9">'Environment Ministry'!$FA$4:$FI$4</definedName>
    <definedName name="EnvPro9CanCancel">'Environment Ministry'!$FA$19</definedName>
    <definedName name="EnvPro9CostRecurringValue">'Environment Ministry'!$FA$14</definedName>
    <definedName name="EnvPro9CostValue">'Environment Ministry'!$FA$12</definedName>
    <definedName name="EnvPro9Decided2yrsago">'Environment Ministry'!$FA$10:$FI$10</definedName>
    <definedName name="EnvPro9Decidedlastyr">'Environment Ministry'!$FA$9:$FI$9</definedName>
    <definedName name="EnvPro9New">'Environment Ministry'!$FA$7:$FI$7</definedName>
    <definedName name="EnvPro9Reasoning">'Environment Ministry'!$FA$15</definedName>
    <definedName name="EnvPro9Response">'Environment Ministry'!$FA$16</definedName>
    <definedName name="EnvPro9Show">'Environment Ministry'!$FA$6:$FI$6</definedName>
    <definedName name="EnvPro9Sort">'Environment Ministry'!$FA$8:$FI$8</definedName>
    <definedName name="EnvPro9Type">'Environment Ministry'!$FA$18</definedName>
    <definedName name="EnvPro9YearSelected">'Environment Ministry'!$FA$17</definedName>
    <definedName name="EnvRecurringCost">'Environment Ministry'!$B$110:$J$110</definedName>
    <definedName name="EnvSlider1">'Environment Ministry'!$Y$4:$AG$4</definedName>
    <definedName name="EnvSlider1Cost">'Environment Ministry'!$Y$6:$AG$6</definedName>
    <definedName name="EnvSlider1LastYear">'Environment Ministry'!$Y$5:$AG$5</definedName>
    <definedName name="EnvSlider2">'Environment Ministry'!$AQ$4:$AY$4</definedName>
    <definedName name="EnvSlider2Cost">'Environment Ministry'!$AQ$6:$AY$6</definedName>
    <definedName name="EnvSlider2LastYear">'Environment Ministry'!$AQ$5:$AY$5</definedName>
    <definedName name="EnvTotalCost">'Environment Ministry'!$B$112:$J$112</definedName>
    <definedName name="EwasteCircularityIndex">Results!$B$86:$J$86</definedName>
    <definedName name="F_AIContributionToGDPTarget">'Target Settings'!$B$4</definedName>
    <definedName name="F_AIFDIStockTarget">'Target Settings'!$B$5</definedName>
    <definedName name="F_AILiteracyTarget">'Target Settings'!$B$22</definedName>
    <definedName name="F_AutonomousSystemsSafteyIndexTarget">'Target Settings'!$B$17</definedName>
    <definedName name="F_CircularityIndexTarget">'Target Settings'!$B$11</definedName>
    <definedName name="F_CybersecurityIndexTarget">'Target Settings'!$B$16</definedName>
    <definedName name="F_EcosystemIntegrityIndexTarget">'Target Settings'!$B$12</definedName>
    <definedName name="F_InnovationIndexTarget">'Target Settings'!$B$23</definedName>
    <definedName name="F_InstitutionalAdoptionRateTarget">'Target Settings'!$B$24</definedName>
    <definedName name="F_MilitaryTechnologyTradeBalanceTarget">'Target Settings'!$B$18</definedName>
    <definedName name="F_NetJobsFromAITarget">'Target Settings'!$B$6</definedName>
    <definedName name="F_RenewableEnergyFactorTarget">'Target Settings'!$B$10</definedName>
    <definedName name="FacAllowMinistryChoice">'Project Variables'!$B$28</definedName>
    <definedName name="FacDefEnabled">'Project Variables'!$B$26</definedName>
    <definedName name="FacEcEnabled">'Project Variables'!$B$24</definedName>
    <definedName name="FacEduEnabled">'Project Variables'!$B$27</definedName>
    <definedName name="FacEnvEnabled">'Project Variables'!$B$25</definedName>
    <definedName name="FacilSetsTargets">'Target Settings'!$B$1</definedName>
    <definedName name="GameOver">'Project Variables'!$B$5</definedName>
    <definedName name="GrowthWB">Results!$B$64:$J$64</definedName>
    <definedName name="GrowthWellBeing">Results!$B$64:$J$64</definedName>
    <definedName name="HumanRights">Results!$B$65:$J$65</definedName>
    <definedName name="InnovationIndex">Results!$B$103:$J$103</definedName>
    <definedName name="InnovationIndexPercOfTargetAchieved">'Result Targets'!$B$103:$J$103</definedName>
    <definedName name="InnovationIndexTarget">'Result Targets'!$B$32:$J$32</definedName>
    <definedName name="InstitutionalAdoptionRate">Results!$B$104:$J$104</definedName>
    <definedName name="InstitutionalAdoptionRatePercOfTargetAchieved">'Result Targets'!$B$104:$J$104</definedName>
    <definedName name="InstitutionalAdoptionRateTarget">'Result Targets'!$B$33:$J$33</definedName>
    <definedName name="IsMultiplayer">'Project Variables'!$B$9</definedName>
    <definedName name="JobsCreated">Results!$B$75:$J$75</definedName>
    <definedName name="JobsDisplaced">Results!$B$76:$J$76</definedName>
    <definedName name="MilitaryTechnologyTradeBalance">Results!$B$97:$J$97</definedName>
    <definedName name="MilitaryTechnologyTradeBalancePercOfTargetAchieved">'Result Targets'!$B$97:$J$97</definedName>
    <definedName name="MilitaryTechnologyTradeBalanceTarget">'Result Targets'!$B$27:$J$27</definedName>
    <definedName name="MinistriesConfirmed">'Project Variables'!$B$29</definedName>
    <definedName name="ModelKitID">'Project Variables'!$B$1</definedName>
    <definedName name="NetJobsFromAI">Results!$B$77:$J$77</definedName>
    <definedName name="NetJobsFromAIPercOfTargetAchieved">'Result Targets'!$B$77:$J$77</definedName>
    <definedName name="NetJobsFromAITarget">'Result Targets'!$B$9:$J$9</definedName>
    <definedName name="News1">'Breaking News'!$P$5:$X$5</definedName>
    <definedName name="News1Enabled">'Breaking News'!$P$6:$X$6</definedName>
    <definedName name="News1Show">'Breaking News'!$P$7:$X$7</definedName>
    <definedName name="News1Year">'Breaking News'!$P$4:$X$4</definedName>
    <definedName name="News2">'Breaking News'!$AD$5:$AL$5</definedName>
    <definedName name="News2Enabled">'Breaking News'!$AD$6:$AL$6</definedName>
    <definedName name="News2Show">'Breaking News'!$AD$7:$AL$7</definedName>
    <definedName name="News2Year">'Breaking News'!$AD$4:$AL$4</definedName>
    <definedName name="News3">'Breaking News'!$AR$5:$AZ$5</definedName>
    <definedName name="News3Enabled">'Breaking News'!$AR$6:$AZ$6</definedName>
    <definedName name="News3Show">'Breaking News'!$AR$7:$AZ$7</definedName>
    <definedName name="News3Year">'Breaking News'!$AR$4:$AZ$4</definedName>
    <definedName name="News4">'Breaking News'!$BF$5:$BN$5</definedName>
    <definedName name="News4Enabled">'Breaking News'!$BF$6:$BN$6</definedName>
    <definedName name="News4Show">'Breaking News'!$BF$7:$BN$7</definedName>
    <definedName name="News4Year">'Breaking News'!$BF$4:$BN$4</definedName>
    <definedName name="News5">'Breaking News'!$BT$5:$CB$5</definedName>
    <definedName name="News5Enabled">'Breaking News'!$BT$6:$CB$6</definedName>
    <definedName name="News5Show">'Breaking News'!$BT$7:$CB$7</definedName>
    <definedName name="News5Year">'Breaking News'!$BT$4:$CB$4</definedName>
    <definedName name="News6">'Breaking News'!$CH$5:$CP$5</definedName>
    <definedName name="News6Enabled">'Breaking News'!$CH$6:$CP$6</definedName>
    <definedName name="News6Show">'Breaking News'!$CH$7:$CP$7</definedName>
    <definedName name="News6Year">'Breaking News'!$CH$4:$CP$4</definedName>
    <definedName name="NumTargetsAlmostMet">'Result Targets'!$B$110:$J$110</definedName>
    <definedName name="NumTargetsMet">'Result Targets'!$B$109:$J$109</definedName>
    <definedName name="NumTargetsNotMet">'Result Targets'!$B$111:$J$111</definedName>
    <definedName name="NumYears">'Project Variables'!$B$4</definedName>
    <definedName name="Op1_">Dilemmas!$P$5:$X$5</definedName>
    <definedName name="Op1Selected">Dilemmas!$P$6:$X$6</definedName>
    <definedName name="Op1Year">Dilemmas!$P$4:$X$4</definedName>
    <definedName name="Op2_">Dilemmas!$AF$5:$AN$5</definedName>
    <definedName name="Op2Selected">Dilemmas!$AF$6:$AN$6</definedName>
    <definedName name="Op2Year">Dilemmas!$AF$4:$AN$4</definedName>
    <definedName name="Op3_">Dilemmas!$AV$5:$BD$5</definedName>
    <definedName name="Op3Selected">Dilemmas!$AV$6:$BD$6</definedName>
    <definedName name="Op3Year">Dilemmas!$AV$4:$BD$4</definedName>
    <definedName name="Op4_">Dilemmas!$BL$5:$BT$5</definedName>
    <definedName name="Op4Selected">Dilemmas!$BL$6:$BT$6</definedName>
    <definedName name="Op4Year">Dilemmas!$BL$4:$BT$4</definedName>
    <definedName name="Op5_">Dilemmas!$CB$5:$CJ$5</definedName>
    <definedName name="Op5Selected">Dilemmas!$CB$6:$CJ$6</definedName>
    <definedName name="Op5Year">Dilemmas!$CB$4:$CJ$4</definedName>
    <definedName name="Op6_">Dilemmas!$CR$5:$CZ$5</definedName>
    <definedName name="Op6Selected">Dilemmas!$CR$6:$CZ$6</definedName>
    <definedName name="Op6Year">Dilemmas!$CR$4:$CZ$4</definedName>
    <definedName name="PrivacyDataProtection">Results!$B$66:$J$66</definedName>
    <definedName name="PrivacyDP">Results!$B$66:$J$66</definedName>
    <definedName name="ReadVault">'Project Variables'!$B$3</definedName>
    <definedName name="RenewableEnergyFactor">Results!$B$84:$J$84</definedName>
    <definedName name="RenewableEnergyFactorPercOfTargetAchieved">'Result Targets'!$B$84:$J$84</definedName>
    <definedName name="RenewableEnergyFactorTarget">'Result Targets'!$B$15:$J$15</definedName>
    <definedName name="RolesConfirmed">'Project Variables'!$B$37</definedName>
    <definedName name="RoleUser0">'Project Variables'!$B$32</definedName>
    <definedName name="RoleUser0Value1Position">'Project Variables'!$B$48</definedName>
    <definedName name="RoleUser0Value2Position">'Project Variables'!$B$49</definedName>
    <definedName name="RoleUser0Value3Position">'Project Variables'!$B$50</definedName>
    <definedName name="RoleUser0Value4Position">'Project Variables'!$B$51</definedName>
    <definedName name="RoleUser0Value5Position">'Project Variables'!$B$52</definedName>
    <definedName name="RoleUser0Value6Position">'Project Variables'!$B$53</definedName>
    <definedName name="RoleUser0ValuesConfirmed">'Project Variables'!$B$54</definedName>
    <definedName name="RoleUser1">'Project Variables'!$B$33</definedName>
    <definedName name="RoleUser1Value1Position">'Project Variables'!$B$56</definedName>
    <definedName name="RoleUser1Value2Position">'Project Variables'!$B$57</definedName>
    <definedName name="RoleUser1Value3Position">'Project Variables'!$B$58</definedName>
    <definedName name="RoleUser1Value4Position">'Project Variables'!$B$59</definedName>
    <definedName name="RoleUser1Value5Position">'Project Variables'!$B$60</definedName>
    <definedName name="RoleUser1Value6Position">'Project Variables'!$B$61</definedName>
    <definedName name="RoleUser1ValuesConfirmed">'Project Variables'!$B$62</definedName>
    <definedName name="RoleUser2">'Project Variables'!$B$34</definedName>
    <definedName name="RoleUser2Value1Position">'Project Variables'!$B$64</definedName>
    <definedName name="RoleUser2Value2Position">'Project Variables'!$B$65</definedName>
    <definedName name="RoleUser2Value3Position">'Project Variables'!$B$66</definedName>
    <definedName name="RoleUser2Value4Position">'Project Variables'!$B$67</definedName>
    <definedName name="RoleUser2Value5Position">'Project Variables'!$B$68</definedName>
    <definedName name="RoleUser2Value6Position">'Project Variables'!$B$69</definedName>
    <definedName name="RoleUser2ValuesConfirmed">'Project Variables'!$B$70</definedName>
    <definedName name="RoleUser3">'Project Variables'!$B$35</definedName>
    <definedName name="RoleUser3Value1Position">'Project Variables'!$B$72</definedName>
    <definedName name="RoleUser3Value2Position">'Project Variables'!$B$73</definedName>
    <definedName name="RoleUser3Value3Position">'Project Variables'!$B$74</definedName>
    <definedName name="RoleUser3Value4Position">'Project Variables'!$B$75</definedName>
    <definedName name="RoleUser3Value5Position">'Project Variables'!$B$76</definedName>
    <definedName name="RoleUser3Value6Position">'Project Variables'!$B$77</definedName>
    <definedName name="RoleUser3ValuesConfirmed">'Project Variables'!$B$78</definedName>
    <definedName name="RoleUser4">'Project Variables'!$B$36</definedName>
    <definedName name="RoleUser4Value1Position">'Project Variables'!$B$80</definedName>
    <definedName name="RoleUser4Value2Position">'Project Variables'!$B$81</definedName>
    <definedName name="RoleUser4Value3Position">'Project Variables'!$B$82</definedName>
    <definedName name="RoleUser4Value4Position">'Project Variables'!$B$83</definedName>
    <definedName name="RoleUser4Value5Position">'Project Variables'!$B$84</definedName>
    <definedName name="RoleUser4Value6Position">'Project Variables'!$B$85</definedName>
    <definedName name="RoleUser4ValuesConfirmed">'Project Variables'!$B$86</definedName>
    <definedName name="SecuritySafety">Results!$B$68:$J$68</definedName>
    <definedName name="settingsID">'Project Variables'!$B$2</definedName>
    <definedName name="SliderCosts">'KPI Impacts'!$T$63:$W$63</definedName>
    <definedName name="SliderReasoningEnabled">'Project Variables'!$B$10</definedName>
    <definedName name="Step">Results!$B$3</definedName>
    <definedName name="TeamName">'Project Variables'!$B$11</definedName>
    <definedName name="Time">Results!$B$5:$J$5</definedName>
    <definedName name="Transparency">Results!$B$67:$J$67</definedName>
    <definedName name="TrustInGovernment">Results!$B$117:$J$117</definedName>
    <definedName name="Value1Position">'Project Variables'!$B$40</definedName>
    <definedName name="Value2Position">'Project Variables'!$B$41</definedName>
    <definedName name="Value3Position">'Project Variables'!$B$42</definedName>
    <definedName name="Value4Position">'Project Variables'!$B$43</definedName>
    <definedName name="Value5Position">'Project Variables'!$B$44</definedName>
    <definedName name="Value6Position">'Project Variables'!$B$45</definedName>
    <definedName name="ValuesConfirmed">'Project Variables'!$B$46</definedName>
    <definedName name="WaterCircularityIndex">Results!$B$85:$J$85</definedName>
    <definedName name="Year">Results!$B$6:$J$6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4" i="13" l="1"/>
  <c r="HB104" i="17"/>
  <c r="GH66" i="17"/>
  <c r="FF93" i="17"/>
  <c r="EN65" i="17"/>
  <c r="DW102" i="17"/>
  <c r="DE95" i="17"/>
  <c r="DH86" i="17"/>
  <c r="DM75" i="17"/>
  <c r="DG68" i="17"/>
  <c r="CW102" i="17"/>
  <c r="CW84" i="17"/>
  <c r="CO65" i="17"/>
  <c r="CV66" i="17"/>
  <c r="CF94" i="17"/>
  <c r="BZ67" i="17"/>
  <c r="BY68" i="17"/>
  <c r="BL93" i="17"/>
  <c r="BI96" i="17"/>
  <c r="BQ96" i="17"/>
  <c r="BK74" i="17"/>
  <c r="BI76" i="17"/>
  <c r="BQ76" i="17"/>
  <c r="BM67" i="17"/>
  <c r="BK69" i="17"/>
  <c r="OO22" i="17"/>
  <c r="ON22" i="17"/>
  <c r="OM22" i="17"/>
  <c r="OL22" i="17"/>
  <c r="OK22" i="17"/>
  <c r="OJ22" i="17"/>
  <c r="OI22" i="17"/>
  <c r="OH22" i="17"/>
  <c r="OG22" i="17"/>
  <c r="NY22" i="17"/>
  <c r="NX22" i="17"/>
  <c r="NW22" i="17"/>
  <c r="NV22" i="17"/>
  <c r="NU22" i="17"/>
  <c r="NT22" i="17"/>
  <c r="NS22" i="17"/>
  <c r="NR22" i="17"/>
  <c r="NQ22" i="17"/>
  <c r="NI22" i="17"/>
  <c r="NH22" i="17"/>
  <c r="NG22" i="17"/>
  <c r="NF22" i="17"/>
  <c r="NE22" i="17"/>
  <c r="ND22" i="17"/>
  <c r="NC22" i="17"/>
  <c r="NB22" i="17"/>
  <c r="NA22" i="17"/>
  <c r="MS22" i="17"/>
  <c r="MR22" i="17"/>
  <c r="MQ22" i="17"/>
  <c r="MP22" i="17"/>
  <c r="MO22" i="17"/>
  <c r="MN22" i="17"/>
  <c r="MM22" i="17"/>
  <c r="ML22" i="17"/>
  <c r="MK22" i="17"/>
  <c r="MC22" i="17"/>
  <c r="MB22" i="17"/>
  <c r="MA22" i="17"/>
  <c r="LZ22" i="17"/>
  <c r="LY22" i="17"/>
  <c r="LX22" i="17"/>
  <c r="LW22" i="17"/>
  <c r="LV22" i="17"/>
  <c r="LU22" i="17"/>
  <c r="LM22" i="17"/>
  <c r="LL22" i="17"/>
  <c r="LK22" i="17"/>
  <c r="LJ22" i="17"/>
  <c r="LI22" i="17"/>
  <c r="LH22" i="17"/>
  <c r="LG22" i="17"/>
  <c r="LF22" i="17"/>
  <c r="LE22" i="17"/>
  <c r="KW22" i="17"/>
  <c r="KV22" i="17"/>
  <c r="KU22" i="17"/>
  <c r="KT22" i="17"/>
  <c r="KS22" i="17"/>
  <c r="KR22" i="17"/>
  <c r="KQ22" i="17"/>
  <c r="KP22" i="17"/>
  <c r="KO22" i="17"/>
  <c r="KG22" i="17"/>
  <c r="KF22" i="17"/>
  <c r="KE22" i="17"/>
  <c r="KD22" i="17"/>
  <c r="KC22" i="17"/>
  <c r="KC76" i="17" s="1"/>
  <c r="KB22" i="17"/>
  <c r="KA22" i="17"/>
  <c r="JZ22" i="17"/>
  <c r="JY22" i="17"/>
  <c r="JQ22" i="17"/>
  <c r="JP22" i="17"/>
  <c r="JO22" i="17"/>
  <c r="JO88" i="17" s="1"/>
  <c r="JN22" i="17"/>
  <c r="JN102" i="17" s="1"/>
  <c r="JM22" i="17"/>
  <c r="JL22" i="17"/>
  <c r="JK22" i="17"/>
  <c r="JJ22" i="17"/>
  <c r="JI22" i="17"/>
  <c r="JA22" i="17"/>
  <c r="IZ22" i="17"/>
  <c r="IY22" i="17"/>
  <c r="IY68" i="17" s="1"/>
  <c r="IX22" i="17"/>
  <c r="IW22" i="17"/>
  <c r="IV22" i="17"/>
  <c r="IV96" i="17" s="1"/>
  <c r="IU22" i="17"/>
  <c r="IT22" i="17"/>
  <c r="IS22" i="17"/>
  <c r="IK22" i="17"/>
  <c r="IJ22" i="17"/>
  <c r="IJ76" i="17" s="1"/>
  <c r="II22" i="17"/>
  <c r="II104" i="17" s="1"/>
  <c r="IH22" i="17"/>
  <c r="IG22" i="17"/>
  <c r="IF22" i="17"/>
  <c r="IE22" i="17"/>
  <c r="ID22" i="17"/>
  <c r="IC22" i="17"/>
  <c r="IC86" i="17" s="1"/>
  <c r="HU22" i="17"/>
  <c r="HU102" i="17" s="1"/>
  <c r="HT22" i="17"/>
  <c r="HT84" i="17" s="1"/>
  <c r="HS22" i="17"/>
  <c r="HS76" i="17" s="1"/>
  <c r="HR22" i="17"/>
  <c r="HQ22" i="17"/>
  <c r="HQ64" i="17" s="1"/>
  <c r="HP22" i="17"/>
  <c r="HO22" i="17"/>
  <c r="HN22" i="17"/>
  <c r="HN66" i="17" s="1"/>
  <c r="HM22" i="17"/>
  <c r="HM75" i="17" s="1"/>
  <c r="HE22" i="17"/>
  <c r="HE88" i="17" s="1"/>
  <c r="HD22" i="17"/>
  <c r="HD84" i="17" s="1"/>
  <c r="HC22" i="17"/>
  <c r="HC103" i="17" s="1"/>
  <c r="HB22" i="17"/>
  <c r="HA22" i="17"/>
  <c r="GZ22" i="17"/>
  <c r="GY22" i="17"/>
  <c r="GY67" i="17" s="1"/>
  <c r="GX22" i="17"/>
  <c r="GX73" i="17" s="1"/>
  <c r="GW22" i="17"/>
  <c r="GW64" i="17" s="1"/>
  <c r="GO22" i="17"/>
  <c r="GO64" i="17" s="1"/>
  <c r="GN22" i="17"/>
  <c r="GN68" i="17" s="1"/>
  <c r="GM22" i="17"/>
  <c r="GM85" i="17" s="1"/>
  <c r="GL22" i="17"/>
  <c r="GL75" i="17" s="1"/>
  <c r="GK22" i="17"/>
  <c r="GJ22" i="17"/>
  <c r="GJ88" i="17" s="1"/>
  <c r="GI22" i="17"/>
  <c r="GI84" i="17" s="1"/>
  <c r="GH22" i="17"/>
  <c r="GH103" i="17" s="1"/>
  <c r="GG22" i="17"/>
  <c r="GG104" i="17" s="1"/>
  <c r="FY22" i="17"/>
  <c r="FY95" i="17" s="1"/>
  <c r="FX22" i="17"/>
  <c r="FX96" i="17" s="1"/>
  <c r="FW22" i="17"/>
  <c r="FV22" i="17"/>
  <c r="FU22" i="17"/>
  <c r="FU103" i="17" s="1"/>
  <c r="FT22" i="17"/>
  <c r="FT64" i="17" s="1"/>
  <c r="FS22" i="17"/>
  <c r="FS68" i="17" s="1"/>
  <c r="FR22" i="17"/>
  <c r="FR85" i="17" s="1"/>
  <c r="FQ22" i="17"/>
  <c r="FQ75" i="17" s="1"/>
  <c r="FI22" i="17"/>
  <c r="FI75" i="17" s="1"/>
  <c r="FH22" i="17"/>
  <c r="FG22" i="17"/>
  <c r="FF22" i="17"/>
  <c r="FF73" i="17" s="1"/>
  <c r="FE22" i="17"/>
  <c r="FE103" i="17" s="1"/>
  <c r="FD22" i="17"/>
  <c r="FD95" i="17" s="1"/>
  <c r="FC22" i="17"/>
  <c r="FC96" i="17" s="1"/>
  <c r="FB22" i="17"/>
  <c r="FB88" i="17" s="1"/>
  <c r="FA22" i="17"/>
  <c r="FA102" i="17" s="1"/>
  <c r="ES22" i="17"/>
  <c r="ES93" i="17" s="1"/>
  <c r="ER22" i="17"/>
  <c r="EQ22" i="17"/>
  <c r="EQ95" i="17" s="1"/>
  <c r="EP22" i="17"/>
  <c r="EP68" i="17" s="1"/>
  <c r="EO22" i="17"/>
  <c r="EO64" i="17" s="1"/>
  <c r="EN22" i="17"/>
  <c r="EN69" i="17" s="1"/>
  <c r="EM22" i="17"/>
  <c r="EL22" i="17"/>
  <c r="EL88" i="17" s="1"/>
  <c r="EK22" i="17"/>
  <c r="EC22" i="17"/>
  <c r="EB22" i="17"/>
  <c r="EB73" i="17" s="1"/>
  <c r="EA22" i="17"/>
  <c r="EA88" i="17" s="1"/>
  <c r="DZ22" i="17"/>
  <c r="DZ75" i="17" s="1"/>
  <c r="DY22" i="17"/>
  <c r="DY85" i="17" s="1"/>
  <c r="DX22" i="17"/>
  <c r="DX84" i="17" s="1"/>
  <c r="DW22" i="17"/>
  <c r="DW73" i="17" s="1"/>
  <c r="DV22" i="17"/>
  <c r="DU22" i="17"/>
  <c r="DM22" i="17"/>
  <c r="DM96" i="17" s="1"/>
  <c r="DL22" i="17"/>
  <c r="DL88" i="17" s="1"/>
  <c r="DK22" i="17"/>
  <c r="DK102" i="17" s="1"/>
  <c r="DJ22" i="17"/>
  <c r="DJ103" i="17" s="1"/>
  <c r="DI22" i="17"/>
  <c r="DI104" i="17" s="1"/>
  <c r="DH22" i="17"/>
  <c r="DH93" i="17" s="1"/>
  <c r="DG22" i="17"/>
  <c r="DF22" i="17"/>
  <c r="DE22" i="17"/>
  <c r="DE96" i="17" s="1"/>
  <c r="CW22" i="17"/>
  <c r="CW103" i="17" s="1"/>
  <c r="CV22" i="17"/>
  <c r="CV104" i="17" s="1"/>
  <c r="CU22" i="17"/>
  <c r="CU93" i="17" s="1"/>
  <c r="CT22" i="17"/>
  <c r="CT94" i="17" s="1"/>
  <c r="CS22" i="17"/>
  <c r="CS95" i="17" s="1"/>
  <c r="CR22" i="17"/>
  <c r="CR95" i="17" s="1"/>
  <c r="CQ22" i="17"/>
  <c r="CP22" i="17"/>
  <c r="CP102" i="17" s="1"/>
  <c r="CO22" i="17"/>
  <c r="CO103" i="17" s="1"/>
  <c r="CG22" i="17"/>
  <c r="CG94" i="17" s="1"/>
  <c r="CF22" i="17"/>
  <c r="CF95" i="17" s="1"/>
  <c r="CE22" i="17"/>
  <c r="CE96" i="17" s="1"/>
  <c r="CD22" i="17"/>
  <c r="CD88" i="17" s="1"/>
  <c r="CC22" i="17"/>
  <c r="CB22" i="17"/>
  <c r="CB65" i="17" s="1"/>
  <c r="CA22" i="17"/>
  <c r="CA104" i="17" s="1"/>
  <c r="BZ22" i="17"/>
  <c r="BZ93" i="17" s="1"/>
  <c r="BY22" i="17"/>
  <c r="BY94" i="17" s="1"/>
  <c r="BQ22" i="17"/>
  <c r="BQ88" i="17" s="1"/>
  <c r="BP22" i="17"/>
  <c r="BP102" i="17" s="1"/>
  <c r="BO22" i="17"/>
  <c r="BO103" i="17" s="1"/>
  <c r="BN22" i="17"/>
  <c r="BN65" i="17" s="1"/>
  <c r="BM22" i="17"/>
  <c r="BL22" i="17"/>
  <c r="BL94" i="17" s="1"/>
  <c r="BK22" i="17"/>
  <c r="BK95" i="17" s="1"/>
  <c r="BJ22" i="17"/>
  <c r="BJ96" i="17" s="1"/>
  <c r="BI22" i="17"/>
  <c r="BI88" i="17" s="1"/>
  <c r="GM84" i="16"/>
  <c r="GJ68" i="16"/>
  <c r="FY84" i="16"/>
  <c r="FU75" i="16"/>
  <c r="FQ67" i="16"/>
  <c r="EO94" i="16"/>
  <c r="EB103" i="16"/>
  <c r="DX88" i="16"/>
  <c r="DW75" i="16"/>
  <c r="DW65" i="16"/>
  <c r="EB68" i="16"/>
  <c r="DI102" i="16"/>
  <c r="DH104" i="16"/>
  <c r="DM94" i="16"/>
  <c r="DL95" i="16"/>
  <c r="DI84" i="16"/>
  <c r="DH85" i="16"/>
  <c r="DH86" i="16"/>
  <c r="DE75" i="16"/>
  <c r="DM75" i="16"/>
  <c r="DL76" i="16"/>
  <c r="DI66" i="16"/>
  <c r="DH67" i="16"/>
  <c r="CV103" i="16"/>
  <c r="CT93" i="16"/>
  <c r="CS94" i="16"/>
  <c r="CQ96" i="16"/>
  <c r="CT86" i="16"/>
  <c r="CS74" i="16"/>
  <c r="CW64" i="16"/>
  <c r="CT67" i="16"/>
  <c r="CS68" i="16"/>
  <c r="CS69" i="16"/>
  <c r="CA84" i="16"/>
  <c r="CA85" i="16"/>
  <c r="CE75" i="16"/>
  <c r="CB64" i="16"/>
  <c r="BZ66" i="16"/>
  <c r="CE69" i="16"/>
  <c r="BO102" i="16"/>
  <c r="BL93" i="16"/>
  <c r="BO88" i="16"/>
  <c r="BN84" i="16"/>
  <c r="BL73" i="16"/>
  <c r="BJ74" i="16"/>
  <c r="BP76" i="16"/>
  <c r="BP64" i="16"/>
  <c r="BL67" i="16"/>
  <c r="BP67" i="16"/>
  <c r="BL68" i="16"/>
  <c r="OO22" i="16"/>
  <c r="ON22" i="16"/>
  <c r="OM22" i="16"/>
  <c r="OL22" i="16"/>
  <c r="OK22" i="16"/>
  <c r="OJ22" i="16"/>
  <c r="OI22" i="16"/>
  <c r="OH22" i="16"/>
  <c r="OG22" i="16"/>
  <c r="NY22" i="16"/>
  <c r="NX22" i="16"/>
  <c r="NW22" i="16"/>
  <c r="NV22" i="16"/>
  <c r="NU22" i="16"/>
  <c r="NT22" i="16"/>
  <c r="NS22" i="16"/>
  <c r="NR22" i="16"/>
  <c r="NQ22" i="16"/>
  <c r="NI22" i="16"/>
  <c r="NH22" i="16"/>
  <c r="NG22" i="16"/>
  <c r="NF22" i="16"/>
  <c r="NE22" i="16"/>
  <c r="ND22" i="16"/>
  <c r="NC22" i="16"/>
  <c r="NB22" i="16"/>
  <c r="NA22" i="16"/>
  <c r="MS22" i="16"/>
  <c r="MR22" i="16"/>
  <c r="MQ22" i="16"/>
  <c r="MP22" i="16"/>
  <c r="MP96" i="16" s="1"/>
  <c r="MO22" i="16"/>
  <c r="MN22" i="16"/>
  <c r="MM22" i="16"/>
  <c r="ML22" i="16"/>
  <c r="MK22" i="16"/>
  <c r="MC22" i="16"/>
  <c r="MB22" i="16"/>
  <c r="MB95" i="16" s="1"/>
  <c r="MA22" i="16"/>
  <c r="LZ22" i="16"/>
  <c r="LY22" i="16"/>
  <c r="LX22" i="16"/>
  <c r="LW22" i="16"/>
  <c r="LV22" i="16"/>
  <c r="LU22" i="16"/>
  <c r="LM22" i="16"/>
  <c r="LL22" i="16"/>
  <c r="LK22" i="16"/>
  <c r="LJ22" i="16"/>
  <c r="LI22" i="16"/>
  <c r="LH22" i="16"/>
  <c r="LH94" i="16" s="1"/>
  <c r="LG22" i="16"/>
  <c r="LF22" i="16"/>
  <c r="LE22" i="16"/>
  <c r="KW22" i="16"/>
  <c r="KV22" i="16"/>
  <c r="KU22" i="16"/>
  <c r="KT22" i="16"/>
  <c r="KS22" i="16"/>
  <c r="KS102" i="16" s="1"/>
  <c r="KR22" i="16"/>
  <c r="KQ22" i="16"/>
  <c r="KP22" i="16"/>
  <c r="KO22" i="16"/>
  <c r="KO69" i="16" s="1"/>
  <c r="KG22" i="16"/>
  <c r="KF22" i="16"/>
  <c r="KE22" i="16"/>
  <c r="KD22" i="16"/>
  <c r="KD104" i="16" s="1"/>
  <c r="KC22" i="16"/>
  <c r="KB22" i="16"/>
  <c r="KA22" i="16"/>
  <c r="JZ22" i="16"/>
  <c r="JY22" i="16"/>
  <c r="JQ22" i="16"/>
  <c r="JP22" i="16"/>
  <c r="JO22" i="16"/>
  <c r="JN22" i="16"/>
  <c r="JM22" i="16"/>
  <c r="JL22" i="16"/>
  <c r="JK22" i="16"/>
  <c r="JJ22" i="16"/>
  <c r="JI22" i="16"/>
  <c r="JA22" i="16"/>
  <c r="IZ22" i="16"/>
  <c r="IY22" i="16"/>
  <c r="IX22" i="16"/>
  <c r="IW22" i="16"/>
  <c r="IW85" i="16" s="1"/>
  <c r="IV22" i="16"/>
  <c r="IU22" i="16"/>
  <c r="IT22" i="16"/>
  <c r="IS22" i="16"/>
  <c r="IK22" i="16"/>
  <c r="IK65" i="16" s="1"/>
  <c r="IJ22" i="16"/>
  <c r="II22" i="16"/>
  <c r="IH22" i="16"/>
  <c r="IG22" i="16"/>
  <c r="IF22" i="16"/>
  <c r="IE22" i="16"/>
  <c r="ID22" i="16"/>
  <c r="IC22" i="16"/>
  <c r="HU22" i="16"/>
  <c r="HT22" i="16"/>
  <c r="HS22" i="16"/>
  <c r="HS74" i="16" s="1"/>
  <c r="HR22" i="16"/>
  <c r="HR76" i="16" s="1"/>
  <c r="HQ22" i="16"/>
  <c r="HP22" i="16"/>
  <c r="HO22" i="16"/>
  <c r="HN22" i="16"/>
  <c r="HN68" i="16" s="1"/>
  <c r="HM22" i="16"/>
  <c r="HM86" i="16" s="1"/>
  <c r="HE22" i="16"/>
  <c r="HD22" i="16"/>
  <c r="HD102" i="16" s="1"/>
  <c r="HC22" i="16"/>
  <c r="HB22" i="16"/>
  <c r="HA22" i="16"/>
  <c r="GZ22" i="16"/>
  <c r="GY22" i="16"/>
  <c r="GY93" i="16" s="1"/>
  <c r="GX22" i="16"/>
  <c r="GX66" i="16" s="1"/>
  <c r="GW22" i="16"/>
  <c r="GW68" i="16" s="1"/>
  <c r="GO22" i="16"/>
  <c r="GO76" i="16" s="1"/>
  <c r="GN22" i="16"/>
  <c r="GN88" i="16" s="1"/>
  <c r="GM22" i="16"/>
  <c r="GM64" i="16" s="1"/>
  <c r="GL22" i="16"/>
  <c r="GK22" i="16"/>
  <c r="GJ22" i="16"/>
  <c r="GJ86" i="16" s="1"/>
  <c r="GI22" i="16"/>
  <c r="GI93" i="16" s="1"/>
  <c r="GH22" i="16"/>
  <c r="GH95" i="16" s="1"/>
  <c r="GG22" i="16"/>
  <c r="GG95" i="16" s="1"/>
  <c r="FY22" i="16"/>
  <c r="FY66" i="16" s="1"/>
  <c r="FX22" i="16"/>
  <c r="FX86" i="16" s="1"/>
  <c r="FW22" i="16"/>
  <c r="FV22" i="16"/>
  <c r="FU22" i="16"/>
  <c r="FU74" i="16" s="1"/>
  <c r="FT22" i="16"/>
  <c r="FT76" i="16" s="1"/>
  <c r="FS22" i="16"/>
  <c r="FR22" i="16"/>
  <c r="FR64" i="16" s="1"/>
  <c r="FQ22" i="16"/>
  <c r="FQ103" i="16" s="1"/>
  <c r="FI22" i="16"/>
  <c r="FI69" i="16" s="1"/>
  <c r="FH22" i="16"/>
  <c r="FH75" i="16" s="1"/>
  <c r="FG22" i="16"/>
  <c r="FF22" i="16"/>
  <c r="FF76" i="16" s="1"/>
  <c r="FE22" i="16"/>
  <c r="FE102" i="16" s="1"/>
  <c r="FD22" i="16"/>
  <c r="FD67" i="16" s="1"/>
  <c r="FC22" i="16"/>
  <c r="FC103" i="16" s="1"/>
  <c r="FB22" i="16"/>
  <c r="FB67" i="16" s="1"/>
  <c r="FA22" i="16"/>
  <c r="FA94" i="16" s="1"/>
  <c r="ES22" i="16"/>
  <c r="ER22" i="16"/>
  <c r="EQ22" i="16"/>
  <c r="EQ102" i="16" s="1"/>
  <c r="EP22" i="16"/>
  <c r="EP68" i="16" s="1"/>
  <c r="EO22" i="16"/>
  <c r="EO104" i="16" s="1"/>
  <c r="EN22" i="16"/>
  <c r="EN73" i="16" s="1"/>
  <c r="EM22" i="16"/>
  <c r="EM94" i="16" s="1"/>
  <c r="EL22" i="16"/>
  <c r="EL64" i="16" s="1"/>
  <c r="EK22" i="16"/>
  <c r="EC22" i="16"/>
  <c r="EB22" i="16"/>
  <c r="EB94" i="16" s="1"/>
  <c r="EA22" i="16"/>
  <c r="EA93" i="16" s="1"/>
  <c r="DZ22" i="16"/>
  <c r="DY22" i="16"/>
  <c r="DY95" i="16" s="1"/>
  <c r="DX22" i="16"/>
  <c r="DX94" i="16" s="1"/>
  <c r="DW22" i="16"/>
  <c r="DW103" i="16" s="1"/>
  <c r="DV22" i="16"/>
  <c r="DU22" i="16"/>
  <c r="DU93" i="16" s="1"/>
  <c r="DM22" i="16"/>
  <c r="DM96" i="16" s="1"/>
  <c r="DL22" i="16"/>
  <c r="DL88" i="16" s="1"/>
  <c r="DK22" i="16"/>
  <c r="DK96" i="16" s="1"/>
  <c r="DJ22" i="16"/>
  <c r="DJ103" i="16" s="1"/>
  <c r="DI22" i="16"/>
  <c r="DI104" i="16" s="1"/>
  <c r="DH22" i="16"/>
  <c r="DH93" i="16" s="1"/>
  <c r="DG22" i="16"/>
  <c r="DG67" i="16" s="1"/>
  <c r="DF22" i="16"/>
  <c r="DF73" i="16" s="1"/>
  <c r="DE22" i="16"/>
  <c r="DE96" i="16" s="1"/>
  <c r="CW22" i="16"/>
  <c r="CW103" i="16" s="1"/>
  <c r="CV22" i="16"/>
  <c r="CV84" i="16" s="1"/>
  <c r="CU22" i="16"/>
  <c r="CU93" i="16" s="1"/>
  <c r="CT22" i="16"/>
  <c r="CT94" i="16" s="1"/>
  <c r="CS22" i="16"/>
  <c r="CS95" i="16" s="1"/>
  <c r="CR22" i="16"/>
  <c r="CR94" i="16" s="1"/>
  <c r="CQ22" i="16"/>
  <c r="CQ76" i="16" s="1"/>
  <c r="CP22" i="16"/>
  <c r="CP102" i="16" s="1"/>
  <c r="CO22" i="16"/>
  <c r="CO103" i="16" s="1"/>
  <c r="CG22" i="16"/>
  <c r="CG104" i="16" s="1"/>
  <c r="CF22" i="16"/>
  <c r="CF95" i="16" s="1"/>
  <c r="CE22" i="16"/>
  <c r="CE96" i="16" s="1"/>
  <c r="CD22" i="16"/>
  <c r="CD88" i="16" s="1"/>
  <c r="CC22" i="16"/>
  <c r="CB22" i="16"/>
  <c r="CB102" i="16" s="1"/>
  <c r="CA22" i="16"/>
  <c r="CA104" i="16" s="1"/>
  <c r="BZ22" i="16"/>
  <c r="BZ93" i="16" s="1"/>
  <c r="BY22" i="16"/>
  <c r="BY104" i="16" s="1"/>
  <c r="BQ22" i="16"/>
  <c r="BQ88" i="16" s="1"/>
  <c r="BP22" i="16"/>
  <c r="BP102" i="16" s="1"/>
  <c r="BO22" i="16"/>
  <c r="BO103" i="16" s="1"/>
  <c r="BN22" i="16"/>
  <c r="BM22" i="16"/>
  <c r="BM103" i="16" s="1"/>
  <c r="BL22" i="16"/>
  <c r="BL94" i="16" s="1"/>
  <c r="BK22" i="16"/>
  <c r="BK95" i="16" s="1"/>
  <c r="BJ22" i="16"/>
  <c r="BJ69" i="16" s="1"/>
  <c r="BI22" i="16"/>
  <c r="BI88" i="16" s="1"/>
  <c r="HE86" i="15"/>
  <c r="GW67" i="15"/>
  <c r="GH94" i="15"/>
  <c r="FY102" i="15"/>
  <c r="FQ84" i="15"/>
  <c r="FR64" i="15"/>
  <c r="FD84" i="15"/>
  <c r="FA68" i="15"/>
  <c r="EQ84" i="15"/>
  <c r="DV102" i="15"/>
  <c r="DW88" i="15"/>
  <c r="DX74" i="15"/>
  <c r="DI102" i="15"/>
  <c r="DJ104" i="15"/>
  <c r="DH94" i="15"/>
  <c r="DM88" i="15"/>
  <c r="DJ86" i="15"/>
  <c r="DH74" i="15"/>
  <c r="DM64" i="15"/>
  <c r="DJ67" i="15"/>
  <c r="DH69" i="15"/>
  <c r="CU94" i="15"/>
  <c r="CS96" i="15"/>
  <c r="CQ84" i="15"/>
  <c r="CT75" i="15"/>
  <c r="CR64" i="15"/>
  <c r="CP66" i="15"/>
  <c r="CC103" i="15"/>
  <c r="CA93" i="15"/>
  <c r="CG95" i="15"/>
  <c r="CC85" i="15"/>
  <c r="CA73" i="15"/>
  <c r="CG75" i="15"/>
  <c r="CC66" i="15"/>
  <c r="CA68" i="15"/>
  <c r="BQ102" i="15"/>
  <c r="BJ88" i="15"/>
  <c r="BQ84" i="15"/>
  <c r="BJ64" i="15"/>
  <c r="BQ65" i="15"/>
  <c r="OO22" i="15"/>
  <c r="ON22" i="15"/>
  <c r="OM22" i="15"/>
  <c r="OL22" i="15"/>
  <c r="OK22" i="15"/>
  <c r="OJ22" i="15"/>
  <c r="OI22" i="15"/>
  <c r="OH22" i="15"/>
  <c r="OG22" i="15"/>
  <c r="NY22" i="15"/>
  <c r="NX22" i="15"/>
  <c r="NW22" i="15"/>
  <c r="NV22" i="15"/>
  <c r="NU22" i="15"/>
  <c r="NT22" i="15"/>
  <c r="NS22" i="15"/>
  <c r="NR22" i="15"/>
  <c r="NQ22" i="15"/>
  <c r="NI22" i="15"/>
  <c r="NH22" i="15"/>
  <c r="NG22" i="15"/>
  <c r="NF22" i="15"/>
  <c r="NE22" i="15"/>
  <c r="ND22" i="15"/>
  <c r="NC22" i="15"/>
  <c r="NB22" i="15"/>
  <c r="NA22" i="15"/>
  <c r="MS22" i="15"/>
  <c r="MR22" i="15"/>
  <c r="MQ22" i="15"/>
  <c r="MP22" i="15"/>
  <c r="MO22" i="15"/>
  <c r="MN22" i="15"/>
  <c r="MM22" i="15"/>
  <c r="ML22" i="15"/>
  <c r="MK22" i="15"/>
  <c r="MC22" i="15"/>
  <c r="MB22" i="15"/>
  <c r="MA22" i="15"/>
  <c r="LZ22" i="15"/>
  <c r="LY22" i="15"/>
  <c r="LX22" i="15"/>
  <c r="LW22" i="15"/>
  <c r="LV22" i="15"/>
  <c r="LU22" i="15"/>
  <c r="LM22" i="15"/>
  <c r="LL22" i="15"/>
  <c r="LK22" i="15"/>
  <c r="LJ22" i="15"/>
  <c r="LI22" i="15"/>
  <c r="LH22" i="15"/>
  <c r="LG22" i="15"/>
  <c r="LF22" i="15"/>
  <c r="LE22" i="15"/>
  <c r="KW22" i="15"/>
  <c r="KV22" i="15"/>
  <c r="KU22" i="15"/>
  <c r="KT22" i="15"/>
  <c r="KS22" i="15"/>
  <c r="KR22" i="15"/>
  <c r="KQ22" i="15"/>
  <c r="KP22" i="15"/>
  <c r="KO22" i="15"/>
  <c r="KG22" i="15"/>
  <c r="KF22" i="15"/>
  <c r="KE22" i="15"/>
  <c r="KD22" i="15"/>
  <c r="KC22" i="15"/>
  <c r="KB22" i="15"/>
  <c r="KA22" i="15"/>
  <c r="JZ22" i="15"/>
  <c r="JY22" i="15"/>
  <c r="JQ22" i="15"/>
  <c r="JP22" i="15"/>
  <c r="JO22" i="15"/>
  <c r="JN22" i="15"/>
  <c r="JM22" i="15"/>
  <c r="JL22" i="15"/>
  <c r="JK22" i="15"/>
  <c r="JJ22" i="15"/>
  <c r="JI22" i="15"/>
  <c r="JA22" i="15"/>
  <c r="IZ22" i="15"/>
  <c r="IY22" i="15"/>
  <c r="IX22" i="15"/>
  <c r="IW22" i="15"/>
  <c r="IV22" i="15"/>
  <c r="IU22" i="15"/>
  <c r="IT22" i="15"/>
  <c r="IS22" i="15"/>
  <c r="IK22" i="15"/>
  <c r="IJ22" i="15"/>
  <c r="II22" i="15"/>
  <c r="II76" i="15" s="1"/>
  <c r="IH22" i="15"/>
  <c r="IG22" i="15"/>
  <c r="IF22" i="15"/>
  <c r="IE22" i="15"/>
  <c r="ID22" i="15"/>
  <c r="IC22" i="15"/>
  <c r="HU22" i="15"/>
  <c r="HU88" i="15" s="1"/>
  <c r="HT22" i="15"/>
  <c r="HT65" i="15" s="1"/>
  <c r="HS22" i="15"/>
  <c r="HS66" i="15" s="1"/>
  <c r="HR22" i="15"/>
  <c r="HR67" i="15" s="1"/>
  <c r="HQ22" i="15"/>
  <c r="HQ68" i="15" s="1"/>
  <c r="HP22" i="15"/>
  <c r="HP69" i="15" s="1"/>
  <c r="HO22" i="15"/>
  <c r="HN22" i="15"/>
  <c r="HM22" i="15"/>
  <c r="HM64" i="15" s="1"/>
  <c r="HE22" i="15"/>
  <c r="HE104" i="15" s="1"/>
  <c r="HD22" i="15"/>
  <c r="HD93" i="15" s="1"/>
  <c r="HC22" i="15"/>
  <c r="HC94" i="15" s="1"/>
  <c r="HB22" i="15"/>
  <c r="HB95" i="15" s="1"/>
  <c r="HA22" i="15"/>
  <c r="HA96" i="15" s="1"/>
  <c r="GZ22" i="15"/>
  <c r="GZ76" i="15" s="1"/>
  <c r="GY22" i="15"/>
  <c r="GX22" i="15"/>
  <c r="GW22" i="15"/>
  <c r="GW85" i="15" s="1"/>
  <c r="GO22" i="15"/>
  <c r="GO74" i="15" s="1"/>
  <c r="GN22" i="15"/>
  <c r="GN75" i="15" s="1"/>
  <c r="GM22" i="15"/>
  <c r="GM96" i="15" s="1"/>
  <c r="GL22" i="15"/>
  <c r="GL88" i="15" s="1"/>
  <c r="GK22" i="15"/>
  <c r="GK102" i="15" s="1"/>
  <c r="GJ22" i="15"/>
  <c r="GJ67" i="15" s="1"/>
  <c r="GI22" i="15"/>
  <c r="GI86" i="15" s="1"/>
  <c r="GH22" i="15"/>
  <c r="GH74" i="15" s="1"/>
  <c r="GG22" i="15"/>
  <c r="GG69" i="15" s="1"/>
  <c r="FY22" i="15"/>
  <c r="FY65" i="15" s="1"/>
  <c r="FX22" i="15"/>
  <c r="FX66" i="15" s="1"/>
  <c r="FW22" i="15"/>
  <c r="FW86" i="15" s="1"/>
  <c r="FV22" i="15"/>
  <c r="FV67" i="15" s="1"/>
  <c r="FU22" i="15"/>
  <c r="FU94" i="15" s="1"/>
  <c r="FT22" i="15"/>
  <c r="FS22" i="15"/>
  <c r="FS75" i="15" s="1"/>
  <c r="FR22" i="15"/>
  <c r="FR96" i="15" s="1"/>
  <c r="FQ22" i="15"/>
  <c r="FQ88" i="15" s="1"/>
  <c r="FI22" i="15"/>
  <c r="FI86" i="15" s="1"/>
  <c r="FH22" i="15"/>
  <c r="FH73" i="15" s="1"/>
  <c r="FG22" i="15"/>
  <c r="FG94" i="15" s="1"/>
  <c r="FF22" i="15"/>
  <c r="FE22" i="15"/>
  <c r="FE88" i="15" s="1"/>
  <c r="FD22" i="15"/>
  <c r="FD65" i="15" s="1"/>
  <c r="FC22" i="15"/>
  <c r="FC66" i="15" s="1"/>
  <c r="FB22" i="15"/>
  <c r="FB86" i="15" s="1"/>
  <c r="FA22" i="15"/>
  <c r="FA67" i="15" s="1"/>
  <c r="ES22" i="15"/>
  <c r="ES76" i="15" s="1"/>
  <c r="ER22" i="15"/>
  <c r="ER64" i="15" s="1"/>
  <c r="EQ22" i="15"/>
  <c r="EP22" i="15"/>
  <c r="EO22" i="15"/>
  <c r="EO104" i="15" s="1"/>
  <c r="EN22" i="15"/>
  <c r="EN86" i="15" s="1"/>
  <c r="EM22" i="15"/>
  <c r="EM73" i="15" s="1"/>
  <c r="EL22" i="15"/>
  <c r="EL94" i="15" s="1"/>
  <c r="EK22" i="15"/>
  <c r="EK95" i="15" s="1"/>
  <c r="EC22" i="15"/>
  <c r="EC65" i="15" s="1"/>
  <c r="EB22" i="15"/>
  <c r="EB85" i="15" s="1"/>
  <c r="EA22" i="15"/>
  <c r="EA86" i="15" s="1"/>
  <c r="DZ22" i="15"/>
  <c r="DZ86" i="15" s="1"/>
  <c r="DY22" i="15"/>
  <c r="DY69" i="15" s="1"/>
  <c r="DX22" i="15"/>
  <c r="DX75" i="15" s="1"/>
  <c r="DW22" i="15"/>
  <c r="DW76" i="15" s="1"/>
  <c r="DV22" i="15"/>
  <c r="DV76" i="15" s="1"/>
  <c r="DU22" i="15"/>
  <c r="DU102" i="15" s="1"/>
  <c r="DM22" i="15"/>
  <c r="DM102" i="15" s="1"/>
  <c r="DL22" i="15"/>
  <c r="DL102" i="15" s="1"/>
  <c r="DK22" i="15"/>
  <c r="DK102" i="15" s="1"/>
  <c r="DJ22" i="15"/>
  <c r="DJ102" i="15" s="1"/>
  <c r="DI22" i="15"/>
  <c r="DI94" i="15" s="1"/>
  <c r="DH22" i="15"/>
  <c r="DH95" i="15" s="1"/>
  <c r="DG22" i="15"/>
  <c r="DG96" i="15" s="1"/>
  <c r="DF22" i="15"/>
  <c r="DF102" i="15" s="1"/>
  <c r="DE22" i="15"/>
  <c r="DE102" i="15" s="1"/>
  <c r="CW22" i="15"/>
  <c r="CW93" i="15" s="1"/>
  <c r="CV22" i="15"/>
  <c r="CV94" i="15" s="1"/>
  <c r="CU22" i="15"/>
  <c r="CU95" i="15" s="1"/>
  <c r="CT22" i="15"/>
  <c r="CT96" i="15" s="1"/>
  <c r="CS22" i="15"/>
  <c r="CS88" i="15" s="1"/>
  <c r="CR22" i="15"/>
  <c r="CR102" i="15" s="1"/>
  <c r="CQ22" i="15"/>
  <c r="CQ103" i="15" s="1"/>
  <c r="CP22" i="15"/>
  <c r="CP104" i="15" s="1"/>
  <c r="CO22" i="15"/>
  <c r="CO93" i="15" s="1"/>
  <c r="CG22" i="15"/>
  <c r="CG96" i="15" s="1"/>
  <c r="CF22" i="15"/>
  <c r="CF88" i="15" s="1"/>
  <c r="CE22" i="15"/>
  <c r="CE102" i="15" s="1"/>
  <c r="CD22" i="15"/>
  <c r="CD103" i="15" s="1"/>
  <c r="CC22" i="15"/>
  <c r="CC104" i="15" s="1"/>
  <c r="CB22" i="15"/>
  <c r="CB93" i="15" s="1"/>
  <c r="CA22" i="15"/>
  <c r="CA94" i="15" s="1"/>
  <c r="BZ22" i="15"/>
  <c r="BZ95" i="15" s="1"/>
  <c r="BY22" i="15"/>
  <c r="BY96" i="15" s="1"/>
  <c r="BQ22" i="15"/>
  <c r="BQ103" i="15" s="1"/>
  <c r="BP22" i="15"/>
  <c r="BP104" i="15" s="1"/>
  <c r="BO22" i="15"/>
  <c r="BO93" i="15" s="1"/>
  <c r="BN22" i="15"/>
  <c r="BN94" i="15" s="1"/>
  <c r="BM22" i="15"/>
  <c r="BM95" i="15" s="1"/>
  <c r="BL22" i="15"/>
  <c r="BL96" i="15" s="1"/>
  <c r="BK22" i="15"/>
  <c r="BK88" i="15" s="1"/>
  <c r="BJ22" i="15"/>
  <c r="BJ102" i="15" s="1"/>
  <c r="BI22" i="15"/>
  <c r="BI103" i="15" s="1"/>
  <c r="OO22" i="13"/>
  <c r="ON22" i="13"/>
  <c r="OM22" i="13"/>
  <c r="OL22" i="13"/>
  <c r="OK22" i="13"/>
  <c r="OJ22" i="13"/>
  <c r="OI22" i="13"/>
  <c r="OH22" i="13"/>
  <c r="OG22" i="13"/>
  <c r="NY22" i="13"/>
  <c r="NX22" i="13"/>
  <c r="NW22" i="13"/>
  <c r="NV22" i="13"/>
  <c r="NU22" i="13"/>
  <c r="NT22" i="13"/>
  <c r="NS22" i="13"/>
  <c r="NR22" i="13"/>
  <c r="NQ22" i="13"/>
  <c r="NI22" i="13"/>
  <c r="NH22" i="13"/>
  <c r="NG22" i="13"/>
  <c r="NF22" i="13"/>
  <c r="NE22" i="13"/>
  <c r="ND22" i="13"/>
  <c r="NC22" i="13"/>
  <c r="NB22" i="13"/>
  <c r="NA22" i="13"/>
  <c r="MS22" i="13"/>
  <c r="MR22" i="13"/>
  <c r="MQ22" i="13"/>
  <c r="MP22" i="13"/>
  <c r="MO22" i="13"/>
  <c r="MN22" i="13"/>
  <c r="MM22" i="13"/>
  <c r="ML22" i="13"/>
  <c r="MK22" i="13"/>
  <c r="MC22" i="13"/>
  <c r="MB22" i="13"/>
  <c r="MA22" i="13"/>
  <c r="LZ22" i="13"/>
  <c r="LY22" i="13"/>
  <c r="LX22" i="13"/>
  <c r="LW22" i="13"/>
  <c r="LV22" i="13"/>
  <c r="LU22" i="13"/>
  <c r="LM22" i="13"/>
  <c r="LL22" i="13"/>
  <c r="LK22" i="13"/>
  <c r="LJ22" i="13"/>
  <c r="LI22" i="13"/>
  <c r="LH22" i="13"/>
  <c r="LG22" i="13"/>
  <c r="LF22" i="13"/>
  <c r="LE22" i="13"/>
  <c r="KW22" i="13"/>
  <c r="KV22" i="13"/>
  <c r="KU22" i="13"/>
  <c r="KT22" i="13"/>
  <c r="KS22" i="13"/>
  <c r="KR22" i="13"/>
  <c r="KQ22" i="13"/>
  <c r="KP22" i="13"/>
  <c r="KO22" i="13"/>
  <c r="KG22" i="13"/>
  <c r="KF22" i="13"/>
  <c r="KE22" i="13"/>
  <c r="KD22" i="13"/>
  <c r="KC22" i="13"/>
  <c r="KB22" i="13"/>
  <c r="KA22" i="13"/>
  <c r="JZ22" i="13"/>
  <c r="JY22" i="13"/>
  <c r="JQ22" i="13"/>
  <c r="JP22" i="13"/>
  <c r="JO22" i="13"/>
  <c r="JN22" i="13"/>
  <c r="JM22" i="13"/>
  <c r="JL22" i="13"/>
  <c r="JK22" i="13"/>
  <c r="JJ22" i="13"/>
  <c r="JI22" i="13"/>
  <c r="JA22" i="13"/>
  <c r="IZ22" i="13"/>
  <c r="IY22" i="13"/>
  <c r="IX22" i="13"/>
  <c r="IW22" i="13"/>
  <c r="IV22" i="13"/>
  <c r="IU22" i="13"/>
  <c r="IT22" i="13"/>
  <c r="IS22" i="13"/>
  <c r="IK22" i="13"/>
  <c r="IJ22" i="13"/>
  <c r="II22" i="13"/>
  <c r="IH22" i="13"/>
  <c r="IG22" i="13"/>
  <c r="IF22" i="13"/>
  <c r="IE22" i="13"/>
  <c r="ID22" i="13"/>
  <c r="IC22" i="13"/>
  <c r="HU22" i="13"/>
  <c r="HT22" i="13"/>
  <c r="HS22" i="13"/>
  <c r="HR22" i="13"/>
  <c r="HQ22" i="13"/>
  <c r="HP22" i="13"/>
  <c r="HO22" i="13"/>
  <c r="HN22" i="13"/>
  <c r="HM22" i="13"/>
  <c r="HE22" i="13"/>
  <c r="HD22" i="13"/>
  <c r="HC22" i="13"/>
  <c r="HB22" i="13"/>
  <c r="HA22" i="13"/>
  <c r="GZ22" i="13"/>
  <c r="GY22" i="13"/>
  <c r="GX22" i="13"/>
  <c r="GW22" i="13"/>
  <c r="GO22" i="13"/>
  <c r="GN22" i="13"/>
  <c r="GM22" i="13"/>
  <c r="GL22" i="13"/>
  <c r="GK22" i="13"/>
  <c r="GJ22" i="13"/>
  <c r="GI22" i="13"/>
  <c r="GH22" i="13"/>
  <c r="GG22" i="13"/>
  <c r="FY22" i="13"/>
  <c r="FX22" i="13"/>
  <c r="FW22" i="13"/>
  <c r="FV22" i="13"/>
  <c r="FU22" i="13"/>
  <c r="FT22" i="13"/>
  <c r="FS22" i="13"/>
  <c r="FR22" i="13"/>
  <c r="FQ22" i="13"/>
  <c r="FI22" i="13"/>
  <c r="FH22" i="13"/>
  <c r="FG22" i="13"/>
  <c r="FF22" i="13"/>
  <c r="FE22" i="13"/>
  <c r="FD22" i="13"/>
  <c r="FC22" i="13"/>
  <c r="FB22" i="13"/>
  <c r="FA22" i="13"/>
  <c r="ES22" i="13"/>
  <c r="ER22" i="13"/>
  <c r="EQ22" i="13"/>
  <c r="EP22" i="13"/>
  <c r="EO22" i="13"/>
  <c r="EN22" i="13"/>
  <c r="EM22" i="13"/>
  <c r="EL22" i="13"/>
  <c r="EK22" i="13"/>
  <c r="EC22" i="13"/>
  <c r="EB22" i="13"/>
  <c r="EA22" i="13"/>
  <c r="DZ22" i="13"/>
  <c r="DY22" i="13"/>
  <c r="DX22" i="13"/>
  <c r="DW22" i="13"/>
  <c r="DV22" i="13"/>
  <c r="DU22" i="13"/>
  <c r="DM22" i="13"/>
  <c r="DL22" i="13"/>
  <c r="DK22" i="13"/>
  <c r="DJ22" i="13"/>
  <c r="DI22" i="13"/>
  <c r="DH22" i="13"/>
  <c r="DG22" i="13"/>
  <c r="DF22" i="13"/>
  <c r="DE22" i="13"/>
  <c r="CO22" i="13"/>
  <c r="CG22" i="13"/>
  <c r="CG67" i="13" s="1"/>
  <c r="CF22" i="13"/>
  <c r="CF69" i="13" s="1"/>
  <c r="CE22" i="13"/>
  <c r="CD22" i="13"/>
  <c r="CC22" i="13"/>
  <c r="CC102" i="13" s="1"/>
  <c r="CB22" i="13"/>
  <c r="CB103" i="13" s="1"/>
  <c r="CA22" i="13"/>
  <c r="CA104" i="13" s="1"/>
  <c r="BZ22" i="13"/>
  <c r="BZ93" i="13" s="1"/>
  <c r="BY22" i="13"/>
  <c r="BY94" i="13" s="1"/>
  <c r="BI104" i="13"/>
  <c r="BI86" i="13"/>
  <c r="BJ4" i="13"/>
  <c r="BI69" i="13"/>
  <c r="BI22" i="13"/>
  <c r="BI103" i="13" s="1"/>
  <c r="GY4" i="13"/>
  <c r="B4" i="27"/>
  <c r="C4" i="27" s="1"/>
  <c r="K104" i="27"/>
  <c r="K103" i="27"/>
  <c r="K102" i="27"/>
  <c r="K96" i="27"/>
  <c r="K95" i="27"/>
  <c r="K94" i="27"/>
  <c r="K93" i="27"/>
  <c r="K88" i="27"/>
  <c r="K86" i="27"/>
  <c r="K85" i="27"/>
  <c r="K84" i="27"/>
  <c r="K76" i="27"/>
  <c r="K75" i="27"/>
  <c r="K74" i="27"/>
  <c r="K73" i="27"/>
  <c r="K69" i="27"/>
  <c r="K68" i="27"/>
  <c r="K67" i="27"/>
  <c r="K66" i="27"/>
  <c r="K65" i="27"/>
  <c r="K64" i="27"/>
  <c r="M5" i="17"/>
  <c r="N5" i="17"/>
  <c r="O5" i="17"/>
  <c r="O6" i="17" s="1"/>
  <c r="P5" i="17"/>
  <c r="P6" i="17" s="1"/>
  <c r="Q5" i="17"/>
  <c r="R6" i="17" s="1"/>
  <c r="R5" i="17"/>
  <c r="S5" i="17"/>
  <c r="M5" i="16"/>
  <c r="N5" i="16"/>
  <c r="O5" i="16"/>
  <c r="P5" i="16"/>
  <c r="Q5" i="16"/>
  <c r="R5" i="16"/>
  <c r="S5" i="16"/>
  <c r="S6" i="16" s="1"/>
  <c r="M5" i="15"/>
  <c r="N5" i="15"/>
  <c r="O5" i="15"/>
  <c r="O6" i="15" s="1"/>
  <c r="P5" i="15"/>
  <c r="Q5" i="15"/>
  <c r="R5" i="15"/>
  <c r="S5" i="15"/>
  <c r="S6" i="15" s="1"/>
  <c r="M5" i="13"/>
  <c r="N5" i="13"/>
  <c r="O5" i="13"/>
  <c r="P5" i="13"/>
  <c r="Q5" i="13"/>
  <c r="R5" i="13"/>
  <c r="S5" i="13"/>
  <c r="S6" i="17"/>
  <c r="N6" i="17"/>
  <c r="M6" i="17"/>
  <c r="R6" i="16"/>
  <c r="Q6" i="16"/>
  <c r="P6" i="16"/>
  <c r="O6" i="16"/>
  <c r="N6" i="16"/>
  <c r="M6" i="16"/>
  <c r="R6" i="15"/>
  <c r="Q6" i="15"/>
  <c r="P6" i="15"/>
  <c r="N6" i="15"/>
  <c r="M6" i="15"/>
  <c r="V104" i="17"/>
  <c r="M104" i="17"/>
  <c r="V103" i="17"/>
  <c r="M103" i="17" s="1"/>
  <c r="V102" i="17"/>
  <c r="M102" i="17" s="1"/>
  <c r="V96" i="17"/>
  <c r="M96" i="17"/>
  <c r="V95" i="17"/>
  <c r="M95" i="17"/>
  <c r="V94" i="17"/>
  <c r="M94" i="17"/>
  <c r="V93" i="17"/>
  <c r="M93" i="17"/>
  <c r="V88" i="17"/>
  <c r="M88" i="17"/>
  <c r="V86" i="17"/>
  <c r="M86" i="17"/>
  <c r="V85" i="17"/>
  <c r="M85" i="17"/>
  <c r="V84" i="17"/>
  <c r="M84" i="17"/>
  <c r="V76" i="17"/>
  <c r="M76" i="17"/>
  <c r="V75" i="17"/>
  <c r="M75" i="17"/>
  <c r="V74" i="17"/>
  <c r="M74" i="17"/>
  <c r="V73" i="17"/>
  <c r="M73" i="17"/>
  <c r="V69" i="17"/>
  <c r="M69" i="17"/>
  <c r="V68" i="17"/>
  <c r="M68" i="17"/>
  <c r="V67" i="17"/>
  <c r="M67" i="17" s="1"/>
  <c r="V66" i="17"/>
  <c r="M66" i="17"/>
  <c r="V65" i="17"/>
  <c r="M65" i="17"/>
  <c r="V64" i="17"/>
  <c r="M64" i="17"/>
  <c r="M4" i="17"/>
  <c r="N4" i="17" s="1"/>
  <c r="V104" i="16"/>
  <c r="V103" i="16"/>
  <c r="V102" i="16"/>
  <c r="V96" i="16"/>
  <c r="V95" i="16"/>
  <c r="V94" i="16"/>
  <c r="V93" i="16"/>
  <c r="V88" i="16"/>
  <c r="V86" i="16"/>
  <c r="V85" i="16"/>
  <c r="V84" i="16"/>
  <c r="V76" i="16"/>
  <c r="V75" i="16"/>
  <c r="V74" i="16"/>
  <c r="V73" i="16"/>
  <c r="V69" i="16"/>
  <c r="V68" i="16"/>
  <c r="V67" i="16"/>
  <c r="V66" i="16"/>
  <c r="V65" i="16"/>
  <c r="V64" i="16"/>
  <c r="N4" i="16"/>
  <c r="O4" i="16" s="1"/>
  <c r="M4" i="16"/>
  <c r="V104" i="15"/>
  <c r="V103" i="15"/>
  <c r="V102" i="15"/>
  <c r="V96" i="15"/>
  <c r="V95" i="15"/>
  <c r="V94" i="15"/>
  <c r="V93" i="15"/>
  <c r="V88" i="15"/>
  <c r="V86" i="15"/>
  <c r="V85" i="15"/>
  <c r="V84" i="15"/>
  <c r="V76" i="15"/>
  <c r="V75" i="15"/>
  <c r="V74" i="15"/>
  <c r="V73" i="15"/>
  <c r="V69" i="15"/>
  <c r="V68" i="15"/>
  <c r="V67" i="15"/>
  <c r="V66" i="15"/>
  <c r="V65" i="15"/>
  <c r="V64" i="15"/>
  <c r="M4" i="15"/>
  <c r="N4" i="15" s="1"/>
  <c r="V104" i="13"/>
  <c r="V103" i="13"/>
  <c r="V102" i="13"/>
  <c r="V96" i="13"/>
  <c r="V95" i="13"/>
  <c r="V94" i="13"/>
  <c r="V93" i="13"/>
  <c r="V88" i="13"/>
  <c r="V86" i="13"/>
  <c r="V85" i="13"/>
  <c r="V84" i="13"/>
  <c r="V76" i="13"/>
  <c r="V75" i="13"/>
  <c r="V74" i="13"/>
  <c r="V73" i="13"/>
  <c r="V65" i="13"/>
  <c r="V66" i="13"/>
  <c r="V67" i="13"/>
  <c r="V68" i="13"/>
  <c r="V69" i="13"/>
  <c r="V64" i="13"/>
  <c r="CZ95" i="25" a="1"/>
  <c r="CZ95" i="25" s="1"/>
  <c r="CZ76" i="25" a="1"/>
  <c r="CZ76" i="25" s="1"/>
  <c r="CZ66" i="25" a="1"/>
  <c r="CZ66" i="25" s="1"/>
  <c r="CY94" i="25" a="1"/>
  <c r="CY94" i="25" s="1"/>
  <c r="CY74" i="25" a="1"/>
  <c r="CY74" i="25" s="1"/>
  <c r="CY65" i="25" a="1"/>
  <c r="CY65" i="25" s="1"/>
  <c r="CX75" i="25" a="1"/>
  <c r="CX75" i="25" s="1"/>
  <c r="CX65" i="25" a="1"/>
  <c r="CX65" i="25" s="1"/>
  <c r="CW104" i="25" a="1"/>
  <c r="CW104" i="25" s="1"/>
  <c r="CW103" i="25" a="1"/>
  <c r="CW103" i="25" s="1"/>
  <c r="CW102" i="25" a="1"/>
  <c r="CW102" i="25" s="1"/>
  <c r="CW96" i="25" a="1"/>
  <c r="CW96" i="25" s="1"/>
  <c r="CW95" i="25" a="1"/>
  <c r="CW95" i="25" s="1"/>
  <c r="CW94" i="25" a="1"/>
  <c r="CW94" i="25" s="1"/>
  <c r="CW93" i="25" a="1"/>
  <c r="CW93" i="25" s="1"/>
  <c r="CW88" i="25" a="1"/>
  <c r="CW88" i="25" s="1"/>
  <c r="CW86" i="25" a="1"/>
  <c r="CW86" i="25" s="1"/>
  <c r="CW85" i="25" a="1"/>
  <c r="CW85" i="25" s="1"/>
  <c r="CW84" i="25" a="1"/>
  <c r="CW84" i="25" s="1"/>
  <c r="CW76" i="25" a="1"/>
  <c r="CW76" i="25" s="1"/>
  <c r="CW75" i="25" a="1"/>
  <c r="CW75" i="25" s="1"/>
  <c r="CW74" i="25" a="1"/>
  <c r="CW74" i="25" s="1"/>
  <c r="CW73" i="25" a="1"/>
  <c r="CW73" i="25" s="1"/>
  <c r="CW69" i="25" a="1"/>
  <c r="CW69" i="25" s="1"/>
  <c r="CW68" i="25" a="1"/>
  <c r="CW68" i="25" s="1"/>
  <c r="CW67" i="25" a="1"/>
  <c r="CW67" i="25" s="1"/>
  <c r="CW66" i="25" a="1"/>
  <c r="CW66" i="25" s="1"/>
  <c r="CW65" i="25" a="1"/>
  <c r="CW65" i="25" s="1"/>
  <c r="CW64" i="25" a="1"/>
  <c r="CW64" i="25" s="1"/>
  <c r="CV104" i="25" a="1"/>
  <c r="CV104" i="25" s="1"/>
  <c r="CV103" i="25" a="1"/>
  <c r="CV103" i="25" s="1"/>
  <c r="CV102" i="25" a="1"/>
  <c r="CV102" i="25" s="1"/>
  <c r="CV96" i="25" a="1"/>
  <c r="CV96" i="25" s="1"/>
  <c r="CV95" i="25" a="1"/>
  <c r="CV95" i="25"/>
  <c r="CV94" i="25" a="1"/>
  <c r="CV94" i="25" s="1"/>
  <c r="CV93" i="25" a="1"/>
  <c r="CV93" i="25" s="1"/>
  <c r="CV88" i="25" a="1"/>
  <c r="CV88" i="25" s="1"/>
  <c r="CV86" i="25" a="1"/>
  <c r="CV86" i="25" s="1"/>
  <c r="CV85" i="25" a="1"/>
  <c r="CV85" i="25" s="1"/>
  <c r="CV84" i="25" a="1"/>
  <c r="CV84" i="25" s="1"/>
  <c r="CV76" i="25" a="1"/>
  <c r="CV76" i="25" s="1"/>
  <c r="CV75" i="25" a="1"/>
  <c r="CV75" i="25" s="1"/>
  <c r="CV74" i="25" a="1"/>
  <c r="CV74" i="25" s="1"/>
  <c r="CV73" i="25" a="1"/>
  <c r="CV73" i="25" s="1"/>
  <c r="CV69" i="25" a="1"/>
  <c r="CV69" i="25" s="1"/>
  <c r="CV68" i="25" a="1"/>
  <c r="CV68" i="25" s="1"/>
  <c r="CV67" i="25" a="1"/>
  <c r="CV67" i="25" s="1"/>
  <c r="CV66" i="25" a="1"/>
  <c r="CV66" i="25" s="1"/>
  <c r="CV65" i="25" a="1"/>
  <c r="CV65" i="25" s="1"/>
  <c r="CV64" i="25" a="1"/>
  <c r="CV64" i="25" s="1"/>
  <c r="CU104" i="25" a="1"/>
  <c r="CU104" i="25" s="1"/>
  <c r="CU103" i="25" a="1"/>
  <c r="CU103" i="25" s="1"/>
  <c r="CU102" i="25" a="1"/>
  <c r="CU102" i="25" s="1"/>
  <c r="CU96" i="25" a="1"/>
  <c r="CU96" i="25" s="1"/>
  <c r="CU95" i="25" a="1"/>
  <c r="CU95" i="25" s="1"/>
  <c r="CU94" i="25" a="1"/>
  <c r="CU94" i="25" s="1"/>
  <c r="CU93" i="25" a="1"/>
  <c r="CU93" i="25" s="1"/>
  <c r="CU88" i="25" a="1"/>
  <c r="CU88" i="25" s="1"/>
  <c r="CU86" i="25" a="1"/>
  <c r="CU86" i="25" s="1"/>
  <c r="CU85" i="25" a="1"/>
  <c r="CU85" i="25" s="1"/>
  <c r="CU84" i="25" a="1"/>
  <c r="CU84" i="25" s="1"/>
  <c r="CU76" i="25" a="1"/>
  <c r="CU76" i="25" s="1"/>
  <c r="CU75" i="25" a="1"/>
  <c r="CU75" i="25" s="1"/>
  <c r="CU74" i="25" a="1"/>
  <c r="CU74" i="25" s="1"/>
  <c r="CU73" i="25" a="1"/>
  <c r="CU73" i="25" s="1"/>
  <c r="CU69" i="25" a="1"/>
  <c r="CU69" i="25" s="1"/>
  <c r="CU68" i="25" a="1"/>
  <c r="CU68" i="25" s="1"/>
  <c r="CU67" i="25" a="1"/>
  <c r="CU67" i="25"/>
  <c r="CU66" i="25" a="1"/>
  <c r="CU66" i="25" s="1"/>
  <c r="CU65" i="25" a="1"/>
  <c r="CU65" i="25" s="1"/>
  <c r="CU64" i="25" a="1"/>
  <c r="CU64" i="25" s="1"/>
  <c r="CT104" i="25" a="1"/>
  <c r="CT104" i="25" s="1"/>
  <c r="CT103" i="25" a="1"/>
  <c r="CT103" i="25" s="1"/>
  <c r="CT102" i="25" a="1"/>
  <c r="CT102" i="25" s="1"/>
  <c r="CT96" i="25" a="1"/>
  <c r="CT96" i="25" s="1"/>
  <c r="CT95" i="25" a="1"/>
  <c r="CT95" i="25" s="1"/>
  <c r="CT94" i="25" a="1"/>
  <c r="CT94" i="25" s="1"/>
  <c r="CT93" i="25" a="1"/>
  <c r="CT93" i="25" s="1"/>
  <c r="CT88" i="25" a="1"/>
  <c r="CT88" i="25" s="1"/>
  <c r="CT86" i="25" a="1"/>
  <c r="CT86" i="25" s="1"/>
  <c r="CT85" i="25" a="1"/>
  <c r="CT85" i="25" s="1"/>
  <c r="CT84" i="25" a="1"/>
  <c r="CT84" i="25" s="1"/>
  <c r="CT76" i="25" a="1"/>
  <c r="CT76" i="25" s="1"/>
  <c r="CT75" i="25" a="1"/>
  <c r="CT75" i="25" s="1"/>
  <c r="CT74" i="25" a="1"/>
  <c r="CT74" i="25" s="1"/>
  <c r="CT73" i="25" a="1"/>
  <c r="CT73" i="25" s="1"/>
  <c r="CT69" i="25" a="1"/>
  <c r="CT69" i="25" s="1"/>
  <c r="CT68" i="25" a="1"/>
  <c r="CT68" i="25" s="1"/>
  <c r="CT67" i="25" a="1"/>
  <c r="CT67" i="25" s="1"/>
  <c r="CT66" i="25" a="1"/>
  <c r="CT66" i="25" s="1"/>
  <c r="CT65" i="25" a="1"/>
  <c r="CT65" i="25" s="1"/>
  <c r="CT64" i="25" a="1"/>
  <c r="CT64" i="25" s="1"/>
  <c r="CS104" i="25" a="1"/>
  <c r="CS104" i="25" s="1"/>
  <c r="CS103" i="25" a="1"/>
  <c r="CS103" i="25" s="1"/>
  <c r="CS102" i="25" a="1"/>
  <c r="CS102" i="25" s="1"/>
  <c r="CS96" i="25" a="1"/>
  <c r="CS96" i="25" s="1"/>
  <c r="CS95" i="25" a="1"/>
  <c r="CS95" i="25" s="1"/>
  <c r="CS94" i="25" a="1"/>
  <c r="CS94" i="25" s="1"/>
  <c r="CS93" i="25" a="1"/>
  <c r="CS93" i="25" s="1"/>
  <c r="CS88" i="25" a="1"/>
  <c r="CS88" i="25" s="1"/>
  <c r="CS86" i="25" a="1"/>
  <c r="CS86" i="25" s="1"/>
  <c r="CS85" i="25" a="1"/>
  <c r="CS85" i="25" s="1"/>
  <c r="CS84" i="25" a="1"/>
  <c r="CS84" i="25" s="1"/>
  <c r="CS76" i="25" a="1"/>
  <c r="CS76" i="25"/>
  <c r="CS75" i="25" a="1"/>
  <c r="CS75" i="25" s="1"/>
  <c r="CS74" i="25" a="1"/>
  <c r="CS74" i="25" s="1"/>
  <c r="CS73" i="25" a="1"/>
  <c r="CS73" i="25" s="1"/>
  <c r="CS69" i="25" a="1"/>
  <c r="CS69" i="25" s="1"/>
  <c r="CS68" i="25" a="1"/>
  <c r="CS68" i="25" s="1"/>
  <c r="CS67" i="25" a="1"/>
  <c r="CS67" i="25" s="1"/>
  <c r="CS66" i="25" a="1"/>
  <c r="CS66" i="25" s="1"/>
  <c r="CS65" i="25" a="1"/>
  <c r="CS65" i="25" s="1"/>
  <c r="CS64" i="25" a="1"/>
  <c r="CS64" i="25" s="1"/>
  <c r="CR104" i="25" a="1"/>
  <c r="CR104" i="25" s="1"/>
  <c r="CR103" i="25" a="1"/>
  <c r="CR103" i="25" s="1"/>
  <c r="CR102" i="25" a="1"/>
  <c r="CR102" i="25" s="1"/>
  <c r="CR96" i="25" a="1"/>
  <c r="CR96" i="25" s="1"/>
  <c r="CR95" i="25" a="1"/>
  <c r="CR95" i="25" s="1"/>
  <c r="CR94" i="25" a="1"/>
  <c r="CR94" i="25" s="1"/>
  <c r="CR93" i="25" a="1"/>
  <c r="CR93" i="25" s="1"/>
  <c r="CR88" i="25" a="1"/>
  <c r="CR88" i="25" s="1"/>
  <c r="CR86" i="25" a="1"/>
  <c r="CR86" i="25" s="1"/>
  <c r="CR85" i="25" a="1"/>
  <c r="CR85" i="25" s="1"/>
  <c r="CR84" i="25" a="1"/>
  <c r="CR84" i="25" s="1"/>
  <c r="CR76" i="25" a="1"/>
  <c r="CR76" i="25" s="1"/>
  <c r="CR75" i="25" a="1"/>
  <c r="CR75" i="25" s="1"/>
  <c r="CR74" i="25" a="1"/>
  <c r="CR74" i="25" s="1"/>
  <c r="CR73" i="25" a="1"/>
  <c r="CR73" i="25" s="1"/>
  <c r="CR69" i="25" a="1"/>
  <c r="CR69" i="25" s="1"/>
  <c r="CR68" i="25" a="1"/>
  <c r="CR68" i="25" s="1"/>
  <c r="CR67" i="25" a="1"/>
  <c r="CR67" i="25" s="1"/>
  <c r="CR66" i="25" a="1"/>
  <c r="CR66" i="25" s="1"/>
  <c r="CR65" i="25" a="1"/>
  <c r="CR65" i="25" s="1"/>
  <c r="CR64" i="25" a="1"/>
  <c r="CR64" i="25" s="1"/>
  <c r="CZ5" i="25"/>
  <c r="CY5" i="25"/>
  <c r="CX5" i="25"/>
  <c r="CW5" i="25"/>
  <c r="CV5" i="25"/>
  <c r="CU5" i="25"/>
  <c r="CT5" i="25"/>
  <c r="CS5" i="25"/>
  <c r="CJ96" i="25" a="1"/>
  <c r="CJ96" i="25"/>
  <c r="CJ95" i="25" a="1"/>
  <c r="CJ95" i="25" s="1"/>
  <c r="CJ84" i="25" a="1"/>
  <c r="CJ84" i="25" s="1"/>
  <c r="CJ76" i="25" a="1"/>
  <c r="CJ76" i="25" s="1"/>
  <c r="CJ75" i="25" a="1"/>
  <c r="CJ75" i="25" s="1"/>
  <c r="CJ66" i="25" a="1"/>
  <c r="CJ66" i="25"/>
  <c r="CJ65" i="25" a="1"/>
  <c r="CJ65" i="25" s="1"/>
  <c r="CI96" i="25" a="1"/>
  <c r="CI96" i="25" s="1"/>
  <c r="CI95" i="25" a="1"/>
  <c r="CI95" i="25"/>
  <c r="CI85" i="25" a="1"/>
  <c r="CI85" i="25" s="1"/>
  <c r="CI84" i="25" a="1"/>
  <c r="CI84" i="25" s="1"/>
  <c r="CI76" i="25" a="1"/>
  <c r="CI76" i="25" s="1"/>
  <c r="CI67" i="25" a="1"/>
  <c r="CI67" i="25" s="1"/>
  <c r="CI66" i="25" a="1"/>
  <c r="CI66" i="25" s="1"/>
  <c r="CI65" i="25" a="1"/>
  <c r="CI65" i="25" s="1"/>
  <c r="CH76" i="25" a="1"/>
  <c r="CH76" i="25" s="1"/>
  <c r="CH75" i="25" a="1"/>
  <c r="CH75" i="25" s="1"/>
  <c r="CH74" i="25" a="1"/>
  <c r="CH74" i="25" s="1"/>
  <c r="CH66" i="25" a="1"/>
  <c r="CH66" i="25" s="1"/>
  <c r="CH65" i="25" a="1"/>
  <c r="CH65" i="25" s="1"/>
  <c r="CH64" i="25" a="1"/>
  <c r="CH64" i="25" s="1"/>
  <c r="CG88" i="25" a="1"/>
  <c r="CG88" i="25" s="1"/>
  <c r="CF104" i="25" a="1"/>
  <c r="CF104" i="25"/>
  <c r="CF103" i="25" a="1"/>
  <c r="CF103" i="25" s="1"/>
  <c r="CF102" i="25" a="1"/>
  <c r="CF102" i="25" s="1"/>
  <c r="CF96" i="25" a="1"/>
  <c r="CF96" i="25" s="1"/>
  <c r="CF95" i="25" a="1"/>
  <c r="CF95" i="25" s="1"/>
  <c r="CF94" i="25" a="1"/>
  <c r="CF94" i="25" s="1"/>
  <c r="CF93" i="25" a="1"/>
  <c r="CF93" i="25" s="1"/>
  <c r="CF88" i="25" a="1"/>
  <c r="CF88" i="25"/>
  <c r="CF86" i="25" a="1"/>
  <c r="CF86" i="25" s="1"/>
  <c r="CF85" i="25" a="1"/>
  <c r="CF85" i="25" s="1"/>
  <c r="CF84" i="25" a="1"/>
  <c r="CF84" i="25" s="1"/>
  <c r="CF76" i="25" a="1"/>
  <c r="CF76" i="25" s="1"/>
  <c r="CF75" i="25" a="1"/>
  <c r="CF75" i="25" s="1"/>
  <c r="CF74" i="25" a="1"/>
  <c r="CF74" i="25"/>
  <c r="CF73" i="25" a="1"/>
  <c r="CF73" i="25" s="1"/>
  <c r="CF69" i="25" a="1"/>
  <c r="CF69" i="25" s="1"/>
  <c r="CF68" i="25" a="1"/>
  <c r="CF68" i="25" s="1"/>
  <c r="CF67" i="25" a="1"/>
  <c r="CF67" i="25" s="1"/>
  <c r="CF66" i="25" a="1"/>
  <c r="CF66" i="25" s="1"/>
  <c r="CF65" i="25" a="1"/>
  <c r="CF65" i="25" s="1"/>
  <c r="CF64" i="25" a="1"/>
  <c r="CF64" i="25"/>
  <c r="CE104" i="25" a="1"/>
  <c r="CE104" i="25" s="1"/>
  <c r="CE103" i="25" a="1"/>
  <c r="CE103" i="25" s="1"/>
  <c r="CE102" i="25" a="1"/>
  <c r="CE102" i="25" s="1"/>
  <c r="CE96" i="25" a="1"/>
  <c r="CE96" i="25" s="1"/>
  <c r="CE95" i="25" a="1"/>
  <c r="CE95" i="25" s="1"/>
  <c r="CE94" i="25" a="1"/>
  <c r="CE94" i="25"/>
  <c r="CE93" i="25" a="1"/>
  <c r="CE93" i="25" s="1"/>
  <c r="CE88" i="25" a="1"/>
  <c r="CE88" i="25" s="1"/>
  <c r="CE86" i="25" a="1"/>
  <c r="CE86" i="25" s="1"/>
  <c r="CE85" i="25" a="1"/>
  <c r="CE85" i="25" s="1"/>
  <c r="CE84" i="25" a="1"/>
  <c r="CE84" i="25" s="1"/>
  <c r="CE76" i="25" a="1"/>
  <c r="CE76" i="25" s="1"/>
  <c r="CE75" i="25" a="1"/>
  <c r="CE75" i="25" s="1"/>
  <c r="CE74" i="25" a="1"/>
  <c r="CE74" i="25" s="1"/>
  <c r="CE73" i="25" a="1"/>
  <c r="CE73" i="25" s="1"/>
  <c r="CE69" i="25" a="1"/>
  <c r="CE69" i="25" s="1"/>
  <c r="CE68" i="25" a="1"/>
  <c r="CE68" i="25" s="1"/>
  <c r="CE67" i="25" a="1"/>
  <c r="CE67" i="25" s="1"/>
  <c r="CE66" i="25" a="1"/>
  <c r="CE66" i="25" s="1"/>
  <c r="CE65" i="25" a="1"/>
  <c r="CE65" i="25" s="1"/>
  <c r="CE64" i="25" a="1"/>
  <c r="CE64" i="25" s="1"/>
  <c r="CD104" i="25" a="1"/>
  <c r="CD104" i="25" s="1"/>
  <c r="CD103" i="25" a="1"/>
  <c r="CD103" i="25" s="1"/>
  <c r="CD102" i="25" a="1"/>
  <c r="CD102" i="25" s="1"/>
  <c r="CD96" i="25" a="1"/>
  <c r="CD96" i="25" s="1"/>
  <c r="CD95" i="25" a="1"/>
  <c r="CD95" i="25" s="1"/>
  <c r="CD94" i="25" a="1"/>
  <c r="CD94" i="25" s="1"/>
  <c r="CD93" i="25" a="1"/>
  <c r="CD93" i="25" s="1"/>
  <c r="CD88" i="25" a="1"/>
  <c r="CD88" i="25" s="1"/>
  <c r="CD86" i="25" a="1"/>
  <c r="CD86" i="25"/>
  <c r="CD85" i="25" a="1"/>
  <c r="CD85" i="25" s="1"/>
  <c r="CD84" i="25" a="1"/>
  <c r="CD84" i="25" s="1"/>
  <c r="CD76" i="25" a="1"/>
  <c r="CD76" i="25" s="1"/>
  <c r="CD75" i="25" a="1"/>
  <c r="CD75" i="25" s="1"/>
  <c r="CD74" i="25" a="1"/>
  <c r="CD74" i="25"/>
  <c r="CD73" i="25" a="1"/>
  <c r="CD73" i="25" s="1"/>
  <c r="CD69" i="25" a="1"/>
  <c r="CD69" i="25" s="1"/>
  <c r="CD68" i="25" a="1"/>
  <c r="CD68" i="25" s="1"/>
  <c r="CD67" i="25" a="1"/>
  <c r="CD67" i="25" s="1"/>
  <c r="CD66" i="25" a="1"/>
  <c r="CD66" i="25" s="1"/>
  <c r="CD65" i="25" a="1"/>
  <c r="CD65" i="25" s="1"/>
  <c r="CD64" i="25" a="1"/>
  <c r="CD64" i="25" s="1"/>
  <c r="CC104" i="25" a="1"/>
  <c r="CC104" i="25" s="1"/>
  <c r="CC103" i="25" a="1"/>
  <c r="CC103" i="25" s="1"/>
  <c r="CC102" i="25" a="1"/>
  <c r="CC102" i="25" s="1"/>
  <c r="CC96" i="25" a="1"/>
  <c r="CC96" i="25" s="1"/>
  <c r="CC95" i="25" a="1"/>
  <c r="CC95" i="25" s="1"/>
  <c r="CC94" i="25" a="1"/>
  <c r="CC94" i="25" s="1"/>
  <c r="CC93" i="25" a="1"/>
  <c r="CC93" i="25" s="1"/>
  <c r="CC88" i="25" a="1"/>
  <c r="CC88" i="25" s="1"/>
  <c r="CC86" i="25" a="1"/>
  <c r="CC86" i="25" s="1"/>
  <c r="CC85" i="25" a="1"/>
  <c r="CC85" i="25" s="1"/>
  <c r="CC84" i="25" a="1"/>
  <c r="CC84" i="25" s="1"/>
  <c r="CC76" i="25" a="1"/>
  <c r="CC76" i="25" s="1"/>
  <c r="CC75" i="25" a="1"/>
  <c r="CC75" i="25" s="1"/>
  <c r="CC74" i="25" a="1"/>
  <c r="CC74" i="25" s="1"/>
  <c r="CC73" i="25" a="1"/>
  <c r="CC73" i="25" s="1"/>
  <c r="CC69" i="25" a="1"/>
  <c r="CC69" i="25" s="1"/>
  <c r="CC68" i="25" a="1"/>
  <c r="CC68" i="25" s="1"/>
  <c r="CC67" i="25" a="1"/>
  <c r="CC67" i="25" s="1"/>
  <c r="CC66" i="25" a="1"/>
  <c r="CC66" i="25" s="1"/>
  <c r="CC65" i="25" a="1"/>
  <c r="CC65" i="25" s="1"/>
  <c r="CC64" i="25" a="1"/>
  <c r="CC64" i="25" s="1"/>
  <c r="CB104" i="25" a="1"/>
  <c r="CB104" i="25" s="1"/>
  <c r="CB103" i="25" a="1"/>
  <c r="CB103" i="25" s="1"/>
  <c r="CB102" i="25" a="1"/>
  <c r="CB102" i="25" s="1"/>
  <c r="CB96" i="25" a="1"/>
  <c r="CB96" i="25" s="1"/>
  <c r="CB95" i="25" a="1"/>
  <c r="CB95" i="25" s="1"/>
  <c r="CB94" i="25" a="1"/>
  <c r="CB94" i="25" s="1"/>
  <c r="CB93" i="25" a="1"/>
  <c r="CB93" i="25" s="1"/>
  <c r="CB88" i="25" a="1"/>
  <c r="CB88" i="25" s="1"/>
  <c r="CB86" i="25" a="1"/>
  <c r="CB86" i="25" s="1"/>
  <c r="CB85" i="25" a="1"/>
  <c r="CB85" i="25" s="1"/>
  <c r="CB84" i="25" a="1"/>
  <c r="CB84" i="25" s="1"/>
  <c r="CB76" i="25" a="1"/>
  <c r="CB76" i="25" s="1"/>
  <c r="CB75" i="25" a="1"/>
  <c r="CB75" i="25" s="1"/>
  <c r="CB74" i="25" a="1"/>
  <c r="CB74" i="25"/>
  <c r="CB73" i="25" a="1"/>
  <c r="CB73" i="25" s="1"/>
  <c r="CB69" i="25" a="1"/>
  <c r="CB69" i="25" s="1"/>
  <c r="CB68" i="25" a="1"/>
  <c r="CB68" i="25" s="1"/>
  <c r="CB67" i="25" a="1"/>
  <c r="CB67" i="25" s="1"/>
  <c r="CB66" i="25" a="1"/>
  <c r="CB66" i="25" s="1"/>
  <c r="CB65" i="25" a="1"/>
  <c r="CB65" i="25" s="1"/>
  <c r="CB64" i="25" a="1"/>
  <c r="CB64" i="25" s="1"/>
  <c r="CJ5" i="25"/>
  <c r="CI5" i="25"/>
  <c r="CH5" i="25"/>
  <c r="CG5" i="25"/>
  <c r="CF5" i="25"/>
  <c r="CE5" i="25"/>
  <c r="CD5" i="25"/>
  <c r="CC5" i="25"/>
  <c r="BT104" i="25" a="1"/>
  <c r="BT104" i="25" s="1"/>
  <c r="BT103" i="25" a="1"/>
  <c r="BT103" i="25" s="1"/>
  <c r="BT86" i="25" a="1"/>
  <c r="BT86" i="25" s="1"/>
  <c r="BT85" i="25" a="1"/>
  <c r="BT85" i="25" s="1"/>
  <c r="BT68" i="25" a="1"/>
  <c r="BT68" i="25" s="1"/>
  <c r="BT67" i="25" a="1"/>
  <c r="BT67" i="25" s="1"/>
  <c r="BS96" i="25" a="1"/>
  <c r="BS96" i="25" s="1"/>
  <c r="BS95" i="25" a="1"/>
  <c r="BS95" i="25" s="1"/>
  <c r="BS76" i="25" a="1"/>
  <c r="BS76" i="25" s="1"/>
  <c r="BS75" i="25" a="1"/>
  <c r="BS75" i="25" s="1"/>
  <c r="BS65" i="25" a="1"/>
  <c r="BS65" i="25" s="1"/>
  <c r="BS64" i="25" a="1"/>
  <c r="BS64" i="25" s="1"/>
  <c r="BR94" i="25" a="1"/>
  <c r="BR94" i="25" s="1"/>
  <c r="BR93" i="25" a="1"/>
  <c r="BR93" i="25" s="1"/>
  <c r="BR74" i="25" a="1"/>
  <c r="BR74" i="25" s="1"/>
  <c r="BR64" i="25" a="1"/>
  <c r="BR64" i="25" s="1"/>
  <c r="BQ104" i="25" a="1"/>
  <c r="BQ104" i="25" s="1"/>
  <c r="BQ86" i="25" a="1"/>
  <c r="BQ86" i="25" s="1"/>
  <c r="BP104" i="25" a="1"/>
  <c r="BP104" i="25"/>
  <c r="BP74" i="25" a="1"/>
  <c r="BP74" i="25" s="1"/>
  <c r="BP73" i="25" a="1"/>
  <c r="BP73" i="25" s="1"/>
  <c r="BO104" i="25" a="1"/>
  <c r="BO104" i="25" s="1"/>
  <c r="BO103" i="25" a="1"/>
  <c r="BO103" i="25" s="1"/>
  <c r="BO102" i="25" a="1"/>
  <c r="BO102" i="25" s="1"/>
  <c r="BO96" i="25" a="1"/>
  <c r="BO96" i="25" s="1"/>
  <c r="BO95" i="25" a="1"/>
  <c r="BO95" i="25" s="1"/>
  <c r="BO94" i="25" a="1"/>
  <c r="BO94" i="25" s="1"/>
  <c r="BO93" i="25" a="1"/>
  <c r="BO93" i="25" s="1"/>
  <c r="BO88" i="25" a="1"/>
  <c r="BO88" i="25" s="1"/>
  <c r="BO86" i="25" a="1"/>
  <c r="BO86" i="25" s="1"/>
  <c r="BO85" i="25" a="1"/>
  <c r="BO85" i="25" s="1"/>
  <c r="BO84" i="25" a="1"/>
  <c r="BO84" i="25" s="1"/>
  <c r="BO76" i="25" a="1"/>
  <c r="BO76" i="25" s="1"/>
  <c r="BO75" i="25" a="1"/>
  <c r="BO75" i="25" s="1"/>
  <c r="BO74" i="25" a="1"/>
  <c r="BO74" i="25" s="1"/>
  <c r="BO73" i="25" a="1"/>
  <c r="BO73" i="25" s="1"/>
  <c r="BO69" i="25" a="1"/>
  <c r="BO69" i="25" s="1"/>
  <c r="BO68" i="25" a="1"/>
  <c r="BO68" i="25" s="1"/>
  <c r="BO67" i="25" a="1"/>
  <c r="BO67" i="25" s="1"/>
  <c r="BO66" i="25" a="1"/>
  <c r="BO66" i="25" s="1"/>
  <c r="BO65" i="25" a="1"/>
  <c r="BO65" i="25" s="1"/>
  <c r="BO64" i="25" a="1"/>
  <c r="BO64" i="25" s="1"/>
  <c r="BN104" i="25" a="1"/>
  <c r="BN104" i="25"/>
  <c r="BN103" i="25" a="1"/>
  <c r="BN103" i="25" s="1"/>
  <c r="BN102" i="25" a="1"/>
  <c r="BN102" i="25" s="1"/>
  <c r="BN96" i="25" a="1"/>
  <c r="BN96" i="25"/>
  <c r="BN95" i="25" a="1"/>
  <c r="BN95" i="25" s="1"/>
  <c r="BN94" i="25" a="1"/>
  <c r="BN94" i="25" s="1"/>
  <c r="BN93" i="25" a="1"/>
  <c r="BN93" i="25" s="1"/>
  <c r="BN88" i="25" a="1"/>
  <c r="BN88" i="25" s="1"/>
  <c r="BN86" i="25" a="1"/>
  <c r="BN86" i="25" s="1"/>
  <c r="BN85" i="25" a="1"/>
  <c r="BN85" i="25" s="1"/>
  <c r="BN84" i="25" a="1"/>
  <c r="BN84" i="25"/>
  <c r="BN76" i="25" a="1"/>
  <c r="BN76" i="25" s="1"/>
  <c r="BN75" i="25" a="1"/>
  <c r="BN75" i="25" s="1"/>
  <c r="BN74" i="25" a="1"/>
  <c r="BN74" i="25" s="1"/>
  <c r="BN73" i="25" a="1"/>
  <c r="BN73" i="25" s="1"/>
  <c r="BN69" i="25" a="1"/>
  <c r="BN69" i="25" s="1"/>
  <c r="BN68" i="25" a="1"/>
  <c r="BN68" i="25" s="1"/>
  <c r="BN67" i="25" a="1"/>
  <c r="BN67" i="25" s="1"/>
  <c r="BN66" i="25" a="1"/>
  <c r="BN66" i="25" s="1"/>
  <c r="BN65" i="25" a="1"/>
  <c r="BN65" i="25" s="1"/>
  <c r="BN64" i="25" a="1"/>
  <c r="BN64" i="25" s="1"/>
  <c r="BM104" i="25" a="1"/>
  <c r="BM104" i="25" s="1"/>
  <c r="BM103" i="25" a="1"/>
  <c r="BM103" i="25" s="1"/>
  <c r="BM102" i="25" a="1"/>
  <c r="BM102" i="25" s="1"/>
  <c r="BM96" i="25" a="1"/>
  <c r="BM96" i="25" s="1"/>
  <c r="BM95" i="25" a="1"/>
  <c r="BM95" i="25" s="1"/>
  <c r="BM94" i="25" a="1"/>
  <c r="BM94" i="25" s="1"/>
  <c r="BM93" i="25" a="1"/>
  <c r="BM93" i="25" s="1"/>
  <c r="BM88" i="25" a="1"/>
  <c r="BM88" i="25" s="1"/>
  <c r="BM86" i="25" a="1"/>
  <c r="BM86" i="25" s="1"/>
  <c r="BM85" i="25" a="1"/>
  <c r="BM85" i="25" s="1"/>
  <c r="BM84" i="25" a="1"/>
  <c r="BM84" i="25" s="1"/>
  <c r="BM76" i="25" a="1"/>
  <c r="BM76" i="25" s="1"/>
  <c r="BM75" i="25" a="1"/>
  <c r="BM75" i="25" s="1"/>
  <c r="BM74" i="25" a="1"/>
  <c r="BM74" i="25" s="1"/>
  <c r="BM73" i="25" a="1"/>
  <c r="BM73" i="25"/>
  <c r="BM69" i="25" a="1"/>
  <c r="BM69" i="25" s="1"/>
  <c r="BM68" i="25" a="1"/>
  <c r="BM68" i="25" s="1"/>
  <c r="BM67" i="25" a="1"/>
  <c r="BM67" i="25" s="1"/>
  <c r="BM66" i="25" a="1"/>
  <c r="BM66" i="25" s="1"/>
  <c r="BM65" i="25" a="1"/>
  <c r="BM65" i="25" s="1"/>
  <c r="BM64" i="25" a="1"/>
  <c r="BM64" i="25" s="1"/>
  <c r="BL104" i="25" a="1"/>
  <c r="BL104" i="25" s="1"/>
  <c r="BL103" i="25" a="1"/>
  <c r="BL103" i="25" s="1"/>
  <c r="BL102" i="25" a="1"/>
  <c r="BL102" i="25" s="1"/>
  <c r="BL96" i="25" a="1"/>
  <c r="BL96" i="25" s="1"/>
  <c r="BL95" i="25" a="1"/>
  <c r="BL95" i="25" s="1"/>
  <c r="BL94" i="25" a="1"/>
  <c r="BL94" i="25" s="1"/>
  <c r="BL93" i="25" a="1"/>
  <c r="BL93" i="25" s="1"/>
  <c r="BL88" i="25" a="1"/>
  <c r="BL88" i="25" s="1"/>
  <c r="BL86" i="25" a="1"/>
  <c r="BL86" i="25" s="1"/>
  <c r="BL85" i="25" a="1"/>
  <c r="BL85" i="25" s="1"/>
  <c r="BL84" i="25" a="1"/>
  <c r="BL84" i="25" s="1"/>
  <c r="BL76" i="25" a="1"/>
  <c r="BL76" i="25" s="1"/>
  <c r="BL75" i="25" a="1"/>
  <c r="BL75" i="25" s="1"/>
  <c r="BL74" i="25" a="1"/>
  <c r="BL74" i="25" s="1"/>
  <c r="BL73" i="25" a="1"/>
  <c r="BL73" i="25"/>
  <c r="BL69" i="25" a="1"/>
  <c r="BL69" i="25" s="1"/>
  <c r="BL68" i="25" a="1"/>
  <c r="BL68" i="25" s="1"/>
  <c r="BL67" i="25" a="1"/>
  <c r="BL67" i="25" s="1"/>
  <c r="BL66" i="25" a="1"/>
  <c r="BL66" i="25" s="1"/>
  <c r="BL65" i="25" a="1"/>
  <c r="BL65" i="25" s="1"/>
  <c r="BL64" i="25" a="1"/>
  <c r="BL64" i="25" s="1"/>
  <c r="BT5" i="25"/>
  <c r="BS5" i="25"/>
  <c r="BR5" i="25"/>
  <c r="BQ5" i="25"/>
  <c r="BP5" i="25"/>
  <c r="BO5" i="25"/>
  <c r="BN5" i="25"/>
  <c r="BM5" i="25"/>
  <c r="AW94" i="25" a="1"/>
  <c r="AW94" i="25" s="1"/>
  <c r="AW64" i="25" a="1"/>
  <c r="AW64" i="25" s="1"/>
  <c r="AV104" i="25" a="1"/>
  <c r="AV104" i="25" s="1"/>
  <c r="AV103" i="25" a="1"/>
  <c r="AV103" i="25" s="1"/>
  <c r="AV102" i="25" a="1"/>
  <c r="AV102" i="25" s="1"/>
  <c r="AV96" i="25" a="1"/>
  <c r="AV96" i="25" s="1"/>
  <c r="AV95" i="25" a="1"/>
  <c r="AV95" i="25" s="1"/>
  <c r="AV94" i="25" a="1"/>
  <c r="AV94" i="25" s="1"/>
  <c r="AV93" i="25" a="1"/>
  <c r="AV93" i="25" s="1"/>
  <c r="AV88" i="25" a="1"/>
  <c r="AV88" i="25" s="1"/>
  <c r="AV86" i="25" a="1"/>
  <c r="AV86" i="25" s="1"/>
  <c r="AV85" i="25" a="1"/>
  <c r="AV85" i="25" s="1"/>
  <c r="AV84" i="25" a="1"/>
  <c r="AV84" i="25" s="1"/>
  <c r="AV76" i="25" a="1"/>
  <c r="AV76" i="25" s="1"/>
  <c r="AV75" i="25" a="1"/>
  <c r="AV75" i="25" s="1"/>
  <c r="AV74" i="25" a="1"/>
  <c r="AV74" i="25" s="1"/>
  <c r="AV73" i="25" a="1"/>
  <c r="AV73" i="25" s="1"/>
  <c r="AV69" i="25" a="1"/>
  <c r="AV69" i="25" s="1"/>
  <c r="AV68" i="25" a="1"/>
  <c r="AV68" i="25" s="1"/>
  <c r="AV67" i="25" a="1"/>
  <c r="AV67" i="25" s="1"/>
  <c r="AV66" i="25" a="1"/>
  <c r="AV66" i="25" s="1"/>
  <c r="AV65" i="25" a="1"/>
  <c r="AV65" i="25" s="1"/>
  <c r="AV64" i="25" a="1"/>
  <c r="AV64" i="25" s="1"/>
  <c r="AW5" i="25"/>
  <c r="AW103" i="25" s="1" a="1"/>
  <c r="AW103" i="25" s="1"/>
  <c r="AN85" i="25" a="1"/>
  <c r="AN85" i="25" s="1"/>
  <c r="AM75" i="25" a="1"/>
  <c r="AM75" i="25" s="1"/>
  <c r="AM74" i="25" a="1"/>
  <c r="AM74" i="25" s="1"/>
  <c r="AM64" i="25" a="1"/>
  <c r="AM64" i="25" s="1"/>
  <c r="AK96" i="25" a="1"/>
  <c r="AK96" i="25" s="1"/>
  <c r="AI69" i="25" a="1"/>
  <c r="AI69" i="25" s="1"/>
  <c r="AG104" i="25" a="1"/>
  <c r="AG104" i="25" s="1"/>
  <c r="AG103" i="25" a="1"/>
  <c r="AG103" i="25" s="1"/>
  <c r="AG102" i="25" a="1"/>
  <c r="AG102" i="25" s="1"/>
  <c r="AG96" i="25" a="1"/>
  <c r="AG96" i="25" s="1"/>
  <c r="AG95" i="25" a="1"/>
  <c r="AG95" i="25" s="1"/>
  <c r="AG94" i="25" a="1"/>
  <c r="AG94" i="25" s="1"/>
  <c r="AG93" i="25" a="1"/>
  <c r="AG93" i="25"/>
  <c r="AG88" i="25" a="1"/>
  <c r="AG88" i="25" s="1"/>
  <c r="AG86" i="25" a="1"/>
  <c r="AG86" i="25" s="1"/>
  <c r="AG85" i="25" a="1"/>
  <c r="AG85" i="25" s="1"/>
  <c r="AG84" i="25" a="1"/>
  <c r="AG84" i="25" s="1"/>
  <c r="AG76" i="25" a="1"/>
  <c r="AG76" i="25" s="1"/>
  <c r="AG75" i="25" a="1"/>
  <c r="AG75" i="25" s="1"/>
  <c r="AG74" i="25" a="1"/>
  <c r="AG74" i="25" s="1"/>
  <c r="AG73" i="25" a="1"/>
  <c r="AG73" i="25" s="1"/>
  <c r="AG69" i="25" a="1"/>
  <c r="AG69" i="25" s="1"/>
  <c r="AG68" i="25" a="1"/>
  <c r="AG68" i="25" s="1"/>
  <c r="AG67" i="25" a="1"/>
  <c r="AG67" i="25" s="1"/>
  <c r="AG66" i="25" a="1"/>
  <c r="AG66" i="25" s="1"/>
  <c r="AG65" i="25" a="1"/>
  <c r="AG65" i="25" s="1"/>
  <c r="AG64" i="25" a="1"/>
  <c r="AG64" i="25" s="1"/>
  <c r="AF104" i="25" a="1"/>
  <c r="AF104" i="25" s="1"/>
  <c r="AF103" i="25" a="1"/>
  <c r="AF103" i="25" s="1"/>
  <c r="AF102" i="25" a="1"/>
  <c r="AF102" i="25" s="1"/>
  <c r="AF96" i="25" a="1"/>
  <c r="AF96" i="25" s="1"/>
  <c r="AF95" i="25" a="1"/>
  <c r="AF95" i="25" s="1"/>
  <c r="AF94" i="25" a="1"/>
  <c r="AF94" i="25" s="1"/>
  <c r="AF93" i="25" a="1"/>
  <c r="AF93" i="25" s="1"/>
  <c r="AF88" i="25" a="1"/>
  <c r="AF88" i="25" s="1"/>
  <c r="AF86" i="25" a="1"/>
  <c r="AF86" i="25" s="1"/>
  <c r="AF85" i="25" a="1"/>
  <c r="AF85" i="25" s="1"/>
  <c r="AF84" i="25" a="1"/>
  <c r="AF84" i="25" s="1"/>
  <c r="AF76" i="25" a="1"/>
  <c r="AF76" i="25" s="1"/>
  <c r="AF75" i="25" a="1"/>
  <c r="AF75" i="25" s="1"/>
  <c r="AF74" i="25" a="1"/>
  <c r="AF74" i="25" s="1"/>
  <c r="AF73" i="25" a="1"/>
  <c r="AF73" i="25" s="1"/>
  <c r="AF69" i="25" a="1"/>
  <c r="AF69" i="25" s="1"/>
  <c r="AF68" i="25" a="1"/>
  <c r="AF68" i="25" s="1"/>
  <c r="AF67" i="25" a="1"/>
  <c r="AF67" i="25" s="1"/>
  <c r="AF66" i="25" a="1"/>
  <c r="AF66" i="25" s="1"/>
  <c r="AF65" i="25" a="1"/>
  <c r="AF65" i="25" s="1"/>
  <c r="AF64" i="25" a="1"/>
  <c r="AF64" i="25" s="1"/>
  <c r="AN5" i="25"/>
  <c r="AM5" i="25"/>
  <c r="AL5" i="25"/>
  <c r="AK5" i="25"/>
  <c r="AJ5" i="25"/>
  <c r="AI5" i="25"/>
  <c r="AH5" i="25"/>
  <c r="AG5" i="25"/>
  <c r="X104" i="25" a="1"/>
  <c r="X104" i="25" s="1"/>
  <c r="Q104" i="25" a="1"/>
  <c r="Q104" i="25" s="1"/>
  <c r="P104" i="25" a="1"/>
  <c r="P104" i="25" s="1"/>
  <c r="S103" i="25" a="1"/>
  <c r="S103" i="25" s="1"/>
  <c r="P103" i="25" a="1"/>
  <c r="P103" i="25" s="1"/>
  <c r="U102" i="25" a="1"/>
  <c r="U102" i="25" s="1"/>
  <c r="T102" i="25" a="1"/>
  <c r="T102" i="25" s="1"/>
  <c r="P102" i="25" a="1"/>
  <c r="P102" i="25" s="1"/>
  <c r="V96" i="25" a="1"/>
  <c r="V96" i="25" s="1"/>
  <c r="U96" i="25" a="1"/>
  <c r="U96" i="25" s="1"/>
  <c r="P96" i="25" a="1"/>
  <c r="P96" i="25" s="1"/>
  <c r="V95" i="25" a="1"/>
  <c r="V95" i="25" s="1"/>
  <c r="P95" i="25" a="1"/>
  <c r="P95" i="25" s="1"/>
  <c r="P94" i="25" a="1"/>
  <c r="P94" i="25" s="1"/>
  <c r="X93" i="25" a="1"/>
  <c r="X93" i="25" s="1"/>
  <c r="Q93" i="25" a="1"/>
  <c r="Q93" i="25" s="1"/>
  <c r="P93" i="25" a="1"/>
  <c r="P93" i="25" s="1"/>
  <c r="R88" i="25" a="1"/>
  <c r="R88" i="25" s="1"/>
  <c r="Q88" i="25" a="1"/>
  <c r="Q88" i="25" s="1"/>
  <c r="P88" i="25" a="1"/>
  <c r="P88" i="25" s="1"/>
  <c r="S86" i="25" a="1"/>
  <c r="S86" i="25" s="1"/>
  <c r="R86" i="25" a="1"/>
  <c r="R86" i="25" s="1"/>
  <c r="P86" i="25" a="1"/>
  <c r="P86" i="25" s="1"/>
  <c r="T85" i="25" a="1"/>
  <c r="T85" i="25" s="1"/>
  <c r="S85" i="25" a="1"/>
  <c r="S85" i="25" s="1"/>
  <c r="P85" i="25" a="1"/>
  <c r="P85" i="25" s="1"/>
  <c r="U84" i="25" a="1"/>
  <c r="U84" i="25" s="1"/>
  <c r="T84" i="25" a="1"/>
  <c r="T84" i="25" s="1"/>
  <c r="P84" i="25" a="1"/>
  <c r="P84" i="25" s="1"/>
  <c r="V76" i="25" a="1"/>
  <c r="V76" i="25" s="1"/>
  <c r="U76" i="25" a="1"/>
  <c r="U76" i="25" s="1"/>
  <c r="P76" i="25" a="1"/>
  <c r="P76" i="25" s="1"/>
  <c r="V75" i="25" a="1"/>
  <c r="V75" i="25" s="1"/>
  <c r="P75" i="25" a="1"/>
  <c r="P75" i="25" s="1"/>
  <c r="P74" i="25" a="1"/>
  <c r="P74" i="25" s="1"/>
  <c r="X73" i="25" a="1"/>
  <c r="X73" i="25" s="1"/>
  <c r="S73" i="25" a="1"/>
  <c r="S73" i="25" s="1"/>
  <c r="R73" i="25" a="1"/>
  <c r="R73" i="25" s="1"/>
  <c r="Q73" i="25" a="1"/>
  <c r="Q73" i="25" s="1"/>
  <c r="P73" i="25" a="1"/>
  <c r="P73" i="25" s="1"/>
  <c r="T69" i="25" a="1"/>
  <c r="T69" i="25" s="1"/>
  <c r="S69" i="25" a="1"/>
  <c r="S69" i="25" s="1"/>
  <c r="R69" i="25" a="1"/>
  <c r="R69" i="25" s="1"/>
  <c r="Q69" i="25" a="1"/>
  <c r="Q69" i="25" s="1"/>
  <c r="P69" i="25" a="1"/>
  <c r="P69" i="25" s="1"/>
  <c r="U68" i="25" a="1"/>
  <c r="U68" i="25" s="1"/>
  <c r="T68" i="25" a="1"/>
  <c r="T68" i="25" s="1"/>
  <c r="S68" i="25" a="1"/>
  <c r="S68" i="25" s="1"/>
  <c r="R68" i="25" a="1"/>
  <c r="R68" i="25" s="1"/>
  <c r="P68" i="25" a="1"/>
  <c r="P68" i="25" s="1"/>
  <c r="V67" i="25" a="1"/>
  <c r="V67" i="25" s="1"/>
  <c r="U67" i="25" a="1"/>
  <c r="U67" i="25" s="1"/>
  <c r="T67" i="25" a="1"/>
  <c r="T67" i="25" s="1"/>
  <c r="S67" i="25" a="1"/>
  <c r="S67" i="25" s="1"/>
  <c r="P67" i="25" a="1"/>
  <c r="P67" i="25" s="1"/>
  <c r="U66" i="25" a="1"/>
  <c r="U66" i="25" s="1"/>
  <c r="T66" i="25" a="1"/>
  <c r="T66" i="25" s="1"/>
  <c r="P66" i="25" a="1"/>
  <c r="P66" i="25" s="1"/>
  <c r="X65" i="25" a="1"/>
  <c r="X65" i="25" s="1"/>
  <c r="W65" i="25" a="1"/>
  <c r="W65" i="25" s="1"/>
  <c r="Q65" i="25" a="1"/>
  <c r="Q65" i="25" s="1"/>
  <c r="P65" i="25" a="1"/>
  <c r="P65" i="25" s="1"/>
  <c r="P64" i="25" a="1"/>
  <c r="P64" i="25" s="1"/>
  <c r="R5" i="25"/>
  <c r="S5" i="25"/>
  <c r="T5" i="25"/>
  <c r="U5" i="25"/>
  <c r="V5" i="25"/>
  <c r="W5" i="25"/>
  <c r="X5" i="25"/>
  <c r="Q5" i="25"/>
  <c r="DE104" i="25"/>
  <c r="CZ104" i="25" s="1" a="1"/>
  <c r="CZ104" i="25" s="1"/>
  <c r="DE103" i="25"/>
  <c r="CZ103" i="25" s="1" a="1"/>
  <c r="CZ103" i="25" s="1"/>
  <c r="DE102" i="25"/>
  <c r="CZ102" i="25" s="1" a="1"/>
  <c r="CZ102" i="25" s="1"/>
  <c r="DE96" i="25"/>
  <c r="CY96" i="25" s="1" a="1"/>
  <c r="CY96" i="25" s="1"/>
  <c r="DE95" i="25"/>
  <c r="CY95" i="25" s="1" a="1"/>
  <c r="CY95" i="25" s="1"/>
  <c r="DE94" i="25"/>
  <c r="CZ94" i="25" s="1" a="1"/>
  <c r="CZ94" i="25" s="1"/>
  <c r="DE93" i="25"/>
  <c r="CY93" i="25" s="1" a="1"/>
  <c r="CY93" i="25" s="1"/>
  <c r="DE88" i="25"/>
  <c r="CY88" i="25" s="1" a="1"/>
  <c r="CY88" i="25" s="1"/>
  <c r="DE86" i="25"/>
  <c r="CY86" i="25" s="1" a="1"/>
  <c r="CY86" i="25" s="1"/>
  <c r="DE85" i="25"/>
  <c r="CY85" i="25" s="1" a="1"/>
  <c r="CY85" i="25" s="1"/>
  <c r="DE84" i="25"/>
  <c r="CY84" i="25" s="1" a="1"/>
  <c r="CY84" i="25" s="1"/>
  <c r="DE76" i="25"/>
  <c r="CY76" i="25" s="1" a="1"/>
  <c r="CY76" i="25" s="1"/>
  <c r="DE75" i="25"/>
  <c r="CZ75" i="25" s="1" a="1"/>
  <c r="CZ75" i="25" s="1"/>
  <c r="DE74" i="25"/>
  <c r="CX74" i="25" s="1" a="1"/>
  <c r="CX74" i="25" s="1"/>
  <c r="DE73" i="25"/>
  <c r="CY73" i="25" s="1" a="1"/>
  <c r="CY73" i="25" s="1"/>
  <c r="DE69" i="25"/>
  <c r="CY69" i="25" s="1" a="1"/>
  <c r="CY69" i="25" s="1"/>
  <c r="DE68" i="25"/>
  <c r="CY68" i="25" s="1" a="1"/>
  <c r="CY68" i="25" s="1"/>
  <c r="DE67" i="25"/>
  <c r="CY67" i="25" s="1" a="1"/>
  <c r="CY67" i="25" s="1"/>
  <c r="DE66" i="25"/>
  <c r="CY66" i="25" s="1" a="1"/>
  <c r="CY66" i="25" s="1"/>
  <c r="DE65" i="25"/>
  <c r="CZ65" i="25" s="1" a="1"/>
  <c r="CZ65" i="25" s="1"/>
  <c r="DE64" i="25"/>
  <c r="CY64" i="25" s="1" a="1"/>
  <c r="CY64" i="25" s="1"/>
  <c r="CO104" i="25"/>
  <c r="CG104" i="25" s="1" a="1"/>
  <c r="CG104" i="25" s="1"/>
  <c r="CO103" i="25"/>
  <c r="CG103" i="25" s="1" a="1"/>
  <c r="CG103" i="25" s="1"/>
  <c r="CO102" i="25"/>
  <c r="CG102" i="25" s="1" a="1"/>
  <c r="CG102" i="25" s="1"/>
  <c r="CO96" i="25"/>
  <c r="CG96" i="25" s="1" a="1"/>
  <c r="CG96" i="25" s="1"/>
  <c r="CO95" i="25"/>
  <c r="CH95" i="25" s="1" a="1"/>
  <c r="CH95" i="25" s="1"/>
  <c r="CO94" i="25"/>
  <c r="CJ94" i="25" s="1" a="1"/>
  <c r="CJ94" i="25" s="1"/>
  <c r="CO93" i="25"/>
  <c r="CJ93" i="25" s="1" a="1"/>
  <c r="CJ93" i="25" s="1"/>
  <c r="CO88" i="25"/>
  <c r="CH88" i="25" s="1" a="1"/>
  <c r="CH88" i="25" s="1"/>
  <c r="CO86" i="25"/>
  <c r="CG86" i="25" s="1" a="1"/>
  <c r="CG86" i="25" s="1"/>
  <c r="CO85" i="25"/>
  <c r="CG85" i="25" s="1" a="1"/>
  <c r="CG85" i="25" s="1"/>
  <c r="CO84" i="25"/>
  <c r="CG84" i="25" s="1" a="1"/>
  <c r="CG84" i="25" s="1"/>
  <c r="CO76" i="25"/>
  <c r="CG76" i="25" s="1" a="1"/>
  <c r="CG76" i="25" s="1"/>
  <c r="CO75" i="25"/>
  <c r="CI75" i="25" s="1" a="1"/>
  <c r="CI75" i="25" s="1"/>
  <c r="CO74" i="25"/>
  <c r="CJ74" i="25" s="1" a="1"/>
  <c r="CJ74" i="25" s="1"/>
  <c r="CO73" i="25"/>
  <c r="CJ73" i="25" s="1" a="1"/>
  <c r="CJ73" i="25" s="1"/>
  <c r="CO69" i="25"/>
  <c r="CG69" i="25" s="1" a="1"/>
  <c r="CG69" i="25" s="1"/>
  <c r="CO68" i="25"/>
  <c r="CG68" i="25" s="1" a="1"/>
  <c r="CG68" i="25" s="1"/>
  <c r="CO67" i="25"/>
  <c r="CG67" i="25" s="1" a="1"/>
  <c r="CG67" i="25" s="1"/>
  <c r="CO66" i="25"/>
  <c r="CG66" i="25" s="1" a="1"/>
  <c r="CG66" i="25" s="1"/>
  <c r="CO65" i="25"/>
  <c r="CG65" i="25" s="1" a="1"/>
  <c r="CG65" i="25" s="1"/>
  <c r="CO64" i="25"/>
  <c r="CJ64" i="25" s="1" a="1"/>
  <c r="CJ64" i="25" s="1"/>
  <c r="BY104" i="25"/>
  <c r="BR104" i="25" s="1" a="1"/>
  <c r="BR104" i="25" s="1"/>
  <c r="BY103" i="25"/>
  <c r="BQ103" i="25" s="1" a="1"/>
  <c r="BQ103" i="25" s="1"/>
  <c r="BY102" i="25"/>
  <c r="BT102" i="25" s="1" a="1"/>
  <c r="BT102" i="25" s="1"/>
  <c r="BY96" i="25"/>
  <c r="BT96" i="25" s="1" a="1"/>
  <c r="BT96" i="25" s="1"/>
  <c r="BY95" i="25"/>
  <c r="BT95" i="25" s="1" a="1"/>
  <c r="BT95" i="25" s="1"/>
  <c r="BY94" i="25"/>
  <c r="BS94" i="25" s="1" a="1"/>
  <c r="BS94" i="25" s="1"/>
  <c r="BY93" i="25"/>
  <c r="BS93" i="25" s="1" a="1"/>
  <c r="BS93" i="25" s="1"/>
  <c r="BY88" i="25"/>
  <c r="BR88" i="25" s="1" a="1"/>
  <c r="BR88" i="25" s="1"/>
  <c r="BY86" i="25"/>
  <c r="BP86" i="25" s="1" a="1"/>
  <c r="BP86" i="25" s="1"/>
  <c r="BY85" i="25"/>
  <c r="BQ85" i="25" s="1" a="1"/>
  <c r="BQ85" i="25" s="1"/>
  <c r="BY84" i="25"/>
  <c r="BT84" i="25" s="1" a="1"/>
  <c r="BT84" i="25" s="1"/>
  <c r="BY76" i="25"/>
  <c r="BT76" i="25" s="1" a="1"/>
  <c r="BT76" i="25" s="1"/>
  <c r="BY75" i="25"/>
  <c r="BT75" i="25" s="1" a="1"/>
  <c r="BT75" i="25" s="1"/>
  <c r="BY74" i="25"/>
  <c r="BS74" i="25" s="1" a="1"/>
  <c r="BS74" i="25" s="1"/>
  <c r="BY73" i="25"/>
  <c r="BR73" i="25" s="1" a="1"/>
  <c r="BR73" i="25" s="1"/>
  <c r="BY69" i="25"/>
  <c r="BP69" i="25" s="1" a="1"/>
  <c r="BP69" i="25" s="1"/>
  <c r="BY68" i="25"/>
  <c r="BQ68" i="25" s="1" a="1"/>
  <c r="BQ68" i="25" s="1"/>
  <c r="BY67" i="25"/>
  <c r="BQ67" i="25" s="1" a="1"/>
  <c r="BQ67" i="25" s="1"/>
  <c r="BY66" i="25"/>
  <c r="BT66" i="25" s="1" a="1"/>
  <c r="BT66" i="25" s="1"/>
  <c r="BY65" i="25"/>
  <c r="BT65" i="25" s="1" a="1"/>
  <c r="BT65" i="25" s="1"/>
  <c r="BY64" i="25"/>
  <c r="BT64" i="25" s="1" a="1"/>
  <c r="BT64" i="25" s="1"/>
  <c r="BI104" i="25"/>
  <c r="BI103" i="25"/>
  <c r="BI102" i="25"/>
  <c r="BI96" i="25"/>
  <c r="BI95" i="25"/>
  <c r="BI94" i="25"/>
  <c r="BI93" i="25"/>
  <c r="BI88" i="25"/>
  <c r="BI86" i="25"/>
  <c r="BI85" i="25"/>
  <c r="BI84" i="25"/>
  <c r="BI76" i="25"/>
  <c r="BI75" i="25"/>
  <c r="BI74" i="25"/>
  <c r="BI73" i="25"/>
  <c r="BI69" i="25"/>
  <c r="BI68" i="25"/>
  <c r="BI67" i="25"/>
  <c r="BI66" i="25"/>
  <c r="BI65" i="25"/>
  <c r="BI64" i="25"/>
  <c r="AS104" i="25"/>
  <c r="AJ104" i="25" s="1" a="1"/>
  <c r="AJ104" i="25" s="1"/>
  <c r="AS103" i="25"/>
  <c r="AL103" i="25" s="1" a="1"/>
  <c r="AL103" i="25" s="1"/>
  <c r="AS102" i="25"/>
  <c r="AI102" i="25" s="1" a="1"/>
  <c r="AI102" i="25" s="1"/>
  <c r="AS96" i="25"/>
  <c r="AN96" i="25" s="1" a="1"/>
  <c r="AN96" i="25" s="1"/>
  <c r="AS95" i="25"/>
  <c r="AK95" i="25" s="1" a="1"/>
  <c r="AK95" i="25" s="1"/>
  <c r="AS94" i="25"/>
  <c r="AK94" i="25" s="1" a="1"/>
  <c r="AK94" i="25" s="1"/>
  <c r="AS93" i="25"/>
  <c r="AM93" i="25" s="1" a="1"/>
  <c r="AM93" i="25" s="1"/>
  <c r="AS88" i="25"/>
  <c r="AJ88" i="25" s="1" a="1"/>
  <c r="AJ88" i="25" s="1"/>
  <c r="AS86" i="25"/>
  <c r="AJ86" i="25" s="1" a="1"/>
  <c r="AJ86" i="25" s="1"/>
  <c r="AS85" i="25"/>
  <c r="AL85" i="25" s="1" a="1"/>
  <c r="AL85" i="25" s="1"/>
  <c r="AS84" i="25"/>
  <c r="AL84" i="25" s="1" a="1"/>
  <c r="AL84" i="25" s="1"/>
  <c r="AS76" i="25"/>
  <c r="AN76" i="25" s="1" a="1"/>
  <c r="AN76" i="25" s="1"/>
  <c r="AS75" i="25"/>
  <c r="AK75" i="25" s="1" a="1"/>
  <c r="AK75" i="25" s="1"/>
  <c r="AS74" i="25"/>
  <c r="AK74" i="25" s="1" a="1"/>
  <c r="AK74" i="25" s="1"/>
  <c r="AS73" i="25"/>
  <c r="AM73" i="25" s="1" a="1"/>
  <c r="AM73" i="25" s="1"/>
  <c r="AS69" i="25"/>
  <c r="AJ69" i="25" s="1" a="1"/>
  <c r="AJ69" i="25" s="1"/>
  <c r="AS68" i="25"/>
  <c r="AJ68" i="25" s="1" a="1"/>
  <c r="AJ68" i="25" s="1"/>
  <c r="AS67" i="25"/>
  <c r="AL67" i="25" s="1" a="1"/>
  <c r="AL67" i="25" s="1"/>
  <c r="AS66" i="25"/>
  <c r="AL66" i="25" s="1" a="1"/>
  <c r="AL66" i="25" s="1"/>
  <c r="AS65" i="25"/>
  <c r="AN65" i="25" s="1" a="1"/>
  <c r="AN65" i="25" s="1"/>
  <c r="AS64" i="25"/>
  <c r="AK64" i="25" s="1" a="1"/>
  <c r="AK64" i="25" s="1"/>
  <c r="AC104" i="25"/>
  <c r="W104" i="25" s="1" a="1"/>
  <c r="W104" i="25" s="1"/>
  <c r="AC103" i="25"/>
  <c r="X103" i="25" s="1" a="1"/>
  <c r="X103" i="25" s="1"/>
  <c r="AC102" i="25"/>
  <c r="S102" i="25" s="1" a="1"/>
  <c r="S102" i="25" s="1"/>
  <c r="AC96" i="25"/>
  <c r="T96" i="25" s="1" a="1"/>
  <c r="T96" i="25" s="1"/>
  <c r="AC95" i="25"/>
  <c r="U95" i="25" s="1" a="1"/>
  <c r="U95" i="25" s="1"/>
  <c r="AC94" i="25"/>
  <c r="V94" i="25" s="1" a="1"/>
  <c r="V94" i="25" s="1"/>
  <c r="AC93" i="25"/>
  <c r="W93" i="25" s="1" a="1"/>
  <c r="W93" i="25" s="1"/>
  <c r="AC88" i="25"/>
  <c r="X88" i="25" s="1" a="1"/>
  <c r="X88" i="25" s="1"/>
  <c r="AC86" i="25"/>
  <c r="Q86" i="25" s="1" a="1"/>
  <c r="Q86" i="25" s="1"/>
  <c r="AC85" i="25"/>
  <c r="R85" i="25" s="1" a="1"/>
  <c r="R85" i="25" s="1"/>
  <c r="AC84" i="25"/>
  <c r="S84" i="25" s="1" a="1"/>
  <c r="S84" i="25" s="1"/>
  <c r="AC76" i="25"/>
  <c r="T76" i="25" s="1" a="1"/>
  <c r="T76" i="25" s="1"/>
  <c r="AC75" i="25"/>
  <c r="U75" i="25" s="1" a="1"/>
  <c r="U75" i="25" s="1"/>
  <c r="AC74" i="25"/>
  <c r="V74" i="25" s="1" a="1"/>
  <c r="V74" i="25" s="1"/>
  <c r="AC73" i="25"/>
  <c r="W73" i="25" s="1" a="1"/>
  <c r="W73" i="25" s="1"/>
  <c r="AC69" i="25"/>
  <c r="X69" i="25" s="1" a="1"/>
  <c r="X69" i="25" s="1"/>
  <c r="AC68" i="25"/>
  <c r="Q68" i="25" s="1" a="1"/>
  <c r="Q68" i="25" s="1"/>
  <c r="AC67" i="25"/>
  <c r="R67" i="25" s="1" a="1"/>
  <c r="R67" i="25" s="1"/>
  <c r="AC66" i="25"/>
  <c r="S66" i="25" s="1" a="1"/>
  <c r="S66" i="25" s="1"/>
  <c r="AC65" i="25"/>
  <c r="V65" i="25" s="1" a="1"/>
  <c r="V65" i="25" s="1"/>
  <c r="AC64" i="25"/>
  <c r="U64" i="25" s="1" a="1"/>
  <c r="U64" i="25" s="1"/>
  <c r="B104" i="23"/>
  <c r="B103" i="23"/>
  <c r="B102" i="23"/>
  <c r="B96" i="23"/>
  <c r="B95" i="23"/>
  <c r="B94" i="23"/>
  <c r="B93" i="23"/>
  <c r="B88" i="23"/>
  <c r="B86" i="23"/>
  <c r="B85" i="23"/>
  <c r="B84" i="23"/>
  <c r="B76" i="23"/>
  <c r="B75" i="23"/>
  <c r="B74" i="23"/>
  <c r="B73" i="23"/>
  <c r="B69" i="23"/>
  <c r="B68" i="23"/>
  <c r="B67" i="23"/>
  <c r="B66" i="23"/>
  <c r="B65" i="23"/>
  <c r="B64" i="23"/>
  <c r="C104" i="23"/>
  <c r="C103" i="23"/>
  <c r="C102" i="23"/>
  <c r="C96" i="23"/>
  <c r="C95" i="23"/>
  <c r="C94" i="23"/>
  <c r="C93" i="23"/>
  <c r="C88" i="23"/>
  <c r="C86" i="23"/>
  <c r="C85" i="23"/>
  <c r="C84" i="23"/>
  <c r="C76" i="23"/>
  <c r="C75" i="23"/>
  <c r="C74" i="23"/>
  <c r="C73" i="23"/>
  <c r="C69" i="23"/>
  <c r="CE69" i="9" s="1"/>
  <c r="C68" i="23"/>
  <c r="C67" i="23"/>
  <c r="C66" i="23"/>
  <c r="AO66" i="24" s="1"/>
  <c r="C65" i="23"/>
  <c r="C64" i="23"/>
  <c r="D104" i="23"/>
  <c r="D103" i="23"/>
  <c r="D102" i="23"/>
  <c r="D96" i="23"/>
  <c r="D95" i="23"/>
  <c r="D94" i="23"/>
  <c r="D93" i="23"/>
  <c r="D88" i="23"/>
  <c r="D86" i="23"/>
  <c r="D85" i="23"/>
  <c r="D84" i="23"/>
  <c r="D76" i="23"/>
  <c r="D75" i="23"/>
  <c r="D74" i="23"/>
  <c r="DC74" i="25" s="1"/>
  <c r="D73" i="23"/>
  <c r="D69" i="23"/>
  <c r="D68" i="23"/>
  <c r="D67" i="23"/>
  <c r="D66" i="23"/>
  <c r="D65" i="23"/>
  <c r="D64" i="23"/>
  <c r="BT64" i="17"/>
  <c r="BV64" i="17"/>
  <c r="CJ64" i="17"/>
  <c r="CL64" i="17"/>
  <c r="CZ64" i="17"/>
  <c r="DB64" i="17"/>
  <c r="HX64" i="13"/>
  <c r="HZ64" i="13"/>
  <c r="EV64" i="13"/>
  <c r="EX64" i="13"/>
  <c r="M104" i="23"/>
  <c r="L104" i="23"/>
  <c r="K104" i="23"/>
  <c r="M103" i="23"/>
  <c r="L103" i="23"/>
  <c r="K103" i="23"/>
  <c r="M102" i="23"/>
  <c r="L102" i="23"/>
  <c r="K102" i="23"/>
  <c r="M98" i="23"/>
  <c r="L98" i="23"/>
  <c r="K98" i="23"/>
  <c r="M96" i="23"/>
  <c r="L96" i="23"/>
  <c r="K96" i="23"/>
  <c r="M95" i="23"/>
  <c r="L95" i="23"/>
  <c r="K95" i="23"/>
  <c r="M94" i="23"/>
  <c r="L94" i="23"/>
  <c r="K94" i="23"/>
  <c r="M93" i="23"/>
  <c r="L93" i="23"/>
  <c r="K93" i="23"/>
  <c r="M89" i="23"/>
  <c r="L89" i="23"/>
  <c r="K89" i="23"/>
  <c r="M88" i="23"/>
  <c r="L88" i="23"/>
  <c r="K88" i="23"/>
  <c r="M86" i="23"/>
  <c r="L86" i="23"/>
  <c r="K86" i="23"/>
  <c r="M85" i="23"/>
  <c r="L85" i="23"/>
  <c r="K85" i="23"/>
  <c r="M84" i="23"/>
  <c r="L84" i="23"/>
  <c r="K84" i="23"/>
  <c r="M78" i="23"/>
  <c r="L78" i="23"/>
  <c r="K78" i="23"/>
  <c r="M76" i="23"/>
  <c r="L76" i="23"/>
  <c r="K76" i="23"/>
  <c r="M75" i="23"/>
  <c r="L75" i="23"/>
  <c r="K75" i="23"/>
  <c r="M74" i="23"/>
  <c r="L74" i="23"/>
  <c r="K74" i="23"/>
  <c r="M73" i="23"/>
  <c r="L73" i="23"/>
  <c r="K73" i="23"/>
  <c r="M69" i="23"/>
  <c r="L69" i="23"/>
  <c r="K69" i="23"/>
  <c r="M68" i="23"/>
  <c r="L68" i="23"/>
  <c r="K68" i="23"/>
  <c r="M67" i="23"/>
  <c r="L67" i="23"/>
  <c r="K67" i="23"/>
  <c r="M66" i="23"/>
  <c r="L66" i="23"/>
  <c r="K66" i="23"/>
  <c r="M65" i="23"/>
  <c r="L65" i="23"/>
  <c r="K65" i="23"/>
  <c r="M64" i="23"/>
  <c r="L64" i="23"/>
  <c r="K64" i="23"/>
  <c r="D78" i="23"/>
  <c r="D89" i="23"/>
  <c r="AO93" i="24"/>
  <c r="D98" i="23"/>
  <c r="CS65" i="24"/>
  <c r="DC73" i="25"/>
  <c r="C78" i="23"/>
  <c r="C89" i="23"/>
  <c r="BQ93" i="24"/>
  <c r="AO94" i="24"/>
  <c r="C98" i="23"/>
  <c r="DC103" i="25"/>
  <c r="BC65" i="24"/>
  <c r="B78" i="23"/>
  <c r="B89" i="23"/>
  <c r="BQ93" i="9"/>
  <c r="BC94" i="24"/>
  <c r="B98" i="23"/>
  <c r="AO64" i="24"/>
  <c r="AO64" i="9"/>
  <c r="AA64" i="25"/>
  <c r="OT104" i="17"/>
  <c r="OT103" i="17"/>
  <c r="OT102" i="17"/>
  <c r="OT96" i="17"/>
  <c r="OT95" i="17"/>
  <c r="OT94" i="17"/>
  <c r="OT93" i="17"/>
  <c r="OT88" i="17"/>
  <c r="OT86" i="17"/>
  <c r="OT85" i="17"/>
  <c r="OT84" i="17"/>
  <c r="OT76" i="17"/>
  <c r="OT75" i="17"/>
  <c r="OT74" i="17"/>
  <c r="OT73" i="17"/>
  <c r="OT69" i="17"/>
  <c r="OT68" i="17"/>
  <c r="OT67" i="17"/>
  <c r="OT66" i="17"/>
  <c r="OT65" i="17"/>
  <c r="OT64" i="17"/>
  <c r="OD104" i="17"/>
  <c r="OD103" i="17"/>
  <c r="OD102" i="17"/>
  <c r="OD96" i="17"/>
  <c r="OD95" i="17"/>
  <c r="OD94" i="17"/>
  <c r="OD93" i="17"/>
  <c r="OD88" i="17"/>
  <c r="OD86" i="17"/>
  <c r="OD85" i="17"/>
  <c r="OD84" i="17"/>
  <c r="OD76" i="17"/>
  <c r="OD75" i="17"/>
  <c r="OD74" i="17"/>
  <c r="OD73" i="17"/>
  <c r="OD69" i="17"/>
  <c r="OD68" i="17"/>
  <c r="OD67" i="17"/>
  <c r="OD66" i="17"/>
  <c r="OD65" i="17"/>
  <c r="OD64" i="17"/>
  <c r="NN104" i="17"/>
  <c r="NN103" i="17"/>
  <c r="NN102" i="17"/>
  <c r="NN96" i="17"/>
  <c r="NN95" i="17"/>
  <c r="NN94" i="17"/>
  <c r="NN93" i="17"/>
  <c r="NN88" i="17"/>
  <c r="NN86" i="17"/>
  <c r="NN85" i="17"/>
  <c r="NN84" i="17"/>
  <c r="NN76" i="17"/>
  <c r="NN75" i="17"/>
  <c r="NN74" i="17"/>
  <c r="NN73" i="17"/>
  <c r="NN69" i="17"/>
  <c r="NN68" i="17"/>
  <c r="NN67" i="17"/>
  <c r="NN66" i="17"/>
  <c r="NN65" i="17"/>
  <c r="NN64" i="17"/>
  <c r="MX104" i="17"/>
  <c r="MX103" i="17"/>
  <c r="MX102" i="17"/>
  <c r="MX96" i="17"/>
  <c r="MX95" i="17"/>
  <c r="MX94" i="17"/>
  <c r="MX93" i="17"/>
  <c r="MX88" i="17"/>
  <c r="MX86" i="17"/>
  <c r="MX85" i="17"/>
  <c r="MX84" i="17"/>
  <c r="MX76" i="17"/>
  <c r="MX75" i="17"/>
  <c r="MX74" i="17"/>
  <c r="MX73" i="17"/>
  <c r="MX69" i="17"/>
  <c r="MX68" i="17"/>
  <c r="MX67" i="17"/>
  <c r="MX66" i="17"/>
  <c r="MX65" i="17"/>
  <c r="MX64" i="17"/>
  <c r="MH104" i="17"/>
  <c r="MH103" i="17"/>
  <c r="MH102" i="17"/>
  <c r="MH96" i="17"/>
  <c r="MH95" i="17"/>
  <c r="MH94" i="17"/>
  <c r="MH93" i="17"/>
  <c r="MH88" i="17"/>
  <c r="MH86" i="17"/>
  <c r="MH85" i="17"/>
  <c r="MH84" i="17"/>
  <c r="MH76" i="17"/>
  <c r="MH75" i="17"/>
  <c r="MH74" i="17"/>
  <c r="MH73" i="17"/>
  <c r="MH69" i="17"/>
  <c r="MH68" i="17"/>
  <c r="MH67" i="17"/>
  <c r="MH66" i="17"/>
  <c r="MH65" i="17"/>
  <c r="MH64" i="17"/>
  <c r="LR104" i="17"/>
  <c r="LR103" i="17"/>
  <c r="LR102" i="17"/>
  <c r="LR96" i="17"/>
  <c r="LR95" i="17"/>
  <c r="LR94" i="17"/>
  <c r="LR93" i="17"/>
  <c r="LR88" i="17"/>
  <c r="LR86" i="17"/>
  <c r="LR85" i="17"/>
  <c r="LR84" i="17"/>
  <c r="LR76" i="17"/>
  <c r="LR75" i="17"/>
  <c r="LR74" i="17"/>
  <c r="LR73" i="17"/>
  <c r="LR69" i="17"/>
  <c r="LR68" i="17"/>
  <c r="LR67" i="17"/>
  <c r="LR66" i="17"/>
  <c r="LR65" i="17"/>
  <c r="LR64" i="17"/>
  <c r="LB104" i="17"/>
  <c r="LB103" i="17"/>
  <c r="LB102" i="17"/>
  <c r="LB96" i="17"/>
  <c r="LB95" i="17"/>
  <c r="LB94" i="17"/>
  <c r="LB93" i="17"/>
  <c r="LB88" i="17"/>
  <c r="LB86" i="17"/>
  <c r="LB85" i="17"/>
  <c r="LB84" i="17"/>
  <c r="LB76" i="17"/>
  <c r="LB75" i="17"/>
  <c r="LB74" i="17"/>
  <c r="LB73" i="17"/>
  <c r="LB69" i="17"/>
  <c r="LB68" i="17"/>
  <c r="LB67" i="17"/>
  <c r="LB66" i="17"/>
  <c r="LB65" i="17"/>
  <c r="LB64" i="17"/>
  <c r="KL104" i="17"/>
  <c r="KL103" i="17"/>
  <c r="KL102" i="17"/>
  <c r="KL96" i="17"/>
  <c r="KL95" i="17"/>
  <c r="KL94" i="17"/>
  <c r="KL93" i="17"/>
  <c r="KL88" i="17"/>
  <c r="KL86" i="17"/>
  <c r="KL85" i="17"/>
  <c r="KL84" i="17"/>
  <c r="KL76" i="17"/>
  <c r="KL75" i="17"/>
  <c r="KL74" i="17"/>
  <c r="KL73" i="17"/>
  <c r="KL69" i="17"/>
  <c r="KL68" i="17"/>
  <c r="KL67" i="17"/>
  <c r="KL66" i="17"/>
  <c r="KL65" i="17"/>
  <c r="KL64" i="17"/>
  <c r="JV104" i="17"/>
  <c r="JV103" i="17"/>
  <c r="JV102" i="17"/>
  <c r="JV96" i="17"/>
  <c r="JV95" i="17"/>
  <c r="JV94" i="17"/>
  <c r="JV93" i="17"/>
  <c r="JV88" i="17"/>
  <c r="JV86" i="17"/>
  <c r="JV85" i="17"/>
  <c r="JV84" i="17"/>
  <c r="JV76" i="17"/>
  <c r="JV75" i="17"/>
  <c r="JV74" i="17"/>
  <c r="JV73" i="17"/>
  <c r="JV69" i="17"/>
  <c r="JV68" i="17"/>
  <c r="JV67" i="17"/>
  <c r="JV66" i="17"/>
  <c r="JV65" i="17"/>
  <c r="JV64" i="17"/>
  <c r="JF104" i="17"/>
  <c r="JF103" i="17"/>
  <c r="JF102" i="17"/>
  <c r="JF96" i="17"/>
  <c r="JF95" i="17"/>
  <c r="JF94" i="17"/>
  <c r="JF93" i="17"/>
  <c r="JF88" i="17"/>
  <c r="JF86" i="17"/>
  <c r="JF85" i="17"/>
  <c r="JF84" i="17"/>
  <c r="JF76" i="17"/>
  <c r="JF75" i="17"/>
  <c r="JF74" i="17"/>
  <c r="JF73" i="17"/>
  <c r="JF69" i="17"/>
  <c r="JF68" i="17"/>
  <c r="JF67" i="17"/>
  <c r="JF66" i="17"/>
  <c r="JF65" i="17"/>
  <c r="JF64" i="17"/>
  <c r="IP104" i="17"/>
  <c r="IP103" i="17"/>
  <c r="IP102" i="17"/>
  <c r="IP96" i="17"/>
  <c r="IP95" i="17"/>
  <c r="IP94" i="17"/>
  <c r="IP93" i="17"/>
  <c r="IP88" i="17"/>
  <c r="IP86" i="17"/>
  <c r="IP85" i="17"/>
  <c r="IP84" i="17"/>
  <c r="IP76" i="17"/>
  <c r="IP75" i="17"/>
  <c r="IP74" i="17"/>
  <c r="IP73" i="17"/>
  <c r="IP69" i="17"/>
  <c r="IP68" i="17"/>
  <c r="IP67" i="17"/>
  <c r="IP66" i="17"/>
  <c r="IP65" i="17"/>
  <c r="IP64" i="17"/>
  <c r="HZ104" i="17"/>
  <c r="HZ103" i="17"/>
  <c r="HZ102" i="17"/>
  <c r="HZ96" i="17"/>
  <c r="HZ95" i="17"/>
  <c r="HZ94" i="17"/>
  <c r="HZ93" i="17"/>
  <c r="HZ88" i="17"/>
  <c r="HZ86" i="17"/>
  <c r="HZ85" i="17"/>
  <c r="HZ84" i="17"/>
  <c r="HZ76" i="17"/>
  <c r="HZ75" i="17"/>
  <c r="HZ74" i="17"/>
  <c r="HZ73" i="17"/>
  <c r="HZ69" i="17"/>
  <c r="HZ68" i="17"/>
  <c r="HZ67" i="17"/>
  <c r="HZ66" i="17"/>
  <c r="HZ65" i="17"/>
  <c r="HZ64" i="17"/>
  <c r="HJ104" i="17"/>
  <c r="HJ103" i="17"/>
  <c r="HJ102" i="17"/>
  <c r="HJ96" i="17"/>
  <c r="HJ95" i="17"/>
  <c r="HJ94" i="17"/>
  <c r="HJ93" i="17"/>
  <c r="HJ88" i="17"/>
  <c r="HJ86" i="17"/>
  <c r="HJ85" i="17"/>
  <c r="HJ84" i="17"/>
  <c r="HJ76" i="17"/>
  <c r="HJ75" i="17"/>
  <c r="HJ74" i="17"/>
  <c r="HJ73" i="17"/>
  <c r="HJ69" i="17"/>
  <c r="HJ68" i="17"/>
  <c r="HJ67" i="17"/>
  <c r="HJ66" i="17"/>
  <c r="HJ65" i="17"/>
  <c r="HJ64" i="17"/>
  <c r="GT104" i="17"/>
  <c r="GT103" i="17"/>
  <c r="GT102" i="17"/>
  <c r="GT96" i="17"/>
  <c r="GT95" i="17"/>
  <c r="GT94" i="17"/>
  <c r="GT93" i="17"/>
  <c r="GT88" i="17"/>
  <c r="GT86" i="17"/>
  <c r="GT85" i="17"/>
  <c r="GT84" i="17"/>
  <c r="GT76" i="17"/>
  <c r="GT75" i="17"/>
  <c r="GT74" i="17"/>
  <c r="GT73" i="17"/>
  <c r="GT69" i="17"/>
  <c r="GT68" i="17"/>
  <c r="GT67" i="17"/>
  <c r="GT66" i="17"/>
  <c r="GT65" i="17"/>
  <c r="GT64" i="17"/>
  <c r="GD104" i="17"/>
  <c r="GD103" i="17"/>
  <c r="GD102" i="17"/>
  <c r="GD96" i="17"/>
  <c r="GD95" i="17"/>
  <c r="GD94" i="17"/>
  <c r="GD93" i="17"/>
  <c r="GD88" i="17"/>
  <c r="GD86" i="17"/>
  <c r="GD85" i="17"/>
  <c r="GD84" i="17"/>
  <c r="GD76" i="17"/>
  <c r="GD75" i="17"/>
  <c r="GD74" i="17"/>
  <c r="GD73" i="17"/>
  <c r="GD69" i="17"/>
  <c r="GD68" i="17"/>
  <c r="GD67" i="17"/>
  <c r="GD66" i="17"/>
  <c r="GD65" i="17"/>
  <c r="GD64" i="17"/>
  <c r="FN104" i="17"/>
  <c r="FN103" i="17"/>
  <c r="FN102" i="17"/>
  <c r="FN96" i="17"/>
  <c r="FN95" i="17"/>
  <c r="FN94" i="17"/>
  <c r="FN93" i="17"/>
  <c r="FN88" i="17"/>
  <c r="FN86" i="17"/>
  <c r="FN85" i="17"/>
  <c r="FN84" i="17"/>
  <c r="FN76" i="17"/>
  <c r="FN75" i="17"/>
  <c r="FN74" i="17"/>
  <c r="FN73" i="17"/>
  <c r="FN69" i="17"/>
  <c r="FN68" i="17"/>
  <c r="FN67" i="17"/>
  <c r="FN66" i="17"/>
  <c r="FN65" i="17"/>
  <c r="FN64" i="17"/>
  <c r="EX104" i="17"/>
  <c r="EX103" i="17"/>
  <c r="EX102" i="17"/>
  <c r="EX96" i="17"/>
  <c r="EX95" i="17"/>
  <c r="EX94" i="17"/>
  <c r="EX93" i="17"/>
  <c r="EX88" i="17"/>
  <c r="EX86" i="17"/>
  <c r="EX85" i="17"/>
  <c r="EX84" i="17"/>
  <c r="EX76" i="17"/>
  <c r="EX75" i="17"/>
  <c r="EX74" i="17"/>
  <c r="EX73" i="17"/>
  <c r="EX69" i="17"/>
  <c r="EX68" i="17"/>
  <c r="EX67" i="17"/>
  <c r="EX66" i="17"/>
  <c r="EX65" i="17"/>
  <c r="EX64" i="17"/>
  <c r="EH104" i="17"/>
  <c r="EH103" i="17"/>
  <c r="EH102" i="17"/>
  <c r="EH96" i="17"/>
  <c r="EH95" i="17"/>
  <c r="EH94" i="17"/>
  <c r="EH93" i="17"/>
  <c r="EH88" i="17"/>
  <c r="EH86" i="17"/>
  <c r="EH85" i="17"/>
  <c r="EH84" i="17"/>
  <c r="EH76" i="17"/>
  <c r="EH75" i="17"/>
  <c r="EH74" i="17"/>
  <c r="EH73" i="17"/>
  <c r="EH69" i="17"/>
  <c r="EH68" i="17"/>
  <c r="EH67" i="17"/>
  <c r="EH66" i="17"/>
  <c r="EH65" i="17"/>
  <c r="EH64" i="17"/>
  <c r="DR104" i="17"/>
  <c r="DR103" i="17"/>
  <c r="DR102" i="17"/>
  <c r="DR96" i="17"/>
  <c r="DR95" i="17"/>
  <c r="DR94" i="17"/>
  <c r="DR93" i="17"/>
  <c r="DR88" i="17"/>
  <c r="DR86" i="17"/>
  <c r="DR85" i="17"/>
  <c r="DR84" i="17"/>
  <c r="DR76" i="17"/>
  <c r="DR75" i="17"/>
  <c r="DR74" i="17"/>
  <c r="DR73" i="17"/>
  <c r="DR69" i="17"/>
  <c r="DR68" i="17"/>
  <c r="DR67" i="17"/>
  <c r="DR66" i="17"/>
  <c r="DR65" i="17"/>
  <c r="DR64" i="17"/>
  <c r="DB104" i="17"/>
  <c r="DB103" i="17"/>
  <c r="DB102" i="17"/>
  <c r="DB96" i="17"/>
  <c r="DB95" i="17"/>
  <c r="DB94" i="17"/>
  <c r="DB93" i="17"/>
  <c r="DB88" i="17"/>
  <c r="DB86" i="17"/>
  <c r="DB85" i="17"/>
  <c r="DB84" i="17"/>
  <c r="DB76" i="17"/>
  <c r="DB75" i="17"/>
  <c r="DB74" i="17"/>
  <c r="DB73" i="17"/>
  <c r="DB69" i="17"/>
  <c r="DB68" i="17"/>
  <c r="DB67" i="17"/>
  <c r="DB66" i="17"/>
  <c r="DB65" i="17"/>
  <c r="CL104" i="17"/>
  <c r="CL103" i="17"/>
  <c r="CL102" i="17"/>
  <c r="CL96" i="17"/>
  <c r="CL95" i="17"/>
  <c r="CL94" i="17"/>
  <c r="CL93" i="17"/>
  <c r="CL88" i="17"/>
  <c r="CL86" i="17"/>
  <c r="CL85" i="17"/>
  <c r="CL84" i="17"/>
  <c r="CL76" i="17"/>
  <c r="CL75" i="17"/>
  <c r="CL74" i="17"/>
  <c r="CL73" i="17"/>
  <c r="CL69" i="17"/>
  <c r="CL68" i="17"/>
  <c r="CL67" i="17"/>
  <c r="CL66" i="17"/>
  <c r="CL65" i="17"/>
  <c r="BV104" i="17"/>
  <c r="BV103" i="17"/>
  <c r="BV102" i="17"/>
  <c r="BV96" i="17"/>
  <c r="BV95" i="17"/>
  <c r="BV94" i="17"/>
  <c r="BV93" i="17"/>
  <c r="BV88" i="17"/>
  <c r="BV86" i="17"/>
  <c r="BV85" i="17"/>
  <c r="BV84" i="17"/>
  <c r="BV76" i="17"/>
  <c r="BV75" i="17"/>
  <c r="BV74" i="17"/>
  <c r="BV73" i="17"/>
  <c r="BV69" i="17"/>
  <c r="BV68" i="17"/>
  <c r="BV67" i="17"/>
  <c r="BV66" i="17"/>
  <c r="BV65" i="17"/>
  <c r="OT104" i="16"/>
  <c r="OT103" i="16"/>
  <c r="OT102" i="16"/>
  <c r="OT96" i="16"/>
  <c r="OT95" i="16"/>
  <c r="OT94" i="16"/>
  <c r="OT93" i="16"/>
  <c r="OT88" i="16"/>
  <c r="OT86" i="16"/>
  <c r="OT85" i="16"/>
  <c r="OT84" i="16"/>
  <c r="OT76" i="16"/>
  <c r="OT75" i="16"/>
  <c r="OT74" i="16"/>
  <c r="OT73" i="16"/>
  <c r="OT69" i="16"/>
  <c r="OT68" i="16"/>
  <c r="OT67" i="16"/>
  <c r="OT66" i="16"/>
  <c r="OT65" i="16"/>
  <c r="OT64" i="16"/>
  <c r="OD104" i="16"/>
  <c r="OD103" i="16"/>
  <c r="OD102" i="16"/>
  <c r="OD96" i="16"/>
  <c r="OD95" i="16"/>
  <c r="OD94" i="16"/>
  <c r="OD93" i="16"/>
  <c r="OD88" i="16"/>
  <c r="OD86" i="16"/>
  <c r="OD85" i="16"/>
  <c r="OD84" i="16"/>
  <c r="OD76" i="16"/>
  <c r="OD75" i="16"/>
  <c r="OD74" i="16"/>
  <c r="OD73" i="16"/>
  <c r="OD69" i="16"/>
  <c r="OD68" i="16"/>
  <c r="OD67" i="16"/>
  <c r="OD66" i="16"/>
  <c r="OD65" i="16"/>
  <c r="OD64" i="16"/>
  <c r="NN104" i="16"/>
  <c r="NN103" i="16"/>
  <c r="NN102" i="16"/>
  <c r="NN96" i="16"/>
  <c r="NN95" i="16"/>
  <c r="NN94" i="16"/>
  <c r="NN93" i="16"/>
  <c r="NN88" i="16"/>
  <c r="NN86" i="16"/>
  <c r="NN85" i="16"/>
  <c r="NN84" i="16"/>
  <c r="NN76" i="16"/>
  <c r="NN75" i="16"/>
  <c r="NN74" i="16"/>
  <c r="NN73" i="16"/>
  <c r="NN69" i="16"/>
  <c r="NN68" i="16"/>
  <c r="NN67" i="16"/>
  <c r="NN66" i="16"/>
  <c r="NN65" i="16"/>
  <c r="NN64" i="16"/>
  <c r="MX104" i="16"/>
  <c r="MX103" i="16"/>
  <c r="MX102" i="16"/>
  <c r="MX96" i="16"/>
  <c r="MX95" i="16"/>
  <c r="MX94" i="16"/>
  <c r="MX93" i="16"/>
  <c r="MX88" i="16"/>
  <c r="MX86" i="16"/>
  <c r="MX85" i="16"/>
  <c r="MX84" i="16"/>
  <c r="MX76" i="16"/>
  <c r="MX75" i="16"/>
  <c r="MX74" i="16"/>
  <c r="MX73" i="16"/>
  <c r="MX69" i="16"/>
  <c r="MX68" i="16"/>
  <c r="MX67" i="16"/>
  <c r="MX66" i="16"/>
  <c r="MX65" i="16"/>
  <c r="MX64" i="16"/>
  <c r="MH104" i="16"/>
  <c r="MH103" i="16"/>
  <c r="MH102" i="16"/>
  <c r="MH96" i="16"/>
  <c r="MH95" i="16"/>
  <c r="MH94" i="16"/>
  <c r="MH93" i="16"/>
  <c r="MH88" i="16"/>
  <c r="MH86" i="16"/>
  <c r="MH85" i="16"/>
  <c r="MH84" i="16"/>
  <c r="MH76" i="16"/>
  <c r="MH75" i="16"/>
  <c r="MH74" i="16"/>
  <c r="MH73" i="16"/>
  <c r="MH69" i="16"/>
  <c r="MH68" i="16"/>
  <c r="MH67" i="16"/>
  <c r="MH66" i="16"/>
  <c r="MH65" i="16"/>
  <c r="MH64" i="16"/>
  <c r="LR104" i="16"/>
  <c r="LR103" i="16"/>
  <c r="LR102" i="16"/>
  <c r="LR96" i="16"/>
  <c r="LR95" i="16"/>
  <c r="LR94" i="16"/>
  <c r="LR93" i="16"/>
  <c r="LR88" i="16"/>
  <c r="LR86" i="16"/>
  <c r="LR85" i="16"/>
  <c r="LR84" i="16"/>
  <c r="LR76" i="16"/>
  <c r="LR75" i="16"/>
  <c r="LR74" i="16"/>
  <c r="LR73" i="16"/>
  <c r="LR69" i="16"/>
  <c r="LR68" i="16"/>
  <c r="LR67" i="16"/>
  <c r="LR66" i="16"/>
  <c r="LR65" i="16"/>
  <c r="LR64" i="16"/>
  <c r="LB104" i="16"/>
  <c r="LB103" i="16"/>
  <c r="LB102" i="16"/>
  <c r="LB96" i="16"/>
  <c r="LB95" i="16"/>
  <c r="LB94" i="16"/>
  <c r="LB93" i="16"/>
  <c r="LB88" i="16"/>
  <c r="LB86" i="16"/>
  <c r="LB85" i="16"/>
  <c r="LB84" i="16"/>
  <c r="LB76" i="16"/>
  <c r="LB75" i="16"/>
  <c r="LB74" i="16"/>
  <c r="LB73" i="16"/>
  <c r="LB69" i="16"/>
  <c r="LB68" i="16"/>
  <c r="LB67" i="16"/>
  <c r="LB66" i="16"/>
  <c r="LB65" i="16"/>
  <c r="LB64" i="16"/>
  <c r="KL104" i="16"/>
  <c r="KL103" i="16"/>
  <c r="KL102" i="16"/>
  <c r="KL96" i="16"/>
  <c r="KL95" i="16"/>
  <c r="KL94" i="16"/>
  <c r="KL93" i="16"/>
  <c r="KL88" i="16"/>
  <c r="KL86" i="16"/>
  <c r="KL85" i="16"/>
  <c r="KL84" i="16"/>
  <c r="KL76" i="16"/>
  <c r="KL75" i="16"/>
  <c r="KL74" i="16"/>
  <c r="KL73" i="16"/>
  <c r="KL69" i="16"/>
  <c r="KL68" i="16"/>
  <c r="KL67" i="16"/>
  <c r="KL66" i="16"/>
  <c r="KL65" i="16"/>
  <c r="KL64" i="16"/>
  <c r="JV104" i="16"/>
  <c r="JV103" i="16"/>
  <c r="JV102" i="16"/>
  <c r="JV96" i="16"/>
  <c r="JV95" i="16"/>
  <c r="JV94" i="16"/>
  <c r="JV93" i="16"/>
  <c r="JV88" i="16"/>
  <c r="JV86" i="16"/>
  <c r="JV85" i="16"/>
  <c r="JV84" i="16"/>
  <c r="JV76" i="16"/>
  <c r="JV75" i="16"/>
  <c r="JV74" i="16"/>
  <c r="JV73" i="16"/>
  <c r="JV69" i="16"/>
  <c r="JV68" i="16"/>
  <c r="JV67" i="16"/>
  <c r="JV66" i="16"/>
  <c r="JV65" i="16"/>
  <c r="JV64" i="16"/>
  <c r="JF104" i="16"/>
  <c r="JF103" i="16"/>
  <c r="JF102" i="16"/>
  <c r="JF96" i="16"/>
  <c r="JF95" i="16"/>
  <c r="JF94" i="16"/>
  <c r="JF93" i="16"/>
  <c r="JF88" i="16"/>
  <c r="JF86" i="16"/>
  <c r="JF85" i="16"/>
  <c r="JF84" i="16"/>
  <c r="JF76" i="16"/>
  <c r="JF75" i="16"/>
  <c r="JF74" i="16"/>
  <c r="JF73" i="16"/>
  <c r="JF69" i="16"/>
  <c r="JF68" i="16"/>
  <c r="JF67" i="16"/>
  <c r="JF66" i="16"/>
  <c r="JF65" i="16"/>
  <c r="JF64" i="16"/>
  <c r="IP104" i="16"/>
  <c r="IP103" i="16"/>
  <c r="IP102" i="16"/>
  <c r="IP96" i="16"/>
  <c r="IP95" i="16"/>
  <c r="IP94" i="16"/>
  <c r="IP93" i="16"/>
  <c r="IP88" i="16"/>
  <c r="IP86" i="16"/>
  <c r="IP85" i="16"/>
  <c r="IP84" i="16"/>
  <c r="IP76" i="16"/>
  <c r="IP75" i="16"/>
  <c r="IP74" i="16"/>
  <c r="IP73" i="16"/>
  <c r="IP69" i="16"/>
  <c r="IP68" i="16"/>
  <c r="IP67" i="16"/>
  <c r="IP66" i="16"/>
  <c r="IP65" i="16"/>
  <c r="IP64" i="16"/>
  <c r="HZ104" i="16"/>
  <c r="HZ103" i="16"/>
  <c r="HZ102" i="16"/>
  <c r="HZ96" i="16"/>
  <c r="HZ95" i="16"/>
  <c r="HZ94" i="16"/>
  <c r="HZ93" i="16"/>
  <c r="HZ88" i="16"/>
  <c r="HZ86" i="16"/>
  <c r="HZ85" i="16"/>
  <c r="HZ84" i="16"/>
  <c r="HZ76" i="16"/>
  <c r="HZ75" i="16"/>
  <c r="HZ74" i="16"/>
  <c r="HZ73" i="16"/>
  <c r="HZ69" i="16"/>
  <c r="HZ68" i="16"/>
  <c r="HZ67" i="16"/>
  <c r="HZ66" i="16"/>
  <c r="HZ65" i="16"/>
  <c r="HZ64" i="16"/>
  <c r="HJ104" i="16"/>
  <c r="HJ103" i="16"/>
  <c r="HJ102" i="16"/>
  <c r="HJ96" i="16"/>
  <c r="HJ95" i="16"/>
  <c r="HJ94" i="16"/>
  <c r="HJ93" i="16"/>
  <c r="HJ88" i="16"/>
  <c r="HJ86" i="16"/>
  <c r="HJ85" i="16"/>
  <c r="HJ84" i="16"/>
  <c r="HJ76" i="16"/>
  <c r="HJ75" i="16"/>
  <c r="HJ74" i="16"/>
  <c r="HJ73" i="16"/>
  <c r="HJ69" i="16"/>
  <c r="HJ68" i="16"/>
  <c r="HJ67" i="16"/>
  <c r="HJ66" i="16"/>
  <c r="HJ65" i="16"/>
  <c r="HJ64" i="16"/>
  <c r="GT104" i="16"/>
  <c r="GT103" i="16"/>
  <c r="GT102" i="16"/>
  <c r="GT96" i="16"/>
  <c r="GT95" i="16"/>
  <c r="GT94" i="16"/>
  <c r="GT93" i="16"/>
  <c r="GT88" i="16"/>
  <c r="GT86" i="16"/>
  <c r="GT85" i="16"/>
  <c r="GT84" i="16"/>
  <c r="GT76" i="16"/>
  <c r="GT75" i="16"/>
  <c r="GT74" i="16"/>
  <c r="GT73" i="16"/>
  <c r="GT69" i="16"/>
  <c r="GT68" i="16"/>
  <c r="GT67" i="16"/>
  <c r="GT66" i="16"/>
  <c r="GT65" i="16"/>
  <c r="GT64" i="16"/>
  <c r="GD104" i="16"/>
  <c r="GD103" i="16"/>
  <c r="GD102" i="16"/>
  <c r="GD96" i="16"/>
  <c r="GD95" i="16"/>
  <c r="GD94" i="16"/>
  <c r="GD93" i="16"/>
  <c r="GD88" i="16"/>
  <c r="GD86" i="16"/>
  <c r="GD85" i="16"/>
  <c r="GD84" i="16"/>
  <c r="GD76" i="16"/>
  <c r="GD75" i="16"/>
  <c r="GD74" i="16"/>
  <c r="GD73" i="16"/>
  <c r="GD69" i="16"/>
  <c r="GD68" i="16"/>
  <c r="GD67" i="16"/>
  <c r="GD66" i="16"/>
  <c r="GD65" i="16"/>
  <c r="GD64" i="16"/>
  <c r="FN104" i="16"/>
  <c r="FN103" i="16"/>
  <c r="FN102" i="16"/>
  <c r="FN96" i="16"/>
  <c r="FN95" i="16"/>
  <c r="FN94" i="16"/>
  <c r="FN93" i="16"/>
  <c r="FN88" i="16"/>
  <c r="FN86" i="16"/>
  <c r="FN85" i="16"/>
  <c r="FN84" i="16"/>
  <c r="FN76" i="16"/>
  <c r="FN75" i="16"/>
  <c r="FN74" i="16"/>
  <c r="FN73" i="16"/>
  <c r="FN69" i="16"/>
  <c r="FN68" i="16"/>
  <c r="FN67" i="16"/>
  <c r="FN66" i="16"/>
  <c r="FN65" i="16"/>
  <c r="FN64" i="16"/>
  <c r="EX104" i="16"/>
  <c r="EX103" i="16"/>
  <c r="EX102" i="16"/>
  <c r="EX96" i="16"/>
  <c r="EX95" i="16"/>
  <c r="EX94" i="16"/>
  <c r="EX93" i="16"/>
  <c r="EX88" i="16"/>
  <c r="EX86" i="16"/>
  <c r="EX85" i="16"/>
  <c r="EX84" i="16"/>
  <c r="EX76" i="16"/>
  <c r="EX75" i="16"/>
  <c r="EX74" i="16"/>
  <c r="EX73" i="16"/>
  <c r="EX69" i="16"/>
  <c r="EX68" i="16"/>
  <c r="EX67" i="16"/>
  <c r="EX66" i="16"/>
  <c r="EX65" i="16"/>
  <c r="EX64" i="16"/>
  <c r="EH104" i="16"/>
  <c r="EH103" i="16"/>
  <c r="EH102" i="16"/>
  <c r="EH96" i="16"/>
  <c r="EH95" i="16"/>
  <c r="EH94" i="16"/>
  <c r="EH93" i="16"/>
  <c r="EH88" i="16"/>
  <c r="EH86" i="16"/>
  <c r="EH85" i="16"/>
  <c r="EH84" i="16"/>
  <c r="EH76" i="16"/>
  <c r="EH75" i="16"/>
  <c r="EH74" i="16"/>
  <c r="EH73" i="16"/>
  <c r="EH69" i="16"/>
  <c r="EH68" i="16"/>
  <c r="EH67" i="16"/>
  <c r="EH66" i="16"/>
  <c r="EH65" i="16"/>
  <c r="EH64" i="16"/>
  <c r="DR104" i="16"/>
  <c r="DR103" i="16"/>
  <c r="DR102" i="16"/>
  <c r="DR96" i="16"/>
  <c r="DR95" i="16"/>
  <c r="DR94" i="16"/>
  <c r="DR93" i="16"/>
  <c r="DR88" i="16"/>
  <c r="DR86" i="16"/>
  <c r="DR85" i="16"/>
  <c r="DR84" i="16"/>
  <c r="DR76" i="16"/>
  <c r="DR75" i="16"/>
  <c r="DR74" i="16"/>
  <c r="DR73" i="16"/>
  <c r="DR69" i="16"/>
  <c r="DR68" i="16"/>
  <c r="DR67" i="16"/>
  <c r="DR66" i="16"/>
  <c r="DR65" i="16"/>
  <c r="DR64" i="16"/>
  <c r="DB104" i="16"/>
  <c r="DB103" i="16"/>
  <c r="DB102" i="16"/>
  <c r="DB96" i="16"/>
  <c r="DB95" i="16"/>
  <c r="DB94" i="16"/>
  <c r="DB93" i="16"/>
  <c r="DB88" i="16"/>
  <c r="DB86" i="16"/>
  <c r="DB85" i="16"/>
  <c r="DB84" i="16"/>
  <c r="DB76" i="16"/>
  <c r="DB75" i="16"/>
  <c r="DB74" i="16"/>
  <c r="DB73" i="16"/>
  <c r="DB69" i="16"/>
  <c r="DB68" i="16"/>
  <c r="DB67" i="16"/>
  <c r="DB66" i="16"/>
  <c r="DB65" i="16"/>
  <c r="DB64" i="16"/>
  <c r="CL104" i="16"/>
  <c r="CL103" i="16"/>
  <c r="CL102" i="16"/>
  <c r="CL96" i="16"/>
  <c r="CL95" i="16"/>
  <c r="CL94" i="16"/>
  <c r="CL93" i="16"/>
  <c r="CL88" i="16"/>
  <c r="CL86" i="16"/>
  <c r="CL85" i="16"/>
  <c r="CL84" i="16"/>
  <c r="CL76" i="16"/>
  <c r="CL75" i="16"/>
  <c r="CL74" i="16"/>
  <c r="CL73" i="16"/>
  <c r="CL69" i="16"/>
  <c r="CL68" i="16"/>
  <c r="CL67" i="16"/>
  <c r="CL66" i="16"/>
  <c r="CL65" i="16"/>
  <c r="CL64" i="16"/>
  <c r="BV104" i="16"/>
  <c r="BV103" i="16"/>
  <c r="BV102" i="16"/>
  <c r="BV96" i="16"/>
  <c r="BV95" i="16"/>
  <c r="BV94" i="16"/>
  <c r="BV93" i="16"/>
  <c r="BV88" i="16"/>
  <c r="BV86" i="16"/>
  <c r="BV85" i="16"/>
  <c r="BV84" i="16"/>
  <c r="BV76" i="16"/>
  <c r="BV75" i="16"/>
  <c r="BV74" i="16"/>
  <c r="BV73" i="16"/>
  <c r="BV69" i="16"/>
  <c r="BV68" i="16"/>
  <c r="BV67" i="16"/>
  <c r="BV66" i="16"/>
  <c r="BV65" i="16"/>
  <c r="BV64" i="16"/>
  <c r="OT104" i="15"/>
  <c r="OT103" i="15"/>
  <c r="OT102" i="15"/>
  <c r="OT96" i="15"/>
  <c r="OT95" i="15"/>
  <c r="OT94" i="15"/>
  <c r="OT93" i="15"/>
  <c r="OT88" i="15"/>
  <c r="OT86" i="15"/>
  <c r="OT85" i="15"/>
  <c r="OT84" i="15"/>
  <c r="OT76" i="15"/>
  <c r="OT75" i="15"/>
  <c r="OT74" i="15"/>
  <c r="OT73" i="15"/>
  <c r="OT69" i="15"/>
  <c r="OT68" i="15"/>
  <c r="OT67" i="15"/>
  <c r="OT66" i="15"/>
  <c r="OT65" i="15"/>
  <c r="OT64" i="15"/>
  <c r="OD104" i="15"/>
  <c r="OD103" i="15"/>
  <c r="OD102" i="15"/>
  <c r="OD96" i="15"/>
  <c r="OD95" i="15"/>
  <c r="OD94" i="15"/>
  <c r="OD93" i="15"/>
  <c r="OD88" i="15"/>
  <c r="OD86" i="15"/>
  <c r="OD85" i="15"/>
  <c r="OD84" i="15"/>
  <c r="OD76" i="15"/>
  <c r="OD75" i="15"/>
  <c r="OD74" i="15"/>
  <c r="OD73" i="15"/>
  <c r="OD69" i="15"/>
  <c r="OD68" i="15"/>
  <c r="OD67" i="15"/>
  <c r="OD66" i="15"/>
  <c r="OD65" i="15"/>
  <c r="OD64" i="15"/>
  <c r="NN104" i="15"/>
  <c r="NN103" i="15"/>
  <c r="NN102" i="15"/>
  <c r="NN96" i="15"/>
  <c r="NN95" i="15"/>
  <c r="NN94" i="15"/>
  <c r="NN93" i="15"/>
  <c r="NN88" i="15"/>
  <c r="NN86" i="15"/>
  <c r="NN85" i="15"/>
  <c r="NN84" i="15"/>
  <c r="NN76" i="15"/>
  <c r="NN75" i="15"/>
  <c r="NN74" i="15"/>
  <c r="NN73" i="15"/>
  <c r="NN69" i="15"/>
  <c r="NN68" i="15"/>
  <c r="NN67" i="15"/>
  <c r="NN66" i="15"/>
  <c r="NN65" i="15"/>
  <c r="NN64" i="15"/>
  <c r="MX104" i="15"/>
  <c r="MX103" i="15"/>
  <c r="MX102" i="15"/>
  <c r="MX96" i="15"/>
  <c r="MX95" i="15"/>
  <c r="MX94" i="15"/>
  <c r="MX93" i="15"/>
  <c r="MX88" i="15"/>
  <c r="MX86" i="15"/>
  <c r="MX85" i="15"/>
  <c r="MX84" i="15"/>
  <c r="MX76" i="15"/>
  <c r="MX75" i="15"/>
  <c r="MX74" i="15"/>
  <c r="MX73" i="15"/>
  <c r="MX69" i="15"/>
  <c r="MX68" i="15"/>
  <c r="MX67" i="15"/>
  <c r="MX66" i="15"/>
  <c r="MX65" i="15"/>
  <c r="MX64" i="15"/>
  <c r="MH104" i="15"/>
  <c r="MH103" i="15"/>
  <c r="MH102" i="15"/>
  <c r="MH96" i="15"/>
  <c r="MH95" i="15"/>
  <c r="MH94" i="15"/>
  <c r="MH93" i="15"/>
  <c r="MH88" i="15"/>
  <c r="MH86" i="15"/>
  <c r="MH85" i="15"/>
  <c r="MH84" i="15"/>
  <c r="MH76" i="15"/>
  <c r="MH75" i="15"/>
  <c r="MH74" i="15"/>
  <c r="MH73" i="15"/>
  <c r="MH69" i="15"/>
  <c r="MH68" i="15"/>
  <c r="MH67" i="15"/>
  <c r="MH66" i="15"/>
  <c r="MH65" i="15"/>
  <c r="MH64" i="15"/>
  <c r="LR104" i="15"/>
  <c r="LR103" i="15"/>
  <c r="LR102" i="15"/>
  <c r="LR96" i="15"/>
  <c r="LR95" i="15"/>
  <c r="LR94" i="15"/>
  <c r="LR93" i="15"/>
  <c r="LR88" i="15"/>
  <c r="LR86" i="15"/>
  <c r="LR85" i="15"/>
  <c r="LR84" i="15"/>
  <c r="LR76" i="15"/>
  <c r="LR75" i="15"/>
  <c r="LR74" i="15"/>
  <c r="LR73" i="15"/>
  <c r="LR69" i="15"/>
  <c r="LR68" i="15"/>
  <c r="LR67" i="15"/>
  <c r="LR66" i="15"/>
  <c r="LR65" i="15"/>
  <c r="LR64" i="15"/>
  <c r="LB104" i="15"/>
  <c r="LB103" i="15"/>
  <c r="LB102" i="15"/>
  <c r="LB96" i="15"/>
  <c r="LB95" i="15"/>
  <c r="LB94" i="15"/>
  <c r="LB93" i="15"/>
  <c r="LB88" i="15"/>
  <c r="LB86" i="15"/>
  <c r="LB85" i="15"/>
  <c r="LB84" i="15"/>
  <c r="LB76" i="15"/>
  <c r="LB75" i="15"/>
  <c r="LB74" i="15"/>
  <c r="LB73" i="15"/>
  <c r="LB69" i="15"/>
  <c r="LB68" i="15"/>
  <c r="LB67" i="15"/>
  <c r="LB66" i="15"/>
  <c r="LB65" i="15"/>
  <c r="LB64" i="15"/>
  <c r="KL104" i="15"/>
  <c r="KL103" i="15"/>
  <c r="KL102" i="15"/>
  <c r="KL96" i="15"/>
  <c r="KL95" i="15"/>
  <c r="KL94" i="15"/>
  <c r="KL93" i="15"/>
  <c r="KL88" i="15"/>
  <c r="KL86" i="15"/>
  <c r="KL85" i="15"/>
  <c r="KL84" i="15"/>
  <c r="KL76" i="15"/>
  <c r="KL75" i="15"/>
  <c r="KL74" i="15"/>
  <c r="KL73" i="15"/>
  <c r="KL69" i="15"/>
  <c r="KL68" i="15"/>
  <c r="KL67" i="15"/>
  <c r="KL66" i="15"/>
  <c r="KL65" i="15"/>
  <c r="KL64" i="15"/>
  <c r="JV104" i="15"/>
  <c r="JV103" i="15"/>
  <c r="JV102" i="15"/>
  <c r="JV96" i="15"/>
  <c r="JV95" i="15"/>
  <c r="JV94" i="15"/>
  <c r="JV93" i="15"/>
  <c r="JV88" i="15"/>
  <c r="JV86" i="15"/>
  <c r="JV85" i="15"/>
  <c r="JV84" i="15"/>
  <c r="JV76" i="15"/>
  <c r="JV75" i="15"/>
  <c r="JV74" i="15"/>
  <c r="JV73" i="15"/>
  <c r="JV69" i="15"/>
  <c r="JV68" i="15"/>
  <c r="JV67" i="15"/>
  <c r="JV66" i="15"/>
  <c r="JV65" i="15"/>
  <c r="JV64" i="15"/>
  <c r="JF104" i="15"/>
  <c r="JF103" i="15"/>
  <c r="JF102" i="15"/>
  <c r="JF96" i="15"/>
  <c r="JF95" i="15"/>
  <c r="JF94" i="15"/>
  <c r="JF93" i="15"/>
  <c r="JF88" i="15"/>
  <c r="JF86" i="15"/>
  <c r="JF85" i="15"/>
  <c r="JF84" i="15"/>
  <c r="JF76" i="15"/>
  <c r="JF75" i="15"/>
  <c r="JF74" i="15"/>
  <c r="JF73" i="15"/>
  <c r="JF69" i="15"/>
  <c r="JF68" i="15"/>
  <c r="JF67" i="15"/>
  <c r="JF66" i="15"/>
  <c r="JF65" i="15"/>
  <c r="JF64" i="15"/>
  <c r="IP104" i="15"/>
  <c r="IP103" i="15"/>
  <c r="IP102" i="15"/>
  <c r="IP96" i="15"/>
  <c r="IP95" i="15"/>
  <c r="IP94" i="15"/>
  <c r="IP93" i="15"/>
  <c r="IP88" i="15"/>
  <c r="IP86" i="15"/>
  <c r="IP85" i="15"/>
  <c r="IP84" i="15"/>
  <c r="IP76" i="15"/>
  <c r="IP75" i="15"/>
  <c r="IP74" i="15"/>
  <c r="IP73" i="15"/>
  <c r="IP69" i="15"/>
  <c r="IP68" i="15"/>
  <c r="IP67" i="15"/>
  <c r="IP66" i="15"/>
  <c r="IP65" i="15"/>
  <c r="IP64" i="15"/>
  <c r="HZ104" i="15"/>
  <c r="HZ103" i="15"/>
  <c r="HZ102" i="15"/>
  <c r="HZ96" i="15"/>
  <c r="HZ95" i="15"/>
  <c r="HZ94" i="15"/>
  <c r="HZ93" i="15"/>
  <c r="HZ88" i="15"/>
  <c r="HZ86" i="15"/>
  <c r="HZ85" i="15"/>
  <c r="HZ84" i="15"/>
  <c r="HZ76" i="15"/>
  <c r="HZ75" i="15"/>
  <c r="HZ74" i="15"/>
  <c r="HZ73" i="15"/>
  <c r="HZ69" i="15"/>
  <c r="HZ68" i="15"/>
  <c r="HZ67" i="15"/>
  <c r="HZ66" i="15"/>
  <c r="HZ65" i="15"/>
  <c r="HZ64" i="15"/>
  <c r="HJ104" i="15"/>
  <c r="HJ103" i="15"/>
  <c r="HJ102" i="15"/>
  <c r="HJ96" i="15"/>
  <c r="HJ95" i="15"/>
  <c r="HJ94" i="15"/>
  <c r="HJ93" i="15"/>
  <c r="HJ88" i="15"/>
  <c r="HJ86" i="15"/>
  <c r="HJ85" i="15"/>
  <c r="HJ84" i="15"/>
  <c r="HJ76" i="15"/>
  <c r="HJ75" i="15"/>
  <c r="HJ74" i="15"/>
  <c r="HJ73" i="15"/>
  <c r="HJ69" i="15"/>
  <c r="HJ68" i="15"/>
  <c r="HJ67" i="15"/>
  <c r="HJ66" i="15"/>
  <c r="HJ65" i="15"/>
  <c r="HJ64" i="15"/>
  <c r="GT104" i="15"/>
  <c r="GT103" i="15"/>
  <c r="GT102" i="15"/>
  <c r="GT96" i="15"/>
  <c r="GT95" i="15"/>
  <c r="GT94" i="15"/>
  <c r="GT93" i="15"/>
  <c r="GT88" i="15"/>
  <c r="GT86" i="15"/>
  <c r="GT85" i="15"/>
  <c r="GT84" i="15"/>
  <c r="GT76" i="15"/>
  <c r="GT75" i="15"/>
  <c r="GT74" i="15"/>
  <c r="GT73" i="15"/>
  <c r="GT69" i="15"/>
  <c r="GT68" i="15"/>
  <c r="GT67" i="15"/>
  <c r="GT66" i="15"/>
  <c r="GT65" i="15"/>
  <c r="GT64" i="15"/>
  <c r="GD104" i="15"/>
  <c r="GD103" i="15"/>
  <c r="GD102" i="15"/>
  <c r="GD96" i="15"/>
  <c r="GD95" i="15"/>
  <c r="GD94" i="15"/>
  <c r="GD93" i="15"/>
  <c r="GD88" i="15"/>
  <c r="GD86" i="15"/>
  <c r="GD85" i="15"/>
  <c r="GD84" i="15"/>
  <c r="GD76" i="15"/>
  <c r="GD75" i="15"/>
  <c r="GD74" i="15"/>
  <c r="GD73" i="15"/>
  <c r="GD69" i="15"/>
  <c r="GD68" i="15"/>
  <c r="GD67" i="15"/>
  <c r="GD66" i="15"/>
  <c r="GD65" i="15"/>
  <c r="GD64" i="15"/>
  <c r="FN104" i="15"/>
  <c r="FN103" i="15"/>
  <c r="FN102" i="15"/>
  <c r="FN96" i="15"/>
  <c r="FN95" i="15"/>
  <c r="FN94" i="15"/>
  <c r="FN93" i="15"/>
  <c r="FN88" i="15"/>
  <c r="FN86" i="15"/>
  <c r="FN85" i="15"/>
  <c r="FN84" i="15"/>
  <c r="FN76" i="15"/>
  <c r="FN75" i="15"/>
  <c r="FN74" i="15"/>
  <c r="FN73" i="15"/>
  <c r="FN69" i="15"/>
  <c r="FN68" i="15"/>
  <c r="FN67" i="15"/>
  <c r="FN66" i="15"/>
  <c r="FN65" i="15"/>
  <c r="FN64" i="15"/>
  <c r="EX104" i="15"/>
  <c r="EX103" i="15"/>
  <c r="EX102" i="15"/>
  <c r="EX96" i="15"/>
  <c r="EX95" i="15"/>
  <c r="EX94" i="15"/>
  <c r="EX93" i="15"/>
  <c r="EX88" i="15"/>
  <c r="EX86" i="15"/>
  <c r="EX85" i="15"/>
  <c r="EX84" i="15"/>
  <c r="EX76" i="15"/>
  <c r="EX75" i="15"/>
  <c r="EX74" i="15"/>
  <c r="EX73" i="15"/>
  <c r="EX69" i="15"/>
  <c r="EX68" i="15"/>
  <c r="EX67" i="15"/>
  <c r="EX66" i="15"/>
  <c r="EX65" i="15"/>
  <c r="EX64" i="15"/>
  <c r="EH104" i="15"/>
  <c r="EH103" i="15"/>
  <c r="EH102" i="15"/>
  <c r="EH96" i="15"/>
  <c r="EH95" i="15"/>
  <c r="EH94" i="15"/>
  <c r="EH93" i="15"/>
  <c r="EH88" i="15"/>
  <c r="EH86" i="15"/>
  <c r="EH85" i="15"/>
  <c r="EH84" i="15"/>
  <c r="EH76" i="15"/>
  <c r="EH75" i="15"/>
  <c r="EH74" i="15"/>
  <c r="EH73" i="15"/>
  <c r="EH69" i="15"/>
  <c r="EH68" i="15"/>
  <c r="EH67" i="15"/>
  <c r="EH66" i="15"/>
  <c r="EH65" i="15"/>
  <c r="EH64" i="15"/>
  <c r="DR104" i="15"/>
  <c r="DR103" i="15"/>
  <c r="DR102" i="15"/>
  <c r="DR96" i="15"/>
  <c r="DR95" i="15"/>
  <c r="DR94" i="15"/>
  <c r="DR93" i="15"/>
  <c r="DR88" i="15"/>
  <c r="DR86" i="15"/>
  <c r="DR85" i="15"/>
  <c r="DR84" i="15"/>
  <c r="DR76" i="15"/>
  <c r="DR75" i="15"/>
  <c r="DR74" i="15"/>
  <c r="DR73" i="15"/>
  <c r="DR69" i="15"/>
  <c r="DR68" i="15"/>
  <c r="DR67" i="15"/>
  <c r="DR66" i="15"/>
  <c r="DR65" i="15"/>
  <c r="DR64" i="15"/>
  <c r="DB104" i="15"/>
  <c r="DB103" i="15"/>
  <c r="DB102" i="15"/>
  <c r="DB96" i="15"/>
  <c r="DB95" i="15"/>
  <c r="DB94" i="15"/>
  <c r="DB93" i="15"/>
  <c r="DB88" i="15"/>
  <c r="DB86" i="15"/>
  <c r="DB85" i="15"/>
  <c r="DB84" i="15"/>
  <c r="DB76" i="15"/>
  <c r="DB75" i="15"/>
  <c r="DB74" i="15"/>
  <c r="DB73" i="15"/>
  <c r="DB69" i="15"/>
  <c r="DB68" i="15"/>
  <c r="DB67" i="15"/>
  <c r="DB66" i="15"/>
  <c r="DB65" i="15"/>
  <c r="DB64" i="15"/>
  <c r="CL104" i="15"/>
  <c r="CL103" i="15"/>
  <c r="CL102" i="15"/>
  <c r="CL96" i="15"/>
  <c r="CL95" i="15"/>
  <c r="CL94" i="15"/>
  <c r="CL93" i="15"/>
  <c r="CL88" i="15"/>
  <c r="CL86" i="15"/>
  <c r="CL85" i="15"/>
  <c r="CL84" i="15"/>
  <c r="CL76" i="15"/>
  <c r="CL75" i="15"/>
  <c r="CL74" i="15"/>
  <c r="CL73" i="15"/>
  <c r="CL69" i="15"/>
  <c r="CL68" i="15"/>
  <c r="CL67" i="15"/>
  <c r="CL66" i="15"/>
  <c r="CL65" i="15"/>
  <c r="CL64" i="15"/>
  <c r="BV104" i="15"/>
  <c r="BV103" i="15"/>
  <c r="BV102" i="15"/>
  <c r="BV96" i="15"/>
  <c r="BV95" i="15"/>
  <c r="BV94" i="15"/>
  <c r="BV93" i="15"/>
  <c r="BV88" i="15"/>
  <c r="BV86" i="15"/>
  <c r="BV85" i="15"/>
  <c r="BV84" i="15"/>
  <c r="BV76" i="15"/>
  <c r="BV75" i="15"/>
  <c r="BV74" i="15"/>
  <c r="BV73" i="15"/>
  <c r="BV69" i="15"/>
  <c r="BV68" i="15"/>
  <c r="BV67" i="15"/>
  <c r="BV66" i="15"/>
  <c r="BV65" i="15"/>
  <c r="BV64" i="15"/>
  <c r="OT104" i="13"/>
  <c r="OT103" i="13"/>
  <c r="OT102" i="13"/>
  <c r="OT96" i="13"/>
  <c r="OT95" i="13"/>
  <c r="OT94" i="13"/>
  <c r="OT93" i="13"/>
  <c r="OT88" i="13"/>
  <c r="OT86" i="13"/>
  <c r="OT85" i="13"/>
  <c r="OT84" i="13"/>
  <c r="OT76" i="13"/>
  <c r="OT75" i="13"/>
  <c r="OT74" i="13"/>
  <c r="OT73" i="13"/>
  <c r="OT69" i="13"/>
  <c r="OT68" i="13"/>
  <c r="OT67" i="13"/>
  <c r="OT66" i="13"/>
  <c r="OT65" i="13"/>
  <c r="OT64" i="13"/>
  <c r="OD104" i="13"/>
  <c r="OD103" i="13"/>
  <c r="OD102" i="13"/>
  <c r="OD96" i="13"/>
  <c r="OD95" i="13"/>
  <c r="OD94" i="13"/>
  <c r="OD93" i="13"/>
  <c r="OD88" i="13"/>
  <c r="OD86" i="13"/>
  <c r="OD85" i="13"/>
  <c r="OD84" i="13"/>
  <c r="OD76" i="13"/>
  <c r="OD75" i="13"/>
  <c r="OD74" i="13"/>
  <c r="OD73" i="13"/>
  <c r="OD69" i="13"/>
  <c r="OD68" i="13"/>
  <c r="OD67" i="13"/>
  <c r="OD66" i="13"/>
  <c r="OD65" i="13"/>
  <c r="OD64" i="13"/>
  <c r="NN104" i="13"/>
  <c r="NN103" i="13"/>
  <c r="NN102" i="13"/>
  <c r="NN96" i="13"/>
  <c r="NN95" i="13"/>
  <c r="NN94" i="13"/>
  <c r="NN93" i="13"/>
  <c r="NN88" i="13"/>
  <c r="NN86" i="13"/>
  <c r="NN85" i="13"/>
  <c r="NN84" i="13"/>
  <c r="NN76" i="13"/>
  <c r="NN75" i="13"/>
  <c r="NN74" i="13"/>
  <c r="NN73" i="13"/>
  <c r="NN69" i="13"/>
  <c r="NN68" i="13"/>
  <c r="NN67" i="13"/>
  <c r="NN66" i="13"/>
  <c r="NN65" i="13"/>
  <c r="NN64" i="13"/>
  <c r="MX104" i="13"/>
  <c r="MX103" i="13"/>
  <c r="MX102" i="13"/>
  <c r="MX96" i="13"/>
  <c r="MX95" i="13"/>
  <c r="MX94" i="13"/>
  <c r="MX93" i="13"/>
  <c r="MX88" i="13"/>
  <c r="MX86" i="13"/>
  <c r="MX85" i="13"/>
  <c r="MX84" i="13"/>
  <c r="MX76" i="13"/>
  <c r="MX75" i="13"/>
  <c r="MX74" i="13"/>
  <c r="MX73" i="13"/>
  <c r="MX69" i="13"/>
  <c r="MX68" i="13"/>
  <c r="MX67" i="13"/>
  <c r="MX66" i="13"/>
  <c r="MX65" i="13"/>
  <c r="MX64" i="13"/>
  <c r="MH104" i="13"/>
  <c r="MH103" i="13"/>
  <c r="MH102" i="13"/>
  <c r="MH96" i="13"/>
  <c r="MH95" i="13"/>
  <c r="MH94" i="13"/>
  <c r="MH93" i="13"/>
  <c r="MH88" i="13"/>
  <c r="MH86" i="13"/>
  <c r="MH85" i="13"/>
  <c r="MH84" i="13"/>
  <c r="MH76" i="13"/>
  <c r="MH75" i="13"/>
  <c r="MH74" i="13"/>
  <c r="MH73" i="13"/>
  <c r="MH69" i="13"/>
  <c r="MH68" i="13"/>
  <c r="MH67" i="13"/>
  <c r="MH66" i="13"/>
  <c r="MH65" i="13"/>
  <c r="MH64" i="13"/>
  <c r="LR104" i="13"/>
  <c r="LR103" i="13"/>
  <c r="LR102" i="13"/>
  <c r="LR96" i="13"/>
  <c r="LR95" i="13"/>
  <c r="LR94" i="13"/>
  <c r="LR93" i="13"/>
  <c r="LR88" i="13"/>
  <c r="LR86" i="13"/>
  <c r="LR85" i="13"/>
  <c r="LR84" i="13"/>
  <c r="LR76" i="13"/>
  <c r="LR75" i="13"/>
  <c r="LR74" i="13"/>
  <c r="LR73" i="13"/>
  <c r="LR69" i="13"/>
  <c r="LR68" i="13"/>
  <c r="LR67" i="13"/>
  <c r="LR66" i="13"/>
  <c r="LR65" i="13"/>
  <c r="LR64" i="13"/>
  <c r="LB104" i="13"/>
  <c r="LB103" i="13"/>
  <c r="LB102" i="13"/>
  <c r="LB96" i="13"/>
  <c r="LB95" i="13"/>
  <c r="LB94" i="13"/>
  <c r="LB93" i="13"/>
  <c r="LB88" i="13"/>
  <c r="LB86" i="13"/>
  <c r="LB85" i="13"/>
  <c r="LB84" i="13"/>
  <c r="LB76" i="13"/>
  <c r="LB75" i="13"/>
  <c r="LB74" i="13"/>
  <c r="LB73" i="13"/>
  <c r="LB69" i="13"/>
  <c r="LB68" i="13"/>
  <c r="LB67" i="13"/>
  <c r="LB66" i="13"/>
  <c r="LB65" i="13"/>
  <c r="LB64" i="13"/>
  <c r="KL104" i="13"/>
  <c r="KL103" i="13"/>
  <c r="KL102" i="13"/>
  <c r="KL96" i="13"/>
  <c r="KL95" i="13"/>
  <c r="KL94" i="13"/>
  <c r="KL93" i="13"/>
  <c r="KL88" i="13"/>
  <c r="KL86" i="13"/>
  <c r="KL85" i="13"/>
  <c r="KL84" i="13"/>
  <c r="KL76" i="13"/>
  <c r="KL75" i="13"/>
  <c r="KL74" i="13"/>
  <c r="KL73" i="13"/>
  <c r="KL69" i="13"/>
  <c r="KL68" i="13"/>
  <c r="KL67" i="13"/>
  <c r="KL66" i="13"/>
  <c r="KL65" i="13"/>
  <c r="KL64" i="13"/>
  <c r="JV104" i="13"/>
  <c r="JV103" i="13"/>
  <c r="JV102" i="13"/>
  <c r="JV96" i="13"/>
  <c r="JV95" i="13"/>
  <c r="JV94" i="13"/>
  <c r="JV93" i="13"/>
  <c r="JV88" i="13"/>
  <c r="JV86" i="13"/>
  <c r="JV85" i="13"/>
  <c r="JV84" i="13"/>
  <c r="JV76" i="13"/>
  <c r="JV75" i="13"/>
  <c r="JV74" i="13"/>
  <c r="JV73" i="13"/>
  <c r="JV69" i="13"/>
  <c r="JV68" i="13"/>
  <c r="JV67" i="13"/>
  <c r="JV66" i="13"/>
  <c r="JV65" i="13"/>
  <c r="JV64" i="13"/>
  <c r="JF104" i="13"/>
  <c r="JF103" i="13"/>
  <c r="JF102" i="13"/>
  <c r="JF96" i="13"/>
  <c r="JF95" i="13"/>
  <c r="JF94" i="13"/>
  <c r="JF93" i="13"/>
  <c r="JF88" i="13"/>
  <c r="JF86" i="13"/>
  <c r="JF85" i="13"/>
  <c r="JF84" i="13"/>
  <c r="JF76" i="13"/>
  <c r="JF75" i="13"/>
  <c r="JF74" i="13"/>
  <c r="JF73" i="13"/>
  <c r="JF69" i="13"/>
  <c r="JF68" i="13"/>
  <c r="JF67" i="13"/>
  <c r="JF66" i="13"/>
  <c r="JF65" i="13"/>
  <c r="JF64" i="13"/>
  <c r="IP104" i="13"/>
  <c r="IP103" i="13"/>
  <c r="IP102" i="13"/>
  <c r="IP96" i="13"/>
  <c r="IP95" i="13"/>
  <c r="IP94" i="13"/>
  <c r="IP93" i="13"/>
  <c r="IP88" i="13"/>
  <c r="IP86" i="13"/>
  <c r="IP85" i="13"/>
  <c r="IP84" i="13"/>
  <c r="IP76" i="13"/>
  <c r="IP75" i="13"/>
  <c r="IP74" i="13"/>
  <c r="IP73" i="13"/>
  <c r="IP69" i="13"/>
  <c r="IP68" i="13"/>
  <c r="IP67" i="13"/>
  <c r="IP66" i="13"/>
  <c r="IP65" i="13"/>
  <c r="IP64" i="13"/>
  <c r="HZ104" i="13"/>
  <c r="HZ103" i="13"/>
  <c r="HZ102" i="13"/>
  <c r="HZ96" i="13"/>
  <c r="HZ95" i="13"/>
  <c r="HZ94" i="13"/>
  <c r="HZ93" i="13"/>
  <c r="HZ88" i="13"/>
  <c r="HZ86" i="13"/>
  <c r="HZ85" i="13"/>
  <c r="HZ84" i="13"/>
  <c r="HZ76" i="13"/>
  <c r="HZ75" i="13"/>
  <c r="HZ74" i="13"/>
  <c r="HZ73" i="13"/>
  <c r="HZ69" i="13"/>
  <c r="HZ68" i="13"/>
  <c r="HZ67" i="13"/>
  <c r="HZ66" i="13"/>
  <c r="HZ65" i="13"/>
  <c r="HJ104" i="13"/>
  <c r="HJ103" i="13"/>
  <c r="HJ102" i="13"/>
  <c r="HJ96" i="13"/>
  <c r="HJ95" i="13"/>
  <c r="HJ94" i="13"/>
  <c r="HJ93" i="13"/>
  <c r="HJ88" i="13"/>
  <c r="HJ86" i="13"/>
  <c r="HJ85" i="13"/>
  <c r="HJ84" i="13"/>
  <c r="HJ76" i="13"/>
  <c r="HJ75" i="13"/>
  <c r="HJ74" i="13"/>
  <c r="HJ73" i="13"/>
  <c r="HJ69" i="13"/>
  <c r="HJ68" i="13"/>
  <c r="HJ67" i="13"/>
  <c r="HJ66" i="13"/>
  <c r="HJ65" i="13"/>
  <c r="HJ64" i="13"/>
  <c r="GT104" i="13"/>
  <c r="GT103" i="13"/>
  <c r="GT102" i="13"/>
  <c r="GT96" i="13"/>
  <c r="GT95" i="13"/>
  <c r="GT94" i="13"/>
  <c r="GT93" i="13"/>
  <c r="GT88" i="13"/>
  <c r="GT86" i="13"/>
  <c r="GT85" i="13"/>
  <c r="GT84" i="13"/>
  <c r="GT76" i="13"/>
  <c r="GT75" i="13"/>
  <c r="GT74" i="13"/>
  <c r="GT73" i="13"/>
  <c r="GT69" i="13"/>
  <c r="GT68" i="13"/>
  <c r="GT67" i="13"/>
  <c r="GT66" i="13"/>
  <c r="GT65" i="13"/>
  <c r="GT64" i="13"/>
  <c r="GD104" i="13"/>
  <c r="GD103" i="13"/>
  <c r="GD102" i="13"/>
  <c r="GD96" i="13"/>
  <c r="GD95" i="13"/>
  <c r="GD94" i="13"/>
  <c r="GD93" i="13"/>
  <c r="GD88" i="13"/>
  <c r="GD86" i="13"/>
  <c r="GD85" i="13"/>
  <c r="GD84" i="13"/>
  <c r="GD76" i="13"/>
  <c r="GD75" i="13"/>
  <c r="GD74" i="13"/>
  <c r="GD73" i="13"/>
  <c r="GD69" i="13"/>
  <c r="GD68" i="13"/>
  <c r="GD67" i="13"/>
  <c r="GD66" i="13"/>
  <c r="GD65" i="13"/>
  <c r="GD64" i="13"/>
  <c r="FN104" i="13"/>
  <c r="FN103" i="13"/>
  <c r="FN102" i="13"/>
  <c r="FN96" i="13"/>
  <c r="FN95" i="13"/>
  <c r="FN94" i="13"/>
  <c r="FN93" i="13"/>
  <c r="FN88" i="13"/>
  <c r="FN86" i="13"/>
  <c r="FN85" i="13"/>
  <c r="FN84" i="13"/>
  <c r="FN76" i="13"/>
  <c r="FN75" i="13"/>
  <c r="FN74" i="13"/>
  <c r="FN73" i="13"/>
  <c r="FN69" i="13"/>
  <c r="FN68" i="13"/>
  <c r="FN67" i="13"/>
  <c r="FN66" i="13"/>
  <c r="FN65" i="13"/>
  <c r="FN64" i="13"/>
  <c r="EX104" i="13"/>
  <c r="EX103" i="13"/>
  <c r="EX102" i="13"/>
  <c r="EX96" i="13"/>
  <c r="EX95" i="13"/>
  <c r="EX94" i="13"/>
  <c r="EX93" i="13"/>
  <c r="EX88" i="13"/>
  <c r="EX86" i="13"/>
  <c r="EX85" i="13"/>
  <c r="EX84" i="13"/>
  <c r="EX76" i="13"/>
  <c r="EX75" i="13"/>
  <c r="EX74" i="13"/>
  <c r="EX73" i="13"/>
  <c r="EX69" i="13"/>
  <c r="EX68" i="13"/>
  <c r="EX67" i="13"/>
  <c r="EX66" i="13"/>
  <c r="EX65" i="13"/>
  <c r="EH104" i="13"/>
  <c r="EH103" i="13"/>
  <c r="EH102" i="13"/>
  <c r="EH96" i="13"/>
  <c r="EH95" i="13"/>
  <c r="EH94" i="13"/>
  <c r="EH93" i="13"/>
  <c r="EH88" i="13"/>
  <c r="EH86" i="13"/>
  <c r="EH85" i="13"/>
  <c r="EH84" i="13"/>
  <c r="EH76" i="13"/>
  <c r="EH75" i="13"/>
  <c r="EH74" i="13"/>
  <c r="EH73" i="13"/>
  <c r="EH69" i="13"/>
  <c r="EH68" i="13"/>
  <c r="EH67" i="13"/>
  <c r="EH66" i="13"/>
  <c r="EH65" i="13"/>
  <c r="EH64" i="13"/>
  <c r="DR104" i="13"/>
  <c r="DR103" i="13"/>
  <c r="DR102" i="13"/>
  <c r="DR96" i="13"/>
  <c r="DR95" i="13"/>
  <c r="DR94" i="13"/>
  <c r="DR93" i="13"/>
  <c r="DR88" i="13"/>
  <c r="DR86" i="13"/>
  <c r="DR85" i="13"/>
  <c r="DR84" i="13"/>
  <c r="DR76" i="13"/>
  <c r="DR75" i="13"/>
  <c r="DR74" i="13"/>
  <c r="DR73" i="13"/>
  <c r="DR69" i="13"/>
  <c r="DR68" i="13"/>
  <c r="DR67" i="13"/>
  <c r="DR66" i="13"/>
  <c r="DR65" i="13"/>
  <c r="DR64" i="13"/>
  <c r="DB104" i="13"/>
  <c r="DB103" i="13"/>
  <c r="DB102" i="13"/>
  <c r="DB96" i="13"/>
  <c r="DB95" i="13"/>
  <c r="DB94" i="13"/>
  <c r="DB93" i="13"/>
  <c r="DB88" i="13"/>
  <c r="DB86" i="13"/>
  <c r="DB85" i="13"/>
  <c r="DB84" i="13"/>
  <c r="DB76" i="13"/>
  <c r="DB75" i="13"/>
  <c r="DB74" i="13"/>
  <c r="DB73" i="13"/>
  <c r="DB69" i="13"/>
  <c r="DB68" i="13"/>
  <c r="DB67" i="13"/>
  <c r="DB66" i="13"/>
  <c r="DB65" i="13"/>
  <c r="DB64" i="13"/>
  <c r="FR4" i="13"/>
  <c r="BK4" i="13"/>
  <c r="CL104" i="13"/>
  <c r="CL103" i="13"/>
  <c r="CL102" i="13"/>
  <c r="CL96" i="13"/>
  <c r="CL95" i="13"/>
  <c r="CL94" i="13"/>
  <c r="CL93" i="13"/>
  <c r="CL88" i="13"/>
  <c r="CL86" i="13"/>
  <c r="CL85" i="13"/>
  <c r="CL84" i="13"/>
  <c r="CL76" i="13"/>
  <c r="CL75" i="13"/>
  <c r="CL74" i="13"/>
  <c r="CL73" i="13"/>
  <c r="CL69" i="13"/>
  <c r="CL68" i="13"/>
  <c r="CL67" i="13"/>
  <c r="CL66" i="13"/>
  <c r="CL65" i="13"/>
  <c r="CL64" i="13"/>
  <c r="BT65" i="13"/>
  <c r="BV65" i="13"/>
  <c r="BJ9" i="13"/>
  <c r="BV104" i="13"/>
  <c r="BV103" i="13"/>
  <c r="BV102" i="13"/>
  <c r="BV96" i="13"/>
  <c r="BV95" i="13"/>
  <c r="BV94" i="13"/>
  <c r="BV93" i="13"/>
  <c r="BV88" i="13"/>
  <c r="BV86" i="13"/>
  <c r="BV85" i="13"/>
  <c r="BV84" i="13"/>
  <c r="BV76" i="13"/>
  <c r="BV75" i="13"/>
  <c r="BV74" i="13"/>
  <c r="BV73" i="13"/>
  <c r="BV69" i="13"/>
  <c r="BV68" i="13"/>
  <c r="BV67" i="13"/>
  <c r="BV66" i="13"/>
  <c r="BV64" i="13"/>
  <c r="B33" i="12"/>
  <c r="B32" i="12"/>
  <c r="B31" i="12"/>
  <c r="B27" i="12"/>
  <c r="B24" i="12"/>
  <c r="B94" i="12" s="1"/>
  <c r="B23" i="12"/>
  <c r="B19" i="12"/>
  <c r="B18" i="12"/>
  <c r="B15" i="12"/>
  <c r="B9" i="12"/>
  <c r="B5" i="12"/>
  <c r="B24" i="26"/>
  <c r="B23" i="26"/>
  <c r="B22" i="26"/>
  <c r="B18" i="26"/>
  <c r="B17" i="26"/>
  <c r="B16" i="26"/>
  <c r="B12" i="26"/>
  <c r="B11" i="26"/>
  <c r="B10" i="26"/>
  <c r="B5" i="26"/>
  <c r="B6" i="26"/>
  <c r="B4" i="26"/>
  <c r="B84" i="12"/>
  <c r="BT64" i="15"/>
  <c r="CJ64" i="15"/>
  <c r="CS104" i="9"/>
  <c r="CS103" i="9"/>
  <c r="CS102" i="9"/>
  <c r="CS96" i="9"/>
  <c r="CS95" i="9"/>
  <c r="CS94" i="9"/>
  <c r="CS93" i="9"/>
  <c r="CS88" i="9"/>
  <c r="CS86" i="9"/>
  <c r="CS85" i="9"/>
  <c r="CS84" i="9"/>
  <c r="CS76" i="9"/>
  <c r="CS75" i="9"/>
  <c r="CS74" i="9"/>
  <c r="CS73" i="9"/>
  <c r="CS69" i="9"/>
  <c r="CS68" i="9"/>
  <c r="CS67" i="9"/>
  <c r="CS66" i="9"/>
  <c r="CS65" i="9"/>
  <c r="CS64" i="9"/>
  <c r="CE104" i="9"/>
  <c r="CE103" i="9"/>
  <c r="CE102" i="9"/>
  <c r="CE96" i="9"/>
  <c r="CE95" i="9"/>
  <c r="CE94" i="9"/>
  <c r="CE93" i="9"/>
  <c r="CE88" i="9"/>
  <c r="CE86" i="9"/>
  <c r="CE85" i="9"/>
  <c r="CE84" i="9"/>
  <c r="CE76" i="9"/>
  <c r="CE75" i="9"/>
  <c r="CE74" i="9"/>
  <c r="CE73" i="9"/>
  <c r="CE68" i="9"/>
  <c r="CE67" i="9"/>
  <c r="CE65" i="9"/>
  <c r="CE64" i="9"/>
  <c r="BQ104" i="9"/>
  <c r="BQ103" i="9"/>
  <c r="BQ102" i="9"/>
  <c r="BQ96" i="9"/>
  <c r="BQ95" i="9"/>
  <c r="BQ94" i="9"/>
  <c r="BQ88" i="9"/>
  <c r="BQ86" i="9"/>
  <c r="BQ85" i="9"/>
  <c r="BQ84" i="9"/>
  <c r="BQ76" i="9"/>
  <c r="BQ75" i="9"/>
  <c r="BQ74" i="9"/>
  <c r="BQ73" i="9"/>
  <c r="BQ69" i="9"/>
  <c r="BQ68" i="9"/>
  <c r="BQ67" i="9"/>
  <c r="BQ66" i="9"/>
  <c r="BQ65" i="9"/>
  <c r="BQ64" i="9"/>
  <c r="BC104" i="9"/>
  <c r="BC103" i="9"/>
  <c r="BC102" i="9"/>
  <c r="BC96" i="9"/>
  <c r="BC95" i="9"/>
  <c r="BC94" i="9"/>
  <c r="BC93" i="9"/>
  <c r="BC88" i="9"/>
  <c r="BC86" i="9"/>
  <c r="BC85" i="9"/>
  <c r="BC84" i="9"/>
  <c r="BC74" i="9"/>
  <c r="BC73" i="9"/>
  <c r="BC69" i="9"/>
  <c r="BC68" i="9"/>
  <c r="BC67" i="9"/>
  <c r="BC64" i="9"/>
  <c r="AO104" i="9"/>
  <c r="AO103" i="9"/>
  <c r="AO102" i="9"/>
  <c r="AO96" i="9"/>
  <c r="AO95" i="9"/>
  <c r="AO94" i="9"/>
  <c r="AO93" i="9"/>
  <c r="AO88" i="9"/>
  <c r="AO86" i="9"/>
  <c r="AO85" i="9"/>
  <c r="AO84" i="9"/>
  <c r="AO76" i="9"/>
  <c r="AO75" i="9"/>
  <c r="AO74" i="9"/>
  <c r="AO73" i="9"/>
  <c r="AO69" i="9"/>
  <c r="AO68" i="9"/>
  <c r="AO67" i="9"/>
  <c r="AO66" i="9"/>
  <c r="AO65" i="9"/>
  <c r="AA104" i="9"/>
  <c r="AA102" i="9"/>
  <c r="AA96" i="9"/>
  <c r="AA95" i="9"/>
  <c r="AA94" i="9"/>
  <c r="AA93" i="9"/>
  <c r="AA88" i="9"/>
  <c r="AA86" i="9"/>
  <c r="AA85" i="9"/>
  <c r="AA84" i="9"/>
  <c r="AA76" i="9"/>
  <c r="AA75" i="9"/>
  <c r="AA73" i="9"/>
  <c r="AA69" i="9"/>
  <c r="AA68" i="9"/>
  <c r="AA67" i="9"/>
  <c r="AA66" i="9"/>
  <c r="AA65" i="9"/>
  <c r="AA64" i="9"/>
  <c r="DC104" i="25"/>
  <c r="DC102" i="25"/>
  <c r="DC96" i="25"/>
  <c r="DC95" i="25"/>
  <c r="DC94" i="25"/>
  <c r="DC93" i="25"/>
  <c r="DC88" i="25"/>
  <c r="DC86" i="25"/>
  <c r="DC85" i="25"/>
  <c r="DC84" i="25"/>
  <c r="DC76" i="25"/>
  <c r="DC75" i="25"/>
  <c r="DC69" i="25"/>
  <c r="DC68" i="25"/>
  <c r="DC67" i="25"/>
  <c r="DC66" i="25"/>
  <c r="DC65" i="25"/>
  <c r="DC64" i="25"/>
  <c r="CS6" i="25"/>
  <c r="CT6" i="25" s="1"/>
  <c r="CU6" i="25" s="1"/>
  <c r="CV6" i="25" s="1"/>
  <c r="CW6" i="25" s="1"/>
  <c r="CX6" i="25" s="1"/>
  <c r="CY6" i="25" s="1"/>
  <c r="CZ6" i="25" s="1"/>
  <c r="CM104" i="25"/>
  <c r="CM103" i="25"/>
  <c r="CM102" i="25"/>
  <c r="CM96" i="25"/>
  <c r="CM95" i="25"/>
  <c r="CM94" i="25"/>
  <c r="CM93" i="25"/>
  <c r="CM88" i="25"/>
  <c r="CM86" i="25"/>
  <c r="CM85" i="25"/>
  <c r="CM84" i="25"/>
  <c r="CM76" i="25"/>
  <c r="CM75" i="25"/>
  <c r="CM74" i="25"/>
  <c r="CM73" i="25"/>
  <c r="CM69" i="25"/>
  <c r="CM68" i="25"/>
  <c r="CM67" i="25"/>
  <c r="CM66" i="25"/>
  <c r="CM65" i="25"/>
  <c r="CM64" i="25"/>
  <c r="CC6" i="25"/>
  <c r="CD6" i="25" s="1"/>
  <c r="CE6" i="25" s="1"/>
  <c r="CF6" i="25" s="1"/>
  <c r="CG6" i="25" s="1"/>
  <c r="CH6" i="25" s="1"/>
  <c r="CI6" i="25" s="1"/>
  <c r="CJ6" i="25" s="1"/>
  <c r="BW104" i="25"/>
  <c r="BW103" i="25"/>
  <c r="BW102" i="25"/>
  <c r="BW96" i="25"/>
  <c r="BW95" i="25"/>
  <c r="BW94" i="25"/>
  <c r="BW93" i="25"/>
  <c r="BW88" i="25"/>
  <c r="BW86" i="25"/>
  <c r="BW85" i="25"/>
  <c r="BW84" i="25"/>
  <c r="BW76" i="25"/>
  <c r="BW75" i="25"/>
  <c r="BW74" i="25"/>
  <c r="BW73" i="25"/>
  <c r="BW69" i="25"/>
  <c r="BW68" i="25"/>
  <c r="BW67" i="25"/>
  <c r="BW66" i="25"/>
  <c r="BW65" i="25"/>
  <c r="BW64" i="25"/>
  <c r="BM6" i="25"/>
  <c r="BN6" i="25" s="1"/>
  <c r="BO6" i="25" s="1"/>
  <c r="BP6" i="25" s="1"/>
  <c r="BQ6" i="25" s="1"/>
  <c r="BR6" i="25" s="1"/>
  <c r="BS6" i="25" s="1"/>
  <c r="BT6" i="25" s="1"/>
  <c r="BG104" i="25"/>
  <c r="BG103" i="25"/>
  <c r="BG102" i="25"/>
  <c r="BG96" i="25"/>
  <c r="BG95" i="25"/>
  <c r="BG94" i="25"/>
  <c r="BG93" i="25"/>
  <c r="BG88" i="25"/>
  <c r="BG86" i="25"/>
  <c r="BG85" i="25"/>
  <c r="BG84" i="25"/>
  <c r="BG76" i="25"/>
  <c r="BG75" i="25"/>
  <c r="BG74" i="25"/>
  <c r="BG73" i="25"/>
  <c r="BG69" i="25"/>
  <c r="BG68" i="25"/>
  <c r="BG67" i="25"/>
  <c r="BG66" i="25"/>
  <c r="BG65" i="25"/>
  <c r="BG64" i="25"/>
  <c r="AW6" i="25"/>
  <c r="AX6" i="25" s="1"/>
  <c r="AY6" i="25" s="1"/>
  <c r="AZ6" i="25" s="1"/>
  <c r="BA6" i="25" s="1"/>
  <c r="BB6" i="25" s="1"/>
  <c r="BC6" i="25" s="1"/>
  <c r="BD6" i="25" s="1"/>
  <c r="AQ104" i="25"/>
  <c r="AQ103" i="25"/>
  <c r="AQ102" i="25"/>
  <c r="AQ96" i="25"/>
  <c r="AQ95" i="25"/>
  <c r="AQ94" i="25"/>
  <c r="AQ93" i="25"/>
  <c r="AQ88" i="25"/>
  <c r="AQ86" i="25"/>
  <c r="AQ85" i="25"/>
  <c r="AQ84" i="25"/>
  <c r="AQ76" i="25"/>
  <c r="AQ75" i="25"/>
  <c r="AQ74" i="25"/>
  <c r="AQ73" i="25"/>
  <c r="AQ69" i="25"/>
  <c r="AQ68" i="25"/>
  <c r="AQ67" i="25"/>
  <c r="AQ66" i="25"/>
  <c r="AQ65" i="25"/>
  <c r="AQ64" i="25"/>
  <c r="AG6" i="25"/>
  <c r="AH6" i="25" s="1"/>
  <c r="AI6" i="25" s="1"/>
  <c r="AJ6" i="25" s="1"/>
  <c r="AK6" i="25" s="1"/>
  <c r="AL6" i="25" s="1"/>
  <c r="AM6" i="25" s="1"/>
  <c r="AN6" i="25" s="1"/>
  <c r="Q6" i="25"/>
  <c r="R6" i="25" s="1"/>
  <c r="S6" i="25" s="1"/>
  <c r="T6" i="25" s="1"/>
  <c r="U6" i="25" s="1"/>
  <c r="V6" i="25" s="1"/>
  <c r="W6" i="25" s="1"/>
  <c r="X6" i="25" s="1"/>
  <c r="AA104" i="25"/>
  <c r="AA103" i="25"/>
  <c r="AA102" i="25"/>
  <c r="AA96" i="25"/>
  <c r="AA95" i="25"/>
  <c r="AA94" i="25"/>
  <c r="AA93" i="25"/>
  <c r="AA88" i="25"/>
  <c r="AA86" i="25"/>
  <c r="AA85" i="25"/>
  <c r="AA84" i="25"/>
  <c r="AA76" i="25"/>
  <c r="AA75" i="25"/>
  <c r="AA74" i="25"/>
  <c r="AA73" i="25"/>
  <c r="AA69" i="25"/>
  <c r="AA68" i="25"/>
  <c r="AA67" i="25"/>
  <c r="AA66" i="25"/>
  <c r="AA65" i="25"/>
  <c r="AA104" i="24"/>
  <c r="AA103" i="24"/>
  <c r="AA102" i="24"/>
  <c r="AA96" i="24"/>
  <c r="AA95" i="24"/>
  <c r="AA94" i="24"/>
  <c r="AA93" i="24"/>
  <c r="AA88" i="24"/>
  <c r="AA86" i="24"/>
  <c r="AA85" i="24"/>
  <c r="AA84" i="24"/>
  <c r="AA76" i="24"/>
  <c r="AA75" i="24"/>
  <c r="AA74" i="24"/>
  <c r="AA73" i="24"/>
  <c r="AA69" i="24"/>
  <c r="AA68" i="24"/>
  <c r="AA67" i="24"/>
  <c r="AA66" i="24"/>
  <c r="AA65" i="24"/>
  <c r="AA64" i="24"/>
  <c r="CS104" i="24"/>
  <c r="CS103" i="24"/>
  <c r="CS102" i="24"/>
  <c r="CS96" i="24"/>
  <c r="CS95" i="24"/>
  <c r="CS94" i="24"/>
  <c r="CS88" i="24"/>
  <c r="CS86" i="24"/>
  <c r="CS85" i="24"/>
  <c r="CS84" i="24"/>
  <c r="CS76" i="24"/>
  <c r="CS75" i="24"/>
  <c r="CS74" i="24"/>
  <c r="CS73" i="24"/>
  <c r="CS69" i="24"/>
  <c r="CS68" i="24"/>
  <c r="CS67" i="24"/>
  <c r="CS66" i="24"/>
  <c r="CE104" i="24"/>
  <c r="CE103" i="24"/>
  <c r="CE102" i="24"/>
  <c r="CE96" i="24"/>
  <c r="CE95" i="24"/>
  <c r="CE94" i="24"/>
  <c r="CE88" i="24"/>
  <c r="CE86" i="24"/>
  <c r="CE85" i="24"/>
  <c r="CE84" i="24"/>
  <c r="CE76" i="24"/>
  <c r="CE75" i="24"/>
  <c r="CE74" i="24"/>
  <c r="CE73" i="24"/>
  <c r="CE69" i="24"/>
  <c r="CE68" i="24"/>
  <c r="CE67" i="24"/>
  <c r="CE66" i="24"/>
  <c r="CE65" i="24"/>
  <c r="BQ104" i="24"/>
  <c r="BQ103" i="24"/>
  <c r="BQ102" i="24"/>
  <c r="BQ96" i="24"/>
  <c r="BQ95" i="24"/>
  <c r="BQ94" i="24"/>
  <c r="BQ88" i="24"/>
  <c r="BQ86" i="24"/>
  <c r="BQ85" i="24"/>
  <c r="BQ84" i="24"/>
  <c r="BQ76" i="24"/>
  <c r="BQ75" i="24"/>
  <c r="BQ74" i="24"/>
  <c r="BQ73" i="24"/>
  <c r="BQ69" i="24"/>
  <c r="BQ68" i="24"/>
  <c r="BQ67" i="24"/>
  <c r="BQ66" i="24"/>
  <c r="BQ65" i="24"/>
  <c r="BC104" i="24"/>
  <c r="BC103" i="24"/>
  <c r="BC102" i="24"/>
  <c r="BC96" i="24"/>
  <c r="BC95" i="24"/>
  <c r="BC93" i="24"/>
  <c r="BC88" i="24"/>
  <c r="BC86" i="24"/>
  <c r="BC85" i="24"/>
  <c r="BC84" i="24"/>
  <c r="BC76" i="24"/>
  <c r="BC75" i="24"/>
  <c r="BC74" i="24"/>
  <c r="BC73" i="24"/>
  <c r="BC69" i="24"/>
  <c r="BC68" i="24"/>
  <c r="BC67" i="24"/>
  <c r="BC66" i="24"/>
  <c r="AO104" i="24"/>
  <c r="AO103" i="24"/>
  <c r="AO102" i="24"/>
  <c r="AO96" i="24"/>
  <c r="AO95" i="24"/>
  <c r="AO88" i="24"/>
  <c r="AO86" i="24"/>
  <c r="AO85" i="24"/>
  <c r="AO84" i="24"/>
  <c r="AO76" i="24"/>
  <c r="AO75" i="24"/>
  <c r="AO74" i="24"/>
  <c r="AO69" i="24"/>
  <c r="AO68" i="24"/>
  <c r="AO67" i="24"/>
  <c r="CH7" i="24"/>
  <c r="BT7" i="24"/>
  <c r="BF7" i="24"/>
  <c r="AR7" i="24"/>
  <c r="AD7" i="24"/>
  <c r="P7" i="24"/>
  <c r="CI6" i="24"/>
  <c r="CI7" i="24" s="1"/>
  <c r="CH5" i="24"/>
  <c r="BU6" i="24"/>
  <c r="BU7" i="24" s="1"/>
  <c r="BT5" i="24"/>
  <c r="BG6" i="24"/>
  <c r="BH6" i="24" s="1"/>
  <c r="BI6" i="24" s="1"/>
  <c r="BJ6" i="24" s="1"/>
  <c r="BK6" i="24" s="1"/>
  <c r="BL6" i="24" s="1"/>
  <c r="BM6" i="24" s="1"/>
  <c r="BN6" i="24" s="1"/>
  <c r="BN7" i="24" s="1"/>
  <c r="BF5" i="24"/>
  <c r="AS6" i="24"/>
  <c r="AR5" i="24"/>
  <c r="AE6" i="24"/>
  <c r="AF6" i="24" s="1"/>
  <c r="AD5" i="24"/>
  <c r="KJ64" i="13"/>
  <c r="CJ64" i="13"/>
  <c r="AJ64" i="13"/>
  <c r="KJ64" i="15"/>
  <c r="AJ64" i="15"/>
  <c r="KJ64" i="16"/>
  <c r="CJ64" i="16"/>
  <c r="AJ64" i="16"/>
  <c r="KJ64" i="17"/>
  <c r="AJ64" i="17"/>
  <c r="P5" i="24"/>
  <c r="P102" i="24" s="1"/>
  <c r="Q6" i="24"/>
  <c r="OR84" i="17"/>
  <c r="OB84" i="17"/>
  <c r="NL84" i="17"/>
  <c r="MV84" i="17"/>
  <c r="MF84" i="17"/>
  <c r="LP84" i="17"/>
  <c r="KZ84" i="17"/>
  <c r="KJ84" i="17"/>
  <c r="JT84" i="17"/>
  <c r="JD84" i="17"/>
  <c r="IN84" i="17"/>
  <c r="HX84" i="17"/>
  <c r="HH84" i="17"/>
  <c r="GR84" i="17"/>
  <c r="GB84" i="17"/>
  <c r="FL84" i="17"/>
  <c r="EV84" i="17"/>
  <c r="EF84" i="17"/>
  <c r="DP84" i="17"/>
  <c r="CZ84" i="17"/>
  <c r="CJ84" i="17"/>
  <c r="BT84" i="17"/>
  <c r="BF84" i="17"/>
  <c r="BD84" i="17"/>
  <c r="BB84" i="17"/>
  <c r="AQ84" i="17" a="1"/>
  <c r="AQ84" i="17" s="1"/>
  <c r="AN84" i="17"/>
  <c r="AL84" i="17"/>
  <c r="AJ84" i="17"/>
  <c r="Y84" i="17" a="1"/>
  <c r="Y84" i="17" s="1"/>
  <c r="OR84" i="16"/>
  <c r="OB84" i="16"/>
  <c r="NL84" i="16"/>
  <c r="MV84" i="16"/>
  <c r="MF84" i="16"/>
  <c r="LP84" i="16"/>
  <c r="KZ84" i="16"/>
  <c r="KJ84" i="16"/>
  <c r="JT84" i="16"/>
  <c r="JD84" i="16"/>
  <c r="IN84" i="16"/>
  <c r="HX84" i="16"/>
  <c r="HH84" i="16"/>
  <c r="GR84" i="16"/>
  <c r="GB84" i="16"/>
  <c r="FL84" i="16"/>
  <c r="EV84" i="16"/>
  <c r="EF84" i="16"/>
  <c r="DP84" i="16"/>
  <c r="CZ84" i="16"/>
  <c r="CJ84" i="16"/>
  <c r="BT84" i="16"/>
  <c r="BF84" i="16"/>
  <c r="BD84" i="16"/>
  <c r="BB84" i="16"/>
  <c r="AQ84" i="16" a="1"/>
  <c r="AQ84" i="16" s="1"/>
  <c r="AN84" i="16"/>
  <c r="AL84" i="16"/>
  <c r="AJ84" i="16"/>
  <c r="Y84" i="16" a="1"/>
  <c r="Y84" i="16" s="1"/>
  <c r="OR84" i="15"/>
  <c r="OB84" i="15"/>
  <c r="NL84" i="15"/>
  <c r="MV84" i="15"/>
  <c r="MF84" i="15"/>
  <c r="LP84" i="15"/>
  <c r="KZ84" i="15"/>
  <c r="KJ84" i="15"/>
  <c r="JT84" i="15"/>
  <c r="JD84" i="15"/>
  <c r="IN84" i="15"/>
  <c r="HX84" i="15"/>
  <c r="HH84" i="15"/>
  <c r="GR84" i="15"/>
  <c r="GB84" i="15"/>
  <c r="FL84" i="15"/>
  <c r="EV84" i="15"/>
  <c r="EF84" i="15"/>
  <c r="DP84" i="15"/>
  <c r="CZ84" i="15"/>
  <c r="CJ84" i="15"/>
  <c r="BT84" i="15"/>
  <c r="BF84" i="15"/>
  <c r="BD84" i="15"/>
  <c r="BB84" i="15"/>
  <c r="AQ84" i="15" a="1"/>
  <c r="AQ84" i="15" s="1"/>
  <c r="AN84" i="15"/>
  <c r="AL84" i="15"/>
  <c r="AJ84" i="15"/>
  <c r="Y84" i="15" a="1"/>
  <c r="Y84" i="15" s="1"/>
  <c r="OR84" i="13"/>
  <c r="OB84" i="13"/>
  <c r="NL84" i="13"/>
  <c r="MV84" i="13"/>
  <c r="MF84" i="13"/>
  <c r="LP84" i="13"/>
  <c r="KZ84" i="13"/>
  <c r="KJ84" i="13"/>
  <c r="JT84" i="13"/>
  <c r="JD84" i="13"/>
  <c r="IN84" i="13"/>
  <c r="HX84" i="13"/>
  <c r="HH84" i="13"/>
  <c r="GR84" i="13"/>
  <c r="GB84" i="13"/>
  <c r="FL84" i="13"/>
  <c r="EV84" i="13"/>
  <c r="EF84" i="13"/>
  <c r="DP84" i="13"/>
  <c r="CZ84" i="13"/>
  <c r="CJ84" i="13"/>
  <c r="BT84" i="13"/>
  <c r="BF84" i="13"/>
  <c r="BD84" i="13"/>
  <c r="BB84" i="13"/>
  <c r="AQ84" i="13" a="1"/>
  <c r="AQ84" i="13" s="1"/>
  <c r="AN84" i="13"/>
  <c r="AL84" i="13"/>
  <c r="AJ84" i="13"/>
  <c r="Y84" i="13" a="1"/>
  <c r="Y84" i="13" s="1"/>
  <c r="B5" i="27" l="1"/>
  <c r="B73" i="27" s="1"/>
  <c r="BQ85" i="16"/>
  <c r="CF94" i="16"/>
  <c r="BI88" i="13"/>
  <c r="BI65" i="15"/>
  <c r="BI84" i="15"/>
  <c r="BI102" i="15"/>
  <c r="BY75" i="15"/>
  <c r="BY95" i="15"/>
  <c r="CQ65" i="15"/>
  <c r="CR88" i="15"/>
  <c r="DI68" i="15"/>
  <c r="DI73" i="15"/>
  <c r="DI93" i="15"/>
  <c r="EL95" i="15"/>
  <c r="FV73" i="15"/>
  <c r="GL102" i="15"/>
  <c r="BK68" i="16"/>
  <c r="BO64" i="16"/>
  <c r="BK74" i="16"/>
  <c r="BO84" i="16"/>
  <c r="BI95" i="16"/>
  <c r="CF69" i="16"/>
  <c r="CA65" i="16"/>
  <c r="BZ86" i="16"/>
  <c r="CE94" i="16"/>
  <c r="CT68" i="16"/>
  <c r="CP64" i="16"/>
  <c r="CV85" i="16"/>
  <c r="CP96" i="16"/>
  <c r="CU103" i="16"/>
  <c r="DK76" i="16"/>
  <c r="DI85" i="16"/>
  <c r="DE95" i="16"/>
  <c r="EA69" i="16"/>
  <c r="EA73" i="16"/>
  <c r="EP84" i="16"/>
  <c r="FQ65" i="16"/>
  <c r="GN64" i="16"/>
  <c r="BJ69" i="17"/>
  <c r="BO64" i="17"/>
  <c r="BJ74" i="17"/>
  <c r="BP96" i="17"/>
  <c r="BK93" i="17"/>
  <c r="CG67" i="17"/>
  <c r="CF74" i="17"/>
  <c r="CG93" i="17"/>
  <c r="CW65" i="17"/>
  <c r="CO84" i="17"/>
  <c r="CO102" i="17"/>
  <c r="DE75" i="17"/>
  <c r="DH104" i="17"/>
  <c r="EB74" i="17"/>
  <c r="EQ67" i="17"/>
  <c r="HM69" i="17"/>
  <c r="BI75" i="16"/>
  <c r="EN86" i="16"/>
  <c r="DX76" i="17"/>
  <c r="BI73" i="13"/>
  <c r="BI93" i="13"/>
  <c r="BK64" i="16"/>
  <c r="BK94" i="16"/>
  <c r="CF93" i="16"/>
  <c r="CO64" i="16"/>
  <c r="CU85" i="16"/>
  <c r="CW102" i="16"/>
  <c r="GI74" i="16"/>
  <c r="BL68" i="17"/>
  <c r="BL73" i="17"/>
  <c r="BL104" i="17"/>
  <c r="CG73" i="17"/>
  <c r="BY93" i="17"/>
  <c r="CP88" i="17"/>
  <c r="DI103" i="17"/>
  <c r="DX73" i="17"/>
  <c r="FU66" i="17"/>
  <c r="GG86" i="17"/>
  <c r="HU64" i="17"/>
  <c r="BI67" i="13"/>
  <c r="BI74" i="13"/>
  <c r="BI94" i="13"/>
  <c r="BL75" i="15"/>
  <c r="BL95" i="15"/>
  <c r="CB67" i="15"/>
  <c r="CB86" i="15"/>
  <c r="CB104" i="15"/>
  <c r="CS76" i="15"/>
  <c r="CT95" i="15"/>
  <c r="DK66" i="15"/>
  <c r="DK85" i="15"/>
  <c r="DK103" i="15"/>
  <c r="DW95" i="15"/>
  <c r="FI73" i="15"/>
  <c r="HA76" i="15"/>
  <c r="BM67" i="16"/>
  <c r="BQ76" i="16"/>
  <c r="BO73" i="16"/>
  <c r="BP88" i="16"/>
  <c r="BJ94" i="16"/>
  <c r="CG68" i="16"/>
  <c r="CD76" i="16"/>
  <c r="BZ85" i="16"/>
  <c r="BY93" i="16"/>
  <c r="CU67" i="16"/>
  <c r="CP76" i="16"/>
  <c r="CW84" i="16"/>
  <c r="CV102" i="16"/>
  <c r="DH66" i="16"/>
  <c r="DL75" i="16"/>
  <c r="DJ84" i="16"/>
  <c r="DE94" i="16"/>
  <c r="EA68" i="16"/>
  <c r="FY86" i="16"/>
  <c r="BK68" i="17"/>
  <c r="BP76" i="17"/>
  <c r="BK73" i="17"/>
  <c r="BQ95" i="17"/>
  <c r="BO102" i="17"/>
  <c r="BY67" i="17"/>
  <c r="BY73" i="17"/>
  <c r="BZ104" i="17"/>
  <c r="CP64" i="17"/>
  <c r="DH67" i="17"/>
  <c r="DI85" i="17"/>
  <c r="DJ102" i="17"/>
  <c r="DZ84" i="17"/>
  <c r="EL76" i="17"/>
  <c r="FY75" i="17"/>
  <c r="GO104" i="17"/>
  <c r="HN73" i="17"/>
  <c r="CF73" i="16"/>
  <c r="BI64" i="13"/>
  <c r="BI75" i="13"/>
  <c r="BI95" i="13"/>
  <c r="BM69" i="15"/>
  <c r="BM74" i="15"/>
  <c r="BM94" i="15"/>
  <c r="CF68" i="16"/>
  <c r="BZ104" i="16"/>
  <c r="CO84" i="16"/>
  <c r="CO102" i="16"/>
  <c r="DJ65" i="16"/>
  <c r="FC73" i="16"/>
  <c r="HS76" i="16"/>
  <c r="BL86" i="17"/>
  <c r="BJ95" i="17"/>
  <c r="CF69" i="17"/>
  <c r="CA66" i="17"/>
  <c r="BZ86" i="17"/>
  <c r="CA103" i="17"/>
  <c r="CS74" i="17"/>
  <c r="CS94" i="17"/>
  <c r="DI66" i="17"/>
  <c r="DJ84" i="17"/>
  <c r="EA69" i="17"/>
  <c r="DW88" i="17"/>
  <c r="EO88" i="17"/>
  <c r="FT86" i="17"/>
  <c r="HD65" i="17"/>
  <c r="HU95" i="17"/>
  <c r="BQ95" i="16"/>
  <c r="BI65" i="13"/>
  <c r="BI76" i="13"/>
  <c r="BI96" i="13"/>
  <c r="BN68" i="15"/>
  <c r="BN73" i="15"/>
  <c r="BN93" i="15"/>
  <c r="CD65" i="15"/>
  <c r="CD84" i="15"/>
  <c r="CD102" i="15"/>
  <c r="CU74" i="15"/>
  <c r="CV93" i="15"/>
  <c r="DE64" i="15"/>
  <c r="DE88" i="15"/>
  <c r="DY68" i="15"/>
  <c r="EL68" i="15"/>
  <c r="FH94" i="15"/>
  <c r="GZ88" i="15"/>
  <c r="BQ66" i="16"/>
  <c r="BI76" i="16"/>
  <c r="BK73" i="16"/>
  <c r="BQ96" i="16"/>
  <c r="BK93" i="16"/>
  <c r="CG67" i="16"/>
  <c r="CD75" i="16"/>
  <c r="CD96" i="16"/>
  <c r="CA103" i="16"/>
  <c r="CU66" i="16"/>
  <c r="CT73" i="16"/>
  <c r="CW88" i="16"/>
  <c r="CS93" i="16"/>
  <c r="DM69" i="16"/>
  <c r="DI65" i="16"/>
  <c r="DM74" i="16"/>
  <c r="DJ88" i="16"/>
  <c r="DI103" i="16"/>
  <c r="DX64" i="16"/>
  <c r="EM68" i="16"/>
  <c r="FC85" i="16"/>
  <c r="FT96" i="16"/>
  <c r="HR95" i="16"/>
  <c r="BL67" i="17"/>
  <c r="BQ75" i="17"/>
  <c r="BO84" i="17"/>
  <c r="BI95" i="17"/>
  <c r="CE69" i="17"/>
  <c r="BZ66" i="17"/>
  <c r="CA85" i="17"/>
  <c r="CS69" i="17"/>
  <c r="CT73" i="17"/>
  <c r="CT93" i="17"/>
  <c r="DJ65" i="17"/>
  <c r="DK88" i="17"/>
  <c r="EB68" i="17"/>
  <c r="EA95" i="17"/>
  <c r="EN102" i="17"/>
  <c r="GY75" i="17"/>
  <c r="BI66" i="13"/>
  <c r="BI84" i="13"/>
  <c r="BI102" i="13"/>
  <c r="BO67" i="15"/>
  <c r="BO86" i="15"/>
  <c r="BO104" i="15"/>
  <c r="CE64" i="15"/>
  <c r="CE88" i="15"/>
  <c r="CU69" i="15"/>
  <c r="CV73" i="15"/>
  <c r="CP103" i="15"/>
  <c r="DF76" i="15"/>
  <c r="DF96" i="15"/>
  <c r="FC103" i="15"/>
  <c r="GN76" i="15"/>
  <c r="HT102" i="15"/>
  <c r="BK69" i="16"/>
  <c r="BI66" i="16"/>
  <c r="BQ75" i="16"/>
  <c r="BP86" i="16"/>
  <c r="BP96" i="16"/>
  <c r="BL104" i="16"/>
  <c r="BZ67" i="16"/>
  <c r="CF74" i="16"/>
  <c r="CE95" i="16"/>
  <c r="BZ103" i="16"/>
  <c r="CW65" i="16"/>
  <c r="CS73" i="16"/>
  <c r="CP88" i="16"/>
  <c r="CU104" i="16"/>
  <c r="DF69" i="16"/>
  <c r="DK64" i="16"/>
  <c r="DE74" i="16"/>
  <c r="DL96" i="16"/>
  <c r="DH103" i="16"/>
  <c r="DW64" i="16"/>
  <c r="EQ64" i="16"/>
  <c r="FB94" i="16"/>
  <c r="FX93" i="16"/>
  <c r="BO65" i="17"/>
  <c r="BJ75" i="17"/>
  <c r="BP88" i="17"/>
  <c r="BK94" i="17"/>
  <c r="CG68" i="17"/>
  <c r="CA65" i="17"/>
  <c r="CD96" i="17"/>
  <c r="CT68" i="17"/>
  <c r="CU86" i="17"/>
  <c r="CU104" i="17"/>
  <c r="DK64" i="17"/>
  <c r="DL96" i="17"/>
  <c r="DW65" i="17"/>
  <c r="DW94" i="17"/>
  <c r="FC76" i="17"/>
  <c r="FS93" i="17"/>
  <c r="HC85" i="17"/>
  <c r="BP64" i="17"/>
  <c r="CE75" i="17"/>
  <c r="BI68" i="13"/>
  <c r="BI85" i="13"/>
  <c r="BP66" i="15"/>
  <c r="BP85" i="15"/>
  <c r="BP103" i="15"/>
  <c r="CF76" i="15"/>
  <c r="CF96" i="15"/>
  <c r="CV68" i="15"/>
  <c r="CP85" i="15"/>
  <c r="CQ102" i="15"/>
  <c r="DG75" i="15"/>
  <c r="DG95" i="15"/>
  <c r="DX76" i="15"/>
  <c r="EM74" i="15"/>
  <c r="FW67" i="15"/>
  <c r="GM88" i="15"/>
  <c r="BO68" i="16"/>
  <c r="BO65" i="16"/>
  <c r="BJ75" i="16"/>
  <c r="BL86" i="16"/>
  <c r="BI96" i="16"/>
  <c r="CA66" i="16"/>
  <c r="CE74" i="16"/>
  <c r="CD95" i="16"/>
  <c r="CA102" i="16"/>
  <c r="CO65" i="16"/>
  <c r="CU86" i="16"/>
  <c r="CO88" i="16"/>
  <c r="CT104" i="16"/>
  <c r="DE69" i="16"/>
  <c r="DJ64" i="16"/>
  <c r="DM95" i="16"/>
  <c r="DJ102" i="16"/>
  <c r="DY76" i="16"/>
  <c r="EL74" i="16"/>
  <c r="FB104" i="16"/>
  <c r="FX103" i="16"/>
  <c r="BQ69" i="17"/>
  <c r="BI75" i="17"/>
  <c r="BO88" i="17"/>
  <c r="BJ94" i="17"/>
  <c r="CF68" i="17"/>
  <c r="CD76" i="17"/>
  <c r="CE95" i="17"/>
  <c r="CU67" i="17"/>
  <c r="CV85" i="17"/>
  <c r="CV103" i="17"/>
  <c r="DL76" i="17"/>
  <c r="DM95" i="17"/>
  <c r="DX64" i="17"/>
  <c r="DY104" i="17"/>
  <c r="GM69" i="17"/>
  <c r="GX96" i="17"/>
  <c r="EP104" i="15"/>
  <c r="EP86" i="15"/>
  <c r="EP67" i="15"/>
  <c r="EP93" i="15"/>
  <c r="EP73" i="15"/>
  <c r="EP68" i="15"/>
  <c r="EP94" i="15"/>
  <c r="EP74" i="15"/>
  <c r="EP69" i="15"/>
  <c r="EP95" i="15"/>
  <c r="EP75" i="15"/>
  <c r="EP96" i="15"/>
  <c r="EP76" i="15"/>
  <c r="EP88" i="15"/>
  <c r="EP64" i="15"/>
  <c r="FT96" i="15"/>
  <c r="FT76" i="15"/>
  <c r="FT88" i="15"/>
  <c r="FT64" i="15"/>
  <c r="FT102" i="15"/>
  <c r="FT84" i="15"/>
  <c r="FT65" i="15"/>
  <c r="FT103" i="15"/>
  <c r="FT85" i="15"/>
  <c r="FT66" i="15"/>
  <c r="FT104" i="15"/>
  <c r="FT86" i="15"/>
  <c r="FT67" i="15"/>
  <c r="FT93" i="15"/>
  <c r="FT73" i="15"/>
  <c r="FT68" i="15"/>
  <c r="IJ96" i="15"/>
  <c r="IJ76" i="15"/>
  <c r="IJ88" i="15"/>
  <c r="IJ64" i="15"/>
  <c r="IJ102" i="15"/>
  <c r="IJ84" i="15"/>
  <c r="IJ65" i="15"/>
  <c r="IJ103" i="15"/>
  <c r="IJ85" i="15"/>
  <c r="IJ66" i="15"/>
  <c r="IJ104" i="15"/>
  <c r="IJ86" i="15"/>
  <c r="IJ67" i="15"/>
  <c r="IJ93" i="15"/>
  <c r="IJ73" i="15"/>
  <c r="IJ68" i="15"/>
  <c r="IJ94" i="15"/>
  <c r="IJ74" i="15"/>
  <c r="IJ69" i="15"/>
  <c r="IJ95" i="15"/>
  <c r="IJ75" i="15"/>
  <c r="LG93" i="15"/>
  <c r="LG73" i="15"/>
  <c r="LG68" i="15"/>
  <c r="LG94" i="15"/>
  <c r="LG74" i="15"/>
  <c r="LG69" i="15"/>
  <c r="LG95" i="15"/>
  <c r="LG75" i="15"/>
  <c r="LG96" i="15"/>
  <c r="LG76" i="15"/>
  <c r="LG103" i="15"/>
  <c r="LG85" i="15"/>
  <c r="LG66" i="15"/>
  <c r="LG104" i="15"/>
  <c r="LG88" i="15"/>
  <c r="LG102" i="15"/>
  <c r="LG86" i="15"/>
  <c r="LG64" i="15"/>
  <c r="LG84" i="15"/>
  <c r="LG67" i="15"/>
  <c r="LG65" i="15"/>
  <c r="NW93" i="15"/>
  <c r="NW73" i="15"/>
  <c r="NW68" i="15"/>
  <c r="NW94" i="15"/>
  <c r="NW74" i="15"/>
  <c r="NW69" i="15"/>
  <c r="NW95" i="15"/>
  <c r="NW75" i="15"/>
  <c r="NW96" i="15"/>
  <c r="NW76" i="15"/>
  <c r="NW102" i="15"/>
  <c r="NW84" i="15"/>
  <c r="NW65" i="15"/>
  <c r="NW103" i="15"/>
  <c r="NW85" i="15"/>
  <c r="NW66" i="15"/>
  <c r="NW88" i="15"/>
  <c r="NW67" i="15"/>
  <c r="NW64" i="15"/>
  <c r="NW104" i="15"/>
  <c r="NW86" i="15"/>
  <c r="BK76" i="15"/>
  <c r="CO86" i="15"/>
  <c r="DL65" i="15"/>
  <c r="EP103" i="15"/>
  <c r="EB93" i="15"/>
  <c r="EB73" i="15"/>
  <c r="EB68" i="15"/>
  <c r="EB94" i="15"/>
  <c r="EB74" i="15"/>
  <c r="EB69" i="15"/>
  <c r="EB95" i="15"/>
  <c r="EB75" i="15"/>
  <c r="EB96" i="15"/>
  <c r="EB76" i="15"/>
  <c r="EB88" i="15"/>
  <c r="EB64" i="15"/>
  <c r="EQ103" i="15"/>
  <c r="EQ85" i="15"/>
  <c r="EQ66" i="15"/>
  <c r="EQ104" i="15"/>
  <c r="EQ86" i="15"/>
  <c r="EQ67" i="15"/>
  <c r="EQ93" i="15"/>
  <c r="EQ73" i="15"/>
  <c r="EQ68" i="15"/>
  <c r="EQ94" i="15"/>
  <c r="EQ74" i="15"/>
  <c r="EQ69" i="15"/>
  <c r="EQ95" i="15"/>
  <c r="EQ75" i="15"/>
  <c r="EQ96" i="15"/>
  <c r="EQ76" i="15"/>
  <c r="FF88" i="15"/>
  <c r="FF64" i="15"/>
  <c r="FF102" i="15"/>
  <c r="FF84" i="15"/>
  <c r="FF65" i="15"/>
  <c r="FF103" i="15"/>
  <c r="FF85" i="15"/>
  <c r="FF66" i="15"/>
  <c r="FF104" i="15"/>
  <c r="FF86" i="15"/>
  <c r="FF67" i="15"/>
  <c r="FF93" i="15"/>
  <c r="FF73" i="15"/>
  <c r="FF68" i="15"/>
  <c r="FF94" i="15"/>
  <c r="FF74" i="15"/>
  <c r="FF69" i="15"/>
  <c r="FU95" i="15"/>
  <c r="FU75" i="15"/>
  <c r="FU96" i="15"/>
  <c r="FU76" i="15"/>
  <c r="FU88" i="15"/>
  <c r="FU64" i="15"/>
  <c r="FU102" i="15"/>
  <c r="FU84" i="15"/>
  <c r="FU65" i="15"/>
  <c r="FU103" i="15"/>
  <c r="FU85" i="15"/>
  <c r="FU66" i="15"/>
  <c r="FU104" i="15"/>
  <c r="FU86" i="15"/>
  <c r="FU67" i="15"/>
  <c r="GJ93" i="15"/>
  <c r="GJ73" i="15"/>
  <c r="GJ68" i="15"/>
  <c r="GJ94" i="15"/>
  <c r="GJ74" i="15"/>
  <c r="GJ69" i="15"/>
  <c r="GJ95" i="15"/>
  <c r="GJ75" i="15"/>
  <c r="GJ96" i="15"/>
  <c r="GJ76" i="15"/>
  <c r="GJ88" i="15"/>
  <c r="GJ64" i="15"/>
  <c r="GJ102" i="15"/>
  <c r="GJ84" i="15"/>
  <c r="GJ65" i="15"/>
  <c r="GY103" i="15"/>
  <c r="GY85" i="15"/>
  <c r="GY66" i="15"/>
  <c r="GY104" i="15"/>
  <c r="GY86" i="15"/>
  <c r="GY67" i="15"/>
  <c r="GY93" i="15"/>
  <c r="GY73" i="15"/>
  <c r="GY68" i="15"/>
  <c r="GY94" i="15"/>
  <c r="GY74" i="15"/>
  <c r="GY69" i="15"/>
  <c r="GY95" i="15"/>
  <c r="GY75" i="15"/>
  <c r="GY96" i="15"/>
  <c r="GY76" i="15"/>
  <c r="HN88" i="15"/>
  <c r="HN64" i="15"/>
  <c r="HN102" i="15"/>
  <c r="HN84" i="15"/>
  <c r="HN65" i="15"/>
  <c r="HN103" i="15"/>
  <c r="HN85" i="15"/>
  <c r="HN66" i="15"/>
  <c r="HN104" i="15"/>
  <c r="HN86" i="15"/>
  <c r="HN67" i="15"/>
  <c r="HN93" i="15"/>
  <c r="HN73" i="15"/>
  <c r="HN68" i="15"/>
  <c r="HN94" i="15"/>
  <c r="HN74" i="15"/>
  <c r="HN69" i="15"/>
  <c r="HN95" i="15"/>
  <c r="HN75" i="15"/>
  <c r="IC95" i="15"/>
  <c r="IC75" i="15"/>
  <c r="IC96" i="15"/>
  <c r="IC76" i="15"/>
  <c r="IC88" i="15"/>
  <c r="IC64" i="15"/>
  <c r="IC102" i="15"/>
  <c r="IC84" i="15"/>
  <c r="IC65" i="15"/>
  <c r="IC103" i="15"/>
  <c r="IC85" i="15"/>
  <c r="IC66" i="15"/>
  <c r="IC104" i="15"/>
  <c r="IC86" i="15"/>
  <c r="IC67" i="15"/>
  <c r="IC93" i="15"/>
  <c r="IC73" i="15"/>
  <c r="IC68" i="15"/>
  <c r="IC94" i="15"/>
  <c r="IC74" i="15"/>
  <c r="IK95" i="15"/>
  <c r="IK75" i="15"/>
  <c r="IK96" i="15"/>
  <c r="IK76" i="15"/>
  <c r="IK88" i="15"/>
  <c r="IK64" i="15"/>
  <c r="IK102" i="15"/>
  <c r="IK84" i="15"/>
  <c r="IK65" i="15"/>
  <c r="IK103" i="15"/>
  <c r="IK85" i="15"/>
  <c r="IK66" i="15"/>
  <c r="IK104" i="15"/>
  <c r="IK86" i="15"/>
  <c r="IK67" i="15"/>
  <c r="IK93" i="15"/>
  <c r="IK73" i="15"/>
  <c r="IK68" i="15"/>
  <c r="IK94" i="15"/>
  <c r="IK74" i="15"/>
  <c r="IZ93" i="15"/>
  <c r="IZ73" i="15"/>
  <c r="IZ68" i="15"/>
  <c r="IZ94" i="15"/>
  <c r="IZ74" i="15"/>
  <c r="IZ69" i="15"/>
  <c r="IZ95" i="15"/>
  <c r="IZ75" i="15"/>
  <c r="IZ96" i="15"/>
  <c r="IZ76" i="15"/>
  <c r="IZ88" i="15"/>
  <c r="IZ64" i="15"/>
  <c r="IZ102" i="15"/>
  <c r="IZ84" i="15"/>
  <c r="IZ65" i="15"/>
  <c r="IZ103" i="15"/>
  <c r="IZ85" i="15"/>
  <c r="IZ66" i="15"/>
  <c r="IZ104" i="15"/>
  <c r="IZ86" i="15"/>
  <c r="IZ67" i="15"/>
  <c r="JO103" i="15"/>
  <c r="JO85" i="15"/>
  <c r="JO66" i="15"/>
  <c r="JO104" i="15"/>
  <c r="JO86" i="15"/>
  <c r="JO67" i="15"/>
  <c r="JO93" i="15"/>
  <c r="JO73" i="15"/>
  <c r="JO68" i="15"/>
  <c r="JO94" i="15"/>
  <c r="JO74" i="15"/>
  <c r="JO69" i="15"/>
  <c r="JO95" i="15"/>
  <c r="JO75" i="15"/>
  <c r="JO96" i="15"/>
  <c r="JO76" i="15"/>
  <c r="JO88" i="15"/>
  <c r="JO64" i="15"/>
  <c r="JO102" i="15"/>
  <c r="JO84" i="15"/>
  <c r="JO65" i="15"/>
  <c r="KD96" i="15"/>
  <c r="KD88" i="15"/>
  <c r="KD103" i="15"/>
  <c r="KD85" i="15"/>
  <c r="KD86" i="15"/>
  <c r="KD64" i="15"/>
  <c r="KD102" i="15"/>
  <c r="KD93" i="15"/>
  <c r="KD76" i="15"/>
  <c r="KD65" i="15"/>
  <c r="KD75" i="15"/>
  <c r="KD66" i="15"/>
  <c r="KD104" i="15"/>
  <c r="KD67" i="15"/>
  <c r="KD74" i="15"/>
  <c r="KD68" i="15"/>
  <c r="KD95" i="15"/>
  <c r="KD84" i="15"/>
  <c r="KD69" i="15"/>
  <c r="KD73" i="15"/>
  <c r="KD94" i="15"/>
  <c r="KS94" i="15"/>
  <c r="KS74" i="15"/>
  <c r="KS69" i="15"/>
  <c r="KS95" i="15"/>
  <c r="KS75" i="15"/>
  <c r="KS88" i="15"/>
  <c r="KS64" i="15"/>
  <c r="KS104" i="15"/>
  <c r="KS86" i="15"/>
  <c r="KS67" i="15"/>
  <c r="KS102" i="15"/>
  <c r="KS68" i="15"/>
  <c r="KS76" i="15"/>
  <c r="KS65" i="15"/>
  <c r="KS93" i="15"/>
  <c r="KS85" i="15"/>
  <c r="KS103" i="15"/>
  <c r="KS73" i="15"/>
  <c r="KS96" i="15"/>
  <c r="KS84" i="15"/>
  <c r="KS66" i="15"/>
  <c r="LH104" i="15"/>
  <c r="LH86" i="15"/>
  <c r="LH67" i="15"/>
  <c r="LH93" i="15"/>
  <c r="LH73" i="15"/>
  <c r="LH68" i="15"/>
  <c r="LH94" i="15"/>
  <c r="LH74" i="15"/>
  <c r="LH69" i="15"/>
  <c r="LH95" i="15"/>
  <c r="LH75" i="15"/>
  <c r="LH102" i="15"/>
  <c r="LH84" i="15"/>
  <c r="LH65" i="15"/>
  <c r="LH85" i="15"/>
  <c r="LH76" i="15"/>
  <c r="LH88" i="15"/>
  <c r="LH66" i="15"/>
  <c r="LH64" i="15"/>
  <c r="LH103" i="15"/>
  <c r="LH96" i="15"/>
  <c r="LW102" i="15"/>
  <c r="LW84" i="15"/>
  <c r="LW65" i="15"/>
  <c r="LW103" i="15"/>
  <c r="LW85" i="15"/>
  <c r="LW66" i="15"/>
  <c r="LW104" i="15"/>
  <c r="LW86" i="15"/>
  <c r="LW67" i="15"/>
  <c r="LW93" i="15"/>
  <c r="LW73" i="15"/>
  <c r="LW68" i="15"/>
  <c r="LW96" i="15"/>
  <c r="LW76" i="15"/>
  <c r="LW88" i="15"/>
  <c r="LW74" i="15"/>
  <c r="LW95" i="15"/>
  <c r="LW64" i="15"/>
  <c r="LW69" i="15"/>
  <c r="LW75" i="15"/>
  <c r="LW94" i="15"/>
  <c r="ML96" i="15"/>
  <c r="ML76" i="15"/>
  <c r="ML88" i="15"/>
  <c r="ML64" i="15"/>
  <c r="ML102" i="15"/>
  <c r="ML84" i="15"/>
  <c r="ML65" i="15"/>
  <c r="ML103" i="15"/>
  <c r="ML85" i="15"/>
  <c r="ML66" i="15"/>
  <c r="ML93" i="15"/>
  <c r="ML73" i="15"/>
  <c r="ML68" i="15"/>
  <c r="ML94" i="15"/>
  <c r="ML74" i="15"/>
  <c r="ML69" i="15"/>
  <c r="ML95" i="15"/>
  <c r="ML104" i="15"/>
  <c r="ML75" i="15"/>
  <c r="ML86" i="15"/>
  <c r="ML67" i="15"/>
  <c r="NA94" i="15"/>
  <c r="NA74" i="15"/>
  <c r="NA69" i="15"/>
  <c r="NA95" i="15"/>
  <c r="NA75" i="15"/>
  <c r="NA96" i="15"/>
  <c r="NA76" i="15"/>
  <c r="NA88" i="15"/>
  <c r="NA64" i="15"/>
  <c r="NA103" i="15"/>
  <c r="NA85" i="15"/>
  <c r="NA66" i="15"/>
  <c r="NA104" i="15"/>
  <c r="NA86" i="15"/>
  <c r="NA67" i="15"/>
  <c r="NA84" i="15"/>
  <c r="NA68" i="15"/>
  <c r="NA65" i="15"/>
  <c r="NA93" i="15"/>
  <c r="NA102" i="15"/>
  <c r="NA73" i="15"/>
  <c r="NI94" i="15"/>
  <c r="NI74" i="15"/>
  <c r="NI69" i="15"/>
  <c r="NI95" i="15"/>
  <c r="NI75" i="15"/>
  <c r="NI96" i="15"/>
  <c r="NI76" i="15"/>
  <c r="NI88" i="15"/>
  <c r="NI64" i="15"/>
  <c r="NI103" i="15"/>
  <c r="NI85" i="15"/>
  <c r="NI66" i="15"/>
  <c r="NI104" i="15"/>
  <c r="NI86" i="15"/>
  <c r="NI67" i="15"/>
  <c r="NI102" i="15"/>
  <c r="NI73" i="15"/>
  <c r="NI84" i="15"/>
  <c r="NI68" i="15"/>
  <c r="NI65" i="15"/>
  <c r="NI93" i="15"/>
  <c r="NX104" i="15"/>
  <c r="NX86" i="15"/>
  <c r="NX67" i="15"/>
  <c r="NX93" i="15"/>
  <c r="NX73" i="15"/>
  <c r="NX68" i="15"/>
  <c r="NX94" i="15"/>
  <c r="NX74" i="15"/>
  <c r="NX69" i="15"/>
  <c r="NX95" i="15"/>
  <c r="NX75" i="15"/>
  <c r="NX88" i="15"/>
  <c r="NX64" i="15"/>
  <c r="NX102" i="15"/>
  <c r="NX84" i="15"/>
  <c r="NX65" i="15"/>
  <c r="NX76" i="15"/>
  <c r="NX103" i="15"/>
  <c r="NX85" i="15"/>
  <c r="NX96" i="15"/>
  <c r="NX66" i="15"/>
  <c r="OM103" i="15"/>
  <c r="OM104" i="15"/>
  <c r="OM93" i="15"/>
  <c r="OM84" i="15"/>
  <c r="OM65" i="15"/>
  <c r="OM85" i="15"/>
  <c r="OM66" i="15"/>
  <c r="OM95" i="15"/>
  <c r="OM86" i="15"/>
  <c r="OM67" i="15"/>
  <c r="OM73" i="15"/>
  <c r="OM68" i="15"/>
  <c r="OM94" i="15"/>
  <c r="OM75" i="15"/>
  <c r="OM76" i="15"/>
  <c r="OM102" i="15"/>
  <c r="OM88" i="15"/>
  <c r="OM64" i="15"/>
  <c r="OM74" i="15"/>
  <c r="OM69" i="15"/>
  <c r="OM96" i="15"/>
  <c r="BL69" i="15"/>
  <c r="BM68" i="15"/>
  <c r="BN67" i="15"/>
  <c r="BO66" i="15"/>
  <c r="BP65" i="15"/>
  <c r="BQ64" i="15"/>
  <c r="BI64" i="15"/>
  <c r="BJ76" i="15"/>
  <c r="BK75" i="15"/>
  <c r="BL74" i="15"/>
  <c r="BM73" i="15"/>
  <c r="BN86" i="15"/>
  <c r="BO85" i="15"/>
  <c r="BP84" i="15"/>
  <c r="BQ88" i="15"/>
  <c r="BI88" i="15"/>
  <c r="BJ96" i="15"/>
  <c r="BK95" i="15"/>
  <c r="BL94" i="15"/>
  <c r="BM93" i="15"/>
  <c r="BN104" i="15"/>
  <c r="BO103" i="15"/>
  <c r="BP102" i="15"/>
  <c r="CG69" i="15"/>
  <c r="BY69" i="15"/>
  <c r="BZ68" i="15"/>
  <c r="CA67" i="15"/>
  <c r="CB66" i="15"/>
  <c r="CC65" i="15"/>
  <c r="CD64" i="15"/>
  <c r="CE76" i="15"/>
  <c r="CF75" i="15"/>
  <c r="CG74" i="15"/>
  <c r="BY74" i="15"/>
  <c r="BZ73" i="15"/>
  <c r="CA86" i="15"/>
  <c r="CB85" i="15"/>
  <c r="CC84" i="15"/>
  <c r="CD88" i="15"/>
  <c r="CE96" i="15"/>
  <c r="CF95" i="15"/>
  <c r="CG94" i="15"/>
  <c r="BY94" i="15"/>
  <c r="BZ93" i="15"/>
  <c r="CA104" i="15"/>
  <c r="CB103" i="15"/>
  <c r="CC102" i="15"/>
  <c r="CT69" i="15"/>
  <c r="CU68" i="15"/>
  <c r="CV67" i="15"/>
  <c r="CW66" i="15"/>
  <c r="CO66" i="15"/>
  <c r="CP65" i="15"/>
  <c r="CQ64" i="15"/>
  <c r="CR76" i="15"/>
  <c r="CS75" i="15"/>
  <c r="CT74" i="15"/>
  <c r="CU73" i="15"/>
  <c r="CV86" i="15"/>
  <c r="CW85" i="15"/>
  <c r="CO85" i="15"/>
  <c r="CP84" i="15"/>
  <c r="CQ88" i="15"/>
  <c r="CR96" i="15"/>
  <c r="CS95" i="15"/>
  <c r="CT94" i="15"/>
  <c r="CU93" i="15"/>
  <c r="CV104" i="15"/>
  <c r="CW103" i="15"/>
  <c r="CO103" i="15"/>
  <c r="CP102" i="15"/>
  <c r="DG69" i="15"/>
  <c r="DH68" i="15"/>
  <c r="DI67" i="15"/>
  <c r="DJ66" i="15"/>
  <c r="DK65" i="15"/>
  <c r="DL64" i="15"/>
  <c r="DM76" i="15"/>
  <c r="DE76" i="15"/>
  <c r="DF75" i="15"/>
  <c r="DG74" i="15"/>
  <c r="DH73" i="15"/>
  <c r="DI86" i="15"/>
  <c r="DJ85" i="15"/>
  <c r="DK84" i="15"/>
  <c r="DL88" i="15"/>
  <c r="DM96" i="15"/>
  <c r="DE96" i="15"/>
  <c r="DF95" i="15"/>
  <c r="DG94" i="15"/>
  <c r="DH93" i="15"/>
  <c r="DI104" i="15"/>
  <c r="DJ103" i="15"/>
  <c r="DH102" i="15"/>
  <c r="EB67" i="15"/>
  <c r="EB65" i="15"/>
  <c r="EA73" i="15"/>
  <c r="EA85" i="15"/>
  <c r="DV88" i="15"/>
  <c r="DZ94" i="15"/>
  <c r="DZ104" i="15"/>
  <c r="EO67" i="15"/>
  <c r="EQ64" i="15"/>
  <c r="EL74" i="15"/>
  <c r="EP84" i="15"/>
  <c r="EO103" i="15"/>
  <c r="FI67" i="15"/>
  <c r="FD64" i="15"/>
  <c r="FC84" i="15"/>
  <c r="FB103" i="15"/>
  <c r="FQ64" i="15"/>
  <c r="FU73" i="15"/>
  <c r="FY88" i="15"/>
  <c r="FT94" i="15"/>
  <c r="FX102" i="15"/>
  <c r="GI67" i="15"/>
  <c r="GM76" i="15"/>
  <c r="GH73" i="15"/>
  <c r="GG94" i="15"/>
  <c r="HE66" i="15"/>
  <c r="HD86" i="15"/>
  <c r="GY88" i="15"/>
  <c r="GY102" i="15"/>
  <c r="HN76" i="15"/>
  <c r="HM88" i="15"/>
  <c r="IK69" i="15"/>
  <c r="GX104" i="15"/>
  <c r="GX86" i="15"/>
  <c r="GX67" i="15"/>
  <c r="GX93" i="15"/>
  <c r="GX73" i="15"/>
  <c r="GX68" i="15"/>
  <c r="GX94" i="15"/>
  <c r="GX74" i="15"/>
  <c r="GX69" i="15"/>
  <c r="GX95" i="15"/>
  <c r="GX75" i="15"/>
  <c r="GX96" i="15"/>
  <c r="GX76" i="15"/>
  <c r="GX88" i="15"/>
  <c r="GX64" i="15"/>
  <c r="GX102" i="15"/>
  <c r="KC88" i="15"/>
  <c r="KC102" i="15"/>
  <c r="KC84" i="15"/>
  <c r="KC104" i="15"/>
  <c r="KC86" i="15"/>
  <c r="KC93" i="15"/>
  <c r="KC76" i="15"/>
  <c r="KC65" i="15"/>
  <c r="KC75" i="15"/>
  <c r="KC66" i="15"/>
  <c r="KC96" i="15"/>
  <c r="KC85" i="15"/>
  <c r="KC67" i="15"/>
  <c r="KC74" i="15"/>
  <c r="KC68" i="15"/>
  <c r="KC95" i="15"/>
  <c r="KC69" i="15"/>
  <c r="KC103" i="15"/>
  <c r="KC73" i="15"/>
  <c r="KC94" i="15"/>
  <c r="KC64" i="15"/>
  <c r="BZ94" i="15"/>
  <c r="CO104" i="15"/>
  <c r="DU104" i="15"/>
  <c r="DU86" i="15"/>
  <c r="DU67" i="15"/>
  <c r="DU93" i="15"/>
  <c r="DU73" i="15"/>
  <c r="DU68" i="15"/>
  <c r="DU94" i="15"/>
  <c r="DU74" i="15"/>
  <c r="DU69" i="15"/>
  <c r="DU95" i="15"/>
  <c r="DU75" i="15"/>
  <c r="DU96" i="15"/>
  <c r="DU76" i="15"/>
  <c r="EC104" i="15"/>
  <c r="EC86" i="15"/>
  <c r="EC67" i="15"/>
  <c r="EC93" i="15"/>
  <c r="EC73" i="15"/>
  <c r="EC68" i="15"/>
  <c r="EC94" i="15"/>
  <c r="EC74" i="15"/>
  <c r="EC69" i="15"/>
  <c r="EC95" i="15"/>
  <c r="EC75" i="15"/>
  <c r="EC96" i="15"/>
  <c r="EC76" i="15"/>
  <c r="ER102" i="15"/>
  <c r="ER84" i="15"/>
  <c r="ER65" i="15"/>
  <c r="ER103" i="15"/>
  <c r="ER85" i="15"/>
  <c r="ER66" i="15"/>
  <c r="ER104" i="15"/>
  <c r="ER86" i="15"/>
  <c r="ER67" i="15"/>
  <c r="ER93" i="15"/>
  <c r="ER73" i="15"/>
  <c r="ER68" i="15"/>
  <c r="ER94" i="15"/>
  <c r="ER74" i="15"/>
  <c r="ER69" i="15"/>
  <c r="ER95" i="15"/>
  <c r="ER75" i="15"/>
  <c r="FG96" i="15"/>
  <c r="FG76" i="15"/>
  <c r="FG88" i="15"/>
  <c r="FG64" i="15"/>
  <c r="FG102" i="15"/>
  <c r="FG84" i="15"/>
  <c r="FG65" i="15"/>
  <c r="FG103" i="15"/>
  <c r="FG85" i="15"/>
  <c r="FG66" i="15"/>
  <c r="FG104" i="15"/>
  <c r="FG86" i="15"/>
  <c r="FG67" i="15"/>
  <c r="FG93" i="15"/>
  <c r="FG73" i="15"/>
  <c r="FG68" i="15"/>
  <c r="FV94" i="15"/>
  <c r="FV74" i="15"/>
  <c r="FV69" i="15"/>
  <c r="FV95" i="15"/>
  <c r="FV75" i="15"/>
  <c r="FV96" i="15"/>
  <c r="FV76" i="15"/>
  <c r="FV88" i="15"/>
  <c r="FV64" i="15"/>
  <c r="FV102" i="15"/>
  <c r="FV84" i="15"/>
  <c r="FV65" i="15"/>
  <c r="FV103" i="15"/>
  <c r="FV85" i="15"/>
  <c r="FV66" i="15"/>
  <c r="GK104" i="15"/>
  <c r="GK86" i="15"/>
  <c r="GK67" i="15"/>
  <c r="GK93" i="15"/>
  <c r="GK73" i="15"/>
  <c r="GK68" i="15"/>
  <c r="GK94" i="15"/>
  <c r="GK74" i="15"/>
  <c r="GK69" i="15"/>
  <c r="GK95" i="15"/>
  <c r="GK75" i="15"/>
  <c r="GK96" i="15"/>
  <c r="GK76" i="15"/>
  <c r="GK88" i="15"/>
  <c r="GK64" i="15"/>
  <c r="GZ102" i="15"/>
  <c r="GZ84" i="15"/>
  <c r="GZ65" i="15"/>
  <c r="GZ103" i="15"/>
  <c r="GZ85" i="15"/>
  <c r="GZ66" i="15"/>
  <c r="GZ104" i="15"/>
  <c r="GZ86" i="15"/>
  <c r="GZ67" i="15"/>
  <c r="GZ93" i="15"/>
  <c r="GZ73" i="15"/>
  <c r="GZ68" i="15"/>
  <c r="GZ94" i="15"/>
  <c r="GZ74" i="15"/>
  <c r="GZ69" i="15"/>
  <c r="GZ95" i="15"/>
  <c r="GZ75" i="15"/>
  <c r="GZ96" i="15"/>
  <c r="HO96" i="15"/>
  <c r="HO76" i="15"/>
  <c r="HO88" i="15"/>
  <c r="HO64" i="15"/>
  <c r="HO102" i="15"/>
  <c r="HO84" i="15"/>
  <c r="HO65" i="15"/>
  <c r="HO103" i="15"/>
  <c r="HO85" i="15"/>
  <c r="HO66" i="15"/>
  <c r="HO104" i="15"/>
  <c r="HO86" i="15"/>
  <c r="HO67" i="15"/>
  <c r="HO93" i="15"/>
  <c r="HO73" i="15"/>
  <c r="HO68" i="15"/>
  <c r="HO94" i="15"/>
  <c r="HO74" i="15"/>
  <c r="HO69" i="15"/>
  <c r="ID94" i="15"/>
  <c r="ID74" i="15"/>
  <c r="ID69" i="15"/>
  <c r="ID95" i="15"/>
  <c r="ID75" i="15"/>
  <c r="ID96" i="15"/>
  <c r="ID76" i="15"/>
  <c r="ID88" i="15"/>
  <c r="ID64" i="15"/>
  <c r="ID102" i="15"/>
  <c r="ID84" i="15"/>
  <c r="ID65" i="15"/>
  <c r="ID103" i="15"/>
  <c r="ID85" i="15"/>
  <c r="ID66" i="15"/>
  <c r="ID104" i="15"/>
  <c r="ID86" i="15"/>
  <c r="ID67" i="15"/>
  <c r="ID93" i="15"/>
  <c r="ID73" i="15"/>
  <c r="IS104" i="15"/>
  <c r="IS86" i="15"/>
  <c r="IS67" i="15"/>
  <c r="IS93" i="15"/>
  <c r="IS73" i="15"/>
  <c r="IS68" i="15"/>
  <c r="IS94" i="15"/>
  <c r="IS74" i="15"/>
  <c r="IS69" i="15"/>
  <c r="IS95" i="15"/>
  <c r="IS75" i="15"/>
  <c r="IS96" i="15"/>
  <c r="IS76" i="15"/>
  <c r="IS88" i="15"/>
  <c r="IS64" i="15"/>
  <c r="IS102" i="15"/>
  <c r="IS84" i="15"/>
  <c r="IS65" i="15"/>
  <c r="IS103" i="15"/>
  <c r="IS85" i="15"/>
  <c r="IS66" i="15"/>
  <c r="JA104" i="15"/>
  <c r="JA86" i="15"/>
  <c r="JA67" i="15"/>
  <c r="JA93" i="15"/>
  <c r="JA73" i="15"/>
  <c r="JA68" i="15"/>
  <c r="JA94" i="15"/>
  <c r="JA74" i="15"/>
  <c r="JA69" i="15"/>
  <c r="JA95" i="15"/>
  <c r="JA75" i="15"/>
  <c r="JA96" i="15"/>
  <c r="JA76" i="15"/>
  <c r="JA88" i="15"/>
  <c r="JA64" i="15"/>
  <c r="JA102" i="15"/>
  <c r="JA84" i="15"/>
  <c r="JA65" i="15"/>
  <c r="JA103" i="15"/>
  <c r="JA85" i="15"/>
  <c r="JA66" i="15"/>
  <c r="JP102" i="15"/>
  <c r="JP84" i="15"/>
  <c r="JP65" i="15"/>
  <c r="JP103" i="15"/>
  <c r="JP85" i="15"/>
  <c r="JP66" i="15"/>
  <c r="JP104" i="15"/>
  <c r="JP86" i="15"/>
  <c r="JP67" i="15"/>
  <c r="JP93" i="15"/>
  <c r="JP73" i="15"/>
  <c r="JP68" i="15"/>
  <c r="JP94" i="15"/>
  <c r="JP74" i="15"/>
  <c r="JP69" i="15"/>
  <c r="JP95" i="15"/>
  <c r="JP75" i="15"/>
  <c r="JP96" i="15"/>
  <c r="JP76" i="15"/>
  <c r="JP88" i="15"/>
  <c r="JP64" i="15"/>
  <c r="KE95" i="15"/>
  <c r="KE96" i="15"/>
  <c r="KE76" i="15"/>
  <c r="KE102" i="15"/>
  <c r="KE84" i="15"/>
  <c r="KE94" i="15"/>
  <c r="KE88" i="15"/>
  <c r="KE86" i="15"/>
  <c r="KE64" i="15"/>
  <c r="KE93" i="15"/>
  <c r="KE65" i="15"/>
  <c r="KE85" i="15"/>
  <c r="KE75" i="15"/>
  <c r="KE66" i="15"/>
  <c r="KE104" i="15"/>
  <c r="KE67" i="15"/>
  <c r="KE74" i="15"/>
  <c r="KE68" i="15"/>
  <c r="KE103" i="15"/>
  <c r="KE69" i="15"/>
  <c r="KE73" i="15"/>
  <c r="KT93" i="15"/>
  <c r="KT73" i="15"/>
  <c r="KT68" i="15"/>
  <c r="KT94" i="15"/>
  <c r="KT74" i="15"/>
  <c r="KT69" i="15"/>
  <c r="KT95" i="15"/>
  <c r="KT96" i="15"/>
  <c r="KT76" i="15"/>
  <c r="KT103" i="15"/>
  <c r="KT85" i="15"/>
  <c r="KT66" i="15"/>
  <c r="KT104" i="15"/>
  <c r="KT86" i="15"/>
  <c r="KT102" i="15"/>
  <c r="KT88" i="15"/>
  <c r="KT65" i="15"/>
  <c r="KT67" i="15"/>
  <c r="KT75" i="15"/>
  <c r="KT64" i="15"/>
  <c r="KT84" i="15"/>
  <c r="LI103" i="15"/>
  <c r="LI85" i="15"/>
  <c r="LI66" i="15"/>
  <c r="LI104" i="15"/>
  <c r="LI86" i="15"/>
  <c r="LI67" i="15"/>
  <c r="LI93" i="15"/>
  <c r="LI73" i="15"/>
  <c r="LI68" i="15"/>
  <c r="LI94" i="15"/>
  <c r="LI74" i="15"/>
  <c r="LI69" i="15"/>
  <c r="LI88" i="15"/>
  <c r="LI64" i="15"/>
  <c r="LI65" i="15"/>
  <c r="LI76" i="15"/>
  <c r="LI102" i="15"/>
  <c r="LI95" i="15"/>
  <c r="LI84" i="15"/>
  <c r="LI75" i="15"/>
  <c r="LI96" i="15"/>
  <c r="LX88" i="15"/>
  <c r="LX64" i="15"/>
  <c r="LX102" i="15"/>
  <c r="LX84" i="15"/>
  <c r="LX65" i="15"/>
  <c r="LX103" i="15"/>
  <c r="LX85" i="15"/>
  <c r="LX66" i="15"/>
  <c r="LX104" i="15"/>
  <c r="LX86" i="15"/>
  <c r="LX67" i="15"/>
  <c r="LX95" i="15"/>
  <c r="LX75" i="15"/>
  <c r="LX94" i="15"/>
  <c r="LX76" i="15"/>
  <c r="LX68" i="15"/>
  <c r="LX74" i="15"/>
  <c r="LX93" i="15"/>
  <c r="LX69" i="15"/>
  <c r="LX96" i="15"/>
  <c r="LX73" i="15"/>
  <c r="MM95" i="15"/>
  <c r="MM75" i="15"/>
  <c r="MM96" i="15"/>
  <c r="MM76" i="15"/>
  <c r="MM88" i="15"/>
  <c r="MM64" i="15"/>
  <c r="MM102" i="15"/>
  <c r="MM84" i="15"/>
  <c r="MM65" i="15"/>
  <c r="MM104" i="15"/>
  <c r="MM86" i="15"/>
  <c r="MM67" i="15"/>
  <c r="MM93" i="15"/>
  <c r="MM73" i="15"/>
  <c r="MM68" i="15"/>
  <c r="MM103" i="15"/>
  <c r="MM74" i="15"/>
  <c r="MM85" i="15"/>
  <c r="MM69" i="15"/>
  <c r="MM66" i="15"/>
  <c r="MM94" i="15"/>
  <c r="NB93" i="15"/>
  <c r="NB73" i="15"/>
  <c r="NB68" i="15"/>
  <c r="NB94" i="15"/>
  <c r="NB74" i="15"/>
  <c r="NB69" i="15"/>
  <c r="NB95" i="15"/>
  <c r="NB75" i="15"/>
  <c r="NB96" i="15"/>
  <c r="NB76" i="15"/>
  <c r="NB102" i="15"/>
  <c r="NB84" i="15"/>
  <c r="NB65" i="15"/>
  <c r="NB103" i="15"/>
  <c r="NB85" i="15"/>
  <c r="NB66" i="15"/>
  <c r="NB64" i="15"/>
  <c r="NB104" i="15"/>
  <c r="NB86" i="15"/>
  <c r="NB88" i="15"/>
  <c r="NB67" i="15"/>
  <c r="NQ103" i="15"/>
  <c r="NQ85" i="15"/>
  <c r="NQ66" i="15"/>
  <c r="NQ104" i="15"/>
  <c r="NQ86" i="15"/>
  <c r="NQ67" i="15"/>
  <c r="NQ93" i="15"/>
  <c r="NQ73" i="15"/>
  <c r="NQ68" i="15"/>
  <c r="NQ94" i="15"/>
  <c r="NQ74" i="15"/>
  <c r="NQ69" i="15"/>
  <c r="NQ96" i="15"/>
  <c r="NQ76" i="15"/>
  <c r="NQ88" i="15"/>
  <c r="NQ64" i="15"/>
  <c r="NQ84" i="15"/>
  <c r="NQ95" i="15"/>
  <c r="NQ65" i="15"/>
  <c r="NQ75" i="15"/>
  <c r="NQ102" i="15"/>
  <c r="NY103" i="15"/>
  <c r="NY85" i="15"/>
  <c r="NY66" i="15"/>
  <c r="NY104" i="15"/>
  <c r="NY86" i="15"/>
  <c r="NY67" i="15"/>
  <c r="NY93" i="15"/>
  <c r="NY73" i="15"/>
  <c r="NY68" i="15"/>
  <c r="NY94" i="15"/>
  <c r="NY74" i="15"/>
  <c r="NY69" i="15"/>
  <c r="NY96" i="15"/>
  <c r="NY76" i="15"/>
  <c r="NY88" i="15"/>
  <c r="NY64" i="15"/>
  <c r="NY102" i="15"/>
  <c r="NY84" i="15"/>
  <c r="NY95" i="15"/>
  <c r="NY65" i="15"/>
  <c r="NY75" i="15"/>
  <c r="ON96" i="15"/>
  <c r="ON102" i="15"/>
  <c r="ON103" i="15"/>
  <c r="ON104" i="15"/>
  <c r="ON88" i="15"/>
  <c r="ON64" i="15"/>
  <c r="ON93" i="15"/>
  <c r="ON84" i="15"/>
  <c r="ON65" i="15"/>
  <c r="ON85" i="15"/>
  <c r="ON66" i="15"/>
  <c r="ON95" i="15"/>
  <c r="ON86" i="15"/>
  <c r="ON67" i="15"/>
  <c r="ON74" i="15"/>
  <c r="ON69" i="15"/>
  <c r="ON94" i="15"/>
  <c r="ON75" i="15"/>
  <c r="ON76" i="15"/>
  <c r="ON73" i="15"/>
  <c r="ON68" i="15"/>
  <c r="BK69" i="15"/>
  <c r="BL68" i="15"/>
  <c r="BM67" i="15"/>
  <c r="BN66" i="15"/>
  <c r="BO65" i="15"/>
  <c r="BP64" i="15"/>
  <c r="BQ76" i="15"/>
  <c r="BI76" i="15"/>
  <c r="BJ75" i="15"/>
  <c r="BK74" i="15"/>
  <c r="BL73" i="15"/>
  <c r="BM86" i="15"/>
  <c r="BN85" i="15"/>
  <c r="BO84" i="15"/>
  <c r="BP88" i="15"/>
  <c r="BQ96" i="15"/>
  <c r="BI96" i="15"/>
  <c r="BJ95" i="15"/>
  <c r="BK94" i="15"/>
  <c r="BL93" i="15"/>
  <c r="BM104" i="15"/>
  <c r="BN103" i="15"/>
  <c r="BO102" i="15"/>
  <c r="CF69" i="15"/>
  <c r="CG68" i="15"/>
  <c r="BY68" i="15"/>
  <c r="BZ67" i="15"/>
  <c r="CA66" i="15"/>
  <c r="CB65" i="15"/>
  <c r="CC64" i="15"/>
  <c r="CD76" i="15"/>
  <c r="CE75" i="15"/>
  <c r="CF74" i="15"/>
  <c r="CG73" i="15"/>
  <c r="BY73" i="15"/>
  <c r="BZ86" i="15"/>
  <c r="CA85" i="15"/>
  <c r="CB84" i="15"/>
  <c r="CC88" i="15"/>
  <c r="CD96" i="15"/>
  <c r="CE95" i="15"/>
  <c r="CF94" i="15"/>
  <c r="CG93" i="15"/>
  <c r="BY93" i="15"/>
  <c r="BZ104" i="15"/>
  <c r="CA103" i="15"/>
  <c r="CB102" i="15"/>
  <c r="CS69" i="15"/>
  <c r="CT68" i="15"/>
  <c r="CU67" i="15"/>
  <c r="CV66" i="15"/>
  <c r="CW65" i="15"/>
  <c r="CO65" i="15"/>
  <c r="CP64" i="15"/>
  <c r="CQ76" i="15"/>
  <c r="CR75" i="15"/>
  <c r="CS74" i="15"/>
  <c r="CT73" i="15"/>
  <c r="CU86" i="15"/>
  <c r="CV85" i="15"/>
  <c r="CW84" i="15"/>
  <c r="CO84" i="15"/>
  <c r="CP88" i="15"/>
  <c r="CQ96" i="15"/>
  <c r="CR95" i="15"/>
  <c r="CS94" i="15"/>
  <c r="CT93" i="15"/>
  <c r="CU104" i="15"/>
  <c r="CV103" i="15"/>
  <c r="CW102" i="15"/>
  <c r="CO102" i="15"/>
  <c r="DF69" i="15"/>
  <c r="DG68" i="15"/>
  <c r="DH67" i="15"/>
  <c r="DI66" i="15"/>
  <c r="DJ65" i="15"/>
  <c r="DK64" i="15"/>
  <c r="DL76" i="15"/>
  <c r="DM75" i="15"/>
  <c r="DE75" i="15"/>
  <c r="DF74" i="15"/>
  <c r="DG73" i="15"/>
  <c r="DH86" i="15"/>
  <c r="DI85" i="15"/>
  <c r="DJ84" i="15"/>
  <c r="DK88" i="15"/>
  <c r="DL96" i="15"/>
  <c r="DM95" i="15"/>
  <c r="DE95" i="15"/>
  <c r="DF94" i="15"/>
  <c r="DG93" i="15"/>
  <c r="DH104" i="15"/>
  <c r="DI103" i="15"/>
  <c r="DG102" i="15"/>
  <c r="EA67" i="15"/>
  <c r="DV65" i="15"/>
  <c r="DZ73" i="15"/>
  <c r="DU85" i="15"/>
  <c r="DU88" i="15"/>
  <c r="DY94" i="15"/>
  <c r="EC103" i="15"/>
  <c r="ES69" i="15"/>
  <c r="EN67" i="15"/>
  <c r="EN73" i="15"/>
  <c r="ER88" i="15"/>
  <c r="EM94" i="15"/>
  <c r="EQ102" i="15"/>
  <c r="FB67" i="15"/>
  <c r="FF76" i="15"/>
  <c r="FA73" i="15"/>
  <c r="FI93" i="15"/>
  <c r="FD102" i="15"/>
  <c r="FS76" i="15"/>
  <c r="FR88" i="15"/>
  <c r="FV93" i="15"/>
  <c r="FQ102" i="15"/>
  <c r="GK66" i="15"/>
  <c r="GO75" i="15"/>
  <c r="GJ86" i="15"/>
  <c r="GN96" i="15"/>
  <c r="GI93" i="15"/>
  <c r="HC69" i="15"/>
  <c r="GX66" i="15"/>
  <c r="HB75" i="15"/>
  <c r="GW86" i="15"/>
  <c r="HO75" i="15"/>
  <c r="HN96" i="15"/>
  <c r="IC69" i="15"/>
  <c r="FE102" i="15"/>
  <c r="FE84" i="15"/>
  <c r="FE65" i="15"/>
  <c r="FE103" i="15"/>
  <c r="FE85" i="15"/>
  <c r="FE66" i="15"/>
  <c r="FE104" i="15"/>
  <c r="FE86" i="15"/>
  <c r="FE67" i="15"/>
  <c r="FE93" i="15"/>
  <c r="FE73" i="15"/>
  <c r="FE68" i="15"/>
  <c r="FE94" i="15"/>
  <c r="FE74" i="15"/>
  <c r="FE69" i="15"/>
  <c r="FE95" i="15"/>
  <c r="FE75" i="15"/>
  <c r="HU102" i="15"/>
  <c r="HU84" i="15"/>
  <c r="HU65" i="15"/>
  <c r="HU103" i="15"/>
  <c r="HU85" i="15"/>
  <c r="HU66" i="15"/>
  <c r="HU104" i="15"/>
  <c r="HU86" i="15"/>
  <c r="HU67" i="15"/>
  <c r="HU93" i="15"/>
  <c r="HU73" i="15"/>
  <c r="HU68" i="15"/>
  <c r="HU94" i="15"/>
  <c r="HU74" i="15"/>
  <c r="HU69" i="15"/>
  <c r="HU95" i="15"/>
  <c r="HU75" i="15"/>
  <c r="HU96" i="15"/>
  <c r="HU76" i="15"/>
  <c r="KR95" i="15"/>
  <c r="KR75" i="15"/>
  <c r="KR96" i="15"/>
  <c r="KR76" i="15"/>
  <c r="KR102" i="15"/>
  <c r="KR84" i="15"/>
  <c r="KR65" i="15"/>
  <c r="KR93" i="15"/>
  <c r="KR73" i="15"/>
  <c r="KR68" i="15"/>
  <c r="KR74" i="15"/>
  <c r="KR88" i="15"/>
  <c r="KR85" i="15"/>
  <c r="KR103" i="15"/>
  <c r="KR67" i="15"/>
  <c r="KR69" i="15"/>
  <c r="KR64" i="15"/>
  <c r="KR94" i="15"/>
  <c r="KR66" i="15"/>
  <c r="KR104" i="15"/>
  <c r="KR86" i="15"/>
  <c r="NH95" i="15"/>
  <c r="NH75" i="15"/>
  <c r="NH96" i="15"/>
  <c r="NH76" i="15"/>
  <c r="NH88" i="15"/>
  <c r="NH64" i="15"/>
  <c r="NH102" i="15"/>
  <c r="NH84" i="15"/>
  <c r="NH65" i="15"/>
  <c r="NH104" i="15"/>
  <c r="NH86" i="15"/>
  <c r="NH67" i="15"/>
  <c r="NH93" i="15"/>
  <c r="NH73" i="15"/>
  <c r="NH68" i="15"/>
  <c r="NH94" i="15"/>
  <c r="NH103" i="15"/>
  <c r="NH74" i="15"/>
  <c r="NH85" i="15"/>
  <c r="NH69" i="15"/>
  <c r="NH66" i="15"/>
  <c r="DV103" i="15"/>
  <c r="DV85" i="15"/>
  <c r="DV66" i="15"/>
  <c r="DV104" i="15"/>
  <c r="DV86" i="15"/>
  <c r="DV67" i="15"/>
  <c r="DV93" i="15"/>
  <c r="DV73" i="15"/>
  <c r="DV68" i="15"/>
  <c r="DV94" i="15"/>
  <c r="DV74" i="15"/>
  <c r="DV69" i="15"/>
  <c r="DV95" i="15"/>
  <c r="DV75" i="15"/>
  <c r="EK88" i="15"/>
  <c r="EK64" i="15"/>
  <c r="EK102" i="15"/>
  <c r="EK84" i="15"/>
  <c r="EK65" i="15"/>
  <c r="EK103" i="15"/>
  <c r="EK85" i="15"/>
  <c r="EK66" i="15"/>
  <c r="EK104" i="15"/>
  <c r="EK86" i="15"/>
  <c r="EK67" i="15"/>
  <c r="EK93" i="15"/>
  <c r="EK73" i="15"/>
  <c r="EK68" i="15"/>
  <c r="EK94" i="15"/>
  <c r="EK74" i="15"/>
  <c r="ES88" i="15"/>
  <c r="ES64" i="15"/>
  <c r="ES102" i="15"/>
  <c r="ES84" i="15"/>
  <c r="ES65" i="15"/>
  <c r="ES103" i="15"/>
  <c r="ES85" i="15"/>
  <c r="ES66" i="15"/>
  <c r="ES104" i="15"/>
  <c r="ES86" i="15"/>
  <c r="ES67" i="15"/>
  <c r="ES93" i="15"/>
  <c r="ES73" i="15"/>
  <c r="ES68" i="15"/>
  <c r="ES94" i="15"/>
  <c r="ES74" i="15"/>
  <c r="FH95" i="15"/>
  <c r="FH75" i="15"/>
  <c r="FH96" i="15"/>
  <c r="FH76" i="15"/>
  <c r="FH88" i="15"/>
  <c r="FH64" i="15"/>
  <c r="FH102" i="15"/>
  <c r="FH84" i="15"/>
  <c r="FH65" i="15"/>
  <c r="FH103" i="15"/>
  <c r="FH85" i="15"/>
  <c r="FH66" i="15"/>
  <c r="FH104" i="15"/>
  <c r="FH86" i="15"/>
  <c r="FH67" i="15"/>
  <c r="FW93" i="15"/>
  <c r="FW73" i="15"/>
  <c r="FW68" i="15"/>
  <c r="FW94" i="15"/>
  <c r="FW74" i="15"/>
  <c r="FW69" i="15"/>
  <c r="FW95" i="15"/>
  <c r="FW75" i="15"/>
  <c r="FW96" i="15"/>
  <c r="FW76" i="15"/>
  <c r="FW88" i="15"/>
  <c r="FW64" i="15"/>
  <c r="FW102" i="15"/>
  <c r="FW84" i="15"/>
  <c r="FW65" i="15"/>
  <c r="GL103" i="15"/>
  <c r="GL85" i="15"/>
  <c r="GL66" i="15"/>
  <c r="GL104" i="15"/>
  <c r="GL86" i="15"/>
  <c r="GL67" i="15"/>
  <c r="GL93" i="15"/>
  <c r="GL73" i="15"/>
  <c r="GL68" i="15"/>
  <c r="GL94" i="15"/>
  <c r="GL74" i="15"/>
  <c r="GL69" i="15"/>
  <c r="GL95" i="15"/>
  <c r="GL75" i="15"/>
  <c r="GL96" i="15"/>
  <c r="GL76" i="15"/>
  <c r="HA88" i="15"/>
  <c r="HA64" i="15"/>
  <c r="HA102" i="15"/>
  <c r="HA84" i="15"/>
  <c r="HA65" i="15"/>
  <c r="HA103" i="15"/>
  <c r="HA85" i="15"/>
  <c r="HA66" i="15"/>
  <c r="HA104" i="15"/>
  <c r="HA86" i="15"/>
  <c r="HA67" i="15"/>
  <c r="HA93" i="15"/>
  <c r="HA73" i="15"/>
  <c r="HA68" i="15"/>
  <c r="HA94" i="15"/>
  <c r="HA74" i="15"/>
  <c r="HA69" i="15"/>
  <c r="HA95" i="15"/>
  <c r="HP95" i="15"/>
  <c r="HP75" i="15"/>
  <c r="HP96" i="15"/>
  <c r="HP76" i="15"/>
  <c r="HP88" i="15"/>
  <c r="HP64" i="15"/>
  <c r="HP102" i="15"/>
  <c r="HP84" i="15"/>
  <c r="HP65" i="15"/>
  <c r="HP103" i="15"/>
  <c r="HP85" i="15"/>
  <c r="HP66" i="15"/>
  <c r="HP104" i="15"/>
  <c r="HP86" i="15"/>
  <c r="HP67" i="15"/>
  <c r="HP93" i="15"/>
  <c r="HP73" i="15"/>
  <c r="HP68" i="15"/>
  <c r="IE93" i="15"/>
  <c r="IE73" i="15"/>
  <c r="IE68" i="15"/>
  <c r="IE94" i="15"/>
  <c r="IE74" i="15"/>
  <c r="IE69" i="15"/>
  <c r="IE95" i="15"/>
  <c r="IE75" i="15"/>
  <c r="IE96" i="15"/>
  <c r="IE76" i="15"/>
  <c r="IE88" i="15"/>
  <c r="IE64" i="15"/>
  <c r="IE102" i="15"/>
  <c r="IE84" i="15"/>
  <c r="IE65" i="15"/>
  <c r="IE103" i="15"/>
  <c r="IE85" i="15"/>
  <c r="IE66" i="15"/>
  <c r="IE104" i="15"/>
  <c r="IE86" i="15"/>
  <c r="IT103" i="15"/>
  <c r="IT85" i="15"/>
  <c r="IT66" i="15"/>
  <c r="IT104" i="15"/>
  <c r="IT86" i="15"/>
  <c r="IT67" i="15"/>
  <c r="IT93" i="15"/>
  <c r="IT73" i="15"/>
  <c r="IT68" i="15"/>
  <c r="IT94" i="15"/>
  <c r="IT74" i="15"/>
  <c r="IT69" i="15"/>
  <c r="IT95" i="15"/>
  <c r="IT75" i="15"/>
  <c r="IT96" i="15"/>
  <c r="IT76" i="15"/>
  <c r="IT88" i="15"/>
  <c r="IT64" i="15"/>
  <c r="IT102" i="15"/>
  <c r="IT84" i="15"/>
  <c r="IT65" i="15"/>
  <c r="JI88" i="15"/>
  <c r="JI64" i="15"/>
  <c r="JI102" i="15"/>
  <c r="JI84" i="15"/>
  <c r="JI65" i="15"/>
  <c r="JI103" i="15"/>
  <c r="JI85" i="15"/>
  <c r="JI66" i="15"/>
  <c r="JI104" i="15"/>
  <c r="JI86" i="15"/>
  <c r="JI67" i="15"/>
  <c r="JI93" i="15"/>
  <c r="JI73" i="15"/>
  <c r="JI68" i="15"/>
  <c r="JI94" i="15"/>
  <c r="JI74" i="15"/>
  <c r="JI69" i="15"/>
  <c r="JI95" i="15"/>
  <c r="JI75" i="15"/>
  <c r="JI96" i="15"/>
  <c r="JI76" i="15"/>
  <c r="JQ88" i="15"/>
  <c r="JQ64" i="15"/>
  <c r="JQ102" i="15"/>
  <c r="JQ84" i="15"/>
  <c r="JQ65" i="15"/>
  <c r="JQ103" i="15"/>
  <c r="JQ85" i="15"/>
  <c r="JQ66" i="15"/>
  <c r="JQ104" i="15"/>
  <c r="JQ86" i="15"/>
  <c r="JQ67" i="15"/>
  <c r="JQ93" i="15"/>
  <c r="JQ73" i="15"/>
  <c r="JQ68" i="15"/>
  <c r="JQ94" i="15"/>
  <c r="JQ74" i="15"/>
  <c r="JQ69" i="15"/>
  <c r="JQ95" i="15"/>
  <c r="JQ75" i="15"/>
  <c r="JQ96" i="15"/>
  <c r="JQ76" i="15"/>
  <c r="KF94" i="15"/>
  <c r="KF74" i="15"/>
  <c r="KF95" i="15"/>
  <c r="KF75" i="15"/>
  <c r="KF88" i="15"/>
  <c r="KF73" i="15"/>
  <c r="KF102" i="15"/>
  <c r="KF86" i="15"/>
  <c r="KF76" i="15"/>
  <c r="KF64" i="15"/>
  <c r="KF93" i="15"/>
  <c r="KF96" i="15"/>
  <c r="KF65" i="15"/>
  <c r="KF85" i="15"/>
  <c r="KF66" i="15"/>
  <c r="KF104" i="15"/>
  <c r="KF67" i="15"/>
  <c r="KF84" i="15"/>
  <c r="KF68" i="15"/>
  <c r="KF103" i="15"/>
  <c r="KF69" i="15"/>
  <c r="KU104" i="15"/>
  <c r="KU86" i="15"/>
  <c r="KU67" i="15"/>
  <c r="KU93" i="15"/>
  <c r="KU73" i="15"/>
  <c r="KU68" i="15"/>
  <c r="KU94" i="15"/>
  <c r="KU95" i="15"/>
  <c r="KU75" i="15"/>
  <c r="KU102" i="15"/>
  <c r="KU84" i="15"/>
  <c r="KU65" i="15"/>
  <c r="KU66" i="15"/>
  <c r="KU74" i="15"/>
  <c r="KU76" i="15"/>
  <c r="KU88" i="15"/>
  <c r="KU85" i="15"/>
  <c r="KU103" i="15"/>
  <c r="KU69" i="15"/>
  <c r="KU96" i="15"/>
  <c r="KU64" i="15"/>
  <c r="LJ102" i="15"/>
  <c r="LJ84" i="15"/>
  <c r="LJ65" i="15"/>
  <c r="LJ103" i="15"/>
  <c r="LJ85" i="15"/>
  <c r="LJ66" i="15"/>
  <c r="LJ104" i="15"/>
  <c r="LJ86" i="15"/>
  <c r="LJ67" i="15"/>
  <c r="LJ93" i="15"/>
  <c r="LJ73" i="15"/>
  <c r="LJ68" i="15"/>
  <c r="LJ96" i="15"/>
  <c r="LJ76" i="15"/>
  <c r="LJ88" i="15"/>
  <c r="LJ74" i="15"/>
  <c r="LJ95" i="15"/>
  <c r="LJ64" i="15"/>
  <c r="LJ69" i="15"/>
  <c r="LJ75" i="15"/>
  <c r="LJ94" i="15"/>
  <c r="LY96" i="15"/>
  <c r="LY76" i="15"/>
  <c r="LY88" i="15"/>
  <c r="LY64" i="15"/>
  <c r="LY102" i="15"/>
  <c r="LY84" i="15"/>
  <c r="LY65" i="15"/>
  <c r="LY103" i="15"/>
  <c r="LY85" i="15"/>
  <c r="LY66" i="15"/>
  <c r="LY94" i="15"/>
  <c r="LY74" i="15"/>
  <c r="LY69" i="15"/>
  <c r="LY73" i="15"/>
  <c r="LY104" i="15"/>
  <c r="LY68" i="15"/>
  <c r="LY95" i="15"/>
  <c r="LY86" i="15"/>
  <c r="LY93" i="15"/>
  <c r="LY75" i="15"/>
  <c r="LY67" i="15"/>
  <c r="MN94" i="15"/>
  <c r="MN74" i="15"/>
  <c r="MN69" i="15"/>
  <c r="MN95" i="15"/>
  <c r="MN75" i="15"/>
  <c r="MN96" i="15"/>
  <c r="MN76" i="15"/>
  <c r="MN88" i="15"/>
  <c r="MN64" i="15"/>
  <c r="MN103" i="15"/>
  <c r="MN85" i="15"/>
  <c r="MN66" i="15"/>
  <c r="MN104" i="15"/>
  <c r="MN86" i="15"/>
  <c r="MN67" i="15"/>
  <c r="MN84" i="15"/>
  <c r="MN68" i="15"/>
  <c r="MN65" i="15"/>
  <c r="MN93" i="15"/>
  <c r="MN102" i="15"/>
  <c r="MN73" i="15"/>
  <c r="NC104" i="15"/>
  <c r="NC86" i="15"/>
  <c r="NC67" i="15"/>
  <c r="NC93" i="15"/>
  <c r="NC73" i="15"/>
  <c r="NC68" i="15"/>
  <c r="NC94" i="15"/>
  <c r="NC74" i="15"/>
  <c r="NC69" i="15"/>
  <c r="NC95" i="15"/>
  <c r="NC75" i="15"/>
  <c r="NC88" i="15"/>
  <c r="NC64" i="15"/>
  <c r="NC102" i="15"/>
  <c r="NC84" i="15"/>
  <c r="NC65" i="15"/>
  <c r="NC103" i="15"/>
  <c r="NC85" i="15"/>
  <c r="NC96" i="15"/>
  <c r="NC66" i="15"/>
  <c r="NC76" i="15"/>
  <c r="NR102" i="15"/>
  <c r="NR84" i="15"/>
  <c r="NR65" i="15"/>
  <c r="NR103" i="15"/>
  <c r="NR85" i="15"/>
  <c r="NR66" i="15"/>
  <c r="NR104" i="15"/>
  <c r="NR86" i="15"/>
  <c r="NR67" i="15"/>
  <c r="NR93" i="15"/>
  <c r="NR73" i="15"/>
  <c r="NR68" i="15"/>
  <c r="NR95" i="15"/>
  <c r="NR75" i="15"/>
  <c r="NR96" i="15"/>
  <c r="NR76" i="15"/>
  <c r="NR94" i="15"/>
  <c r="NR64" i="15"/>
  <c r="NR74" i="15"/>
  <c r="NR69" i="15"/>
  <c r="NR88" i="15"/>
  <c r="OG95" i="15"/>
  <c r="OG102" i="15"/>
  <c r="OG103" i="15"/>
  <c r="OG76" i="15"/>
  <c r="OG104" i="15"/>
  <c r="OG88" i="15"/>
  <c r="OG64" i="15"/>
  <c r="OG84" i="15"/>
  <c r="OG65" i="15"/>
  <c r="OG94" i="15"/>
  <c r="OG85" i="15"/>
  <c r="OG66" i="15"/>
  <c r="OG73" i="15"/>
  <c r="OG68" i="15"/>
  <c r="OG93" i="15"/>
  <c r="OG74" i="15"/>
  <c r="OG69" i="15"/>
  <c r="OG67" i="15"/>
  <c r="OG75" i="15"/>
  <c r="OG96" i="15"/>
  <c r="OG86" i="15"/>
  <c r="OO95" i="15"/>
  <c r="OO102" i="15"/>
  <c r="OO103" i="15"/>
  <c r="OO96" i="15"/>
  <c r="OO76" i="15"/>
  <c r="OO88" i="15"/>
  <c r="OO64" i="15"/>
  <c r="OO93" i="15"/>
  <c r="OO84" i="15"/>
  <c r="OO65" i="15"/>
  <c r="OO85" i="15"/>
  <c r="OO66" i="15"/>
  <c r="OO104" i="15"/>
  <c r="OO73" i="15"/>
  <c r="OO68" i="15"/>
  <c r="OO74" i="15"/>
  <c r="OO69" i="15"/>
  <c r="OO86" i="15"/>
  <c r="OO67" i="15"/>
  <c r="OO94" i="15"/>
  <c r="OO75" i="15"/>
  <c r="BJ69" i="15"/>
  <c r="BK68" i="15"/>
  <c r="BL67" i="15"/>
  <c r="BM66" i="15"/>
  <c r="BN65" i="15"/>
  <c r="BO64" i="15"/>
  <c r="BP76" i="15"/>
  <c r="BQ75" i="15"/>
  <c r="BI75" i="15"/>
  <c r="BJ74" i="15"/>
  <c r="BK73" i="15"/>
  <c r="BL86" i="15"/>
  <c r="BM85" i="15"/>
  <c r="BN84" i="15"/>
  <c r="BO88" i="15"/>
  <c r="BP96" i="15"/>
  <c r="BQ95" i="15"/>
  <c r="BI95" i="15"/>
  <c r="BJ94" i="15"/>
  <c r="BK93" i="15"/>
  <c r="BL104" i="15"/>
  <c r="BM103" i="15"/>
  <c r="BN102" i="15"/>
  <c r="CE69" i="15"/>
  <c r="CF68" i="15"/>
  <c r="CG67" i="15"/>
  <c r="BY67" i="15"/>
  <c r="BZ66" i="15"/>
  <c r="CA65" i="15"/>
  <c r="CB64" i="15"/>
  <c r="CC76" i="15"/>
  <c r="CD75" i="15"/>
  <c r="CE74" i="15"/>
  <c r="CF73" i="15"/>
  <c r="CG86" i="15"/>
  <c r="BY86" i="15"/>
  <c r="BZ85" i="15"/>
  <c r="CA84" i="15"/>
  <c r="CB88" i="15"/>
  <c r="CC96" i="15"/>
  <c r="CD95" i="15"/>
  <c r="CE94" i="15"/>
  <c r="CF93" i="15"/>
  <c r="CG104" i="15"/>
  <c r="BY104" i="15"/>
  <c r="BZ103" i="15"/>
  <c r="CA102" i="15"/>
  <c r="CR69" i="15"/>
  <c r="CS68" i="15"/>
  <c r="CT67" i="15"/>
  <c r="CU66" i="15"/>
  <c r="CV65" i="15"/>
  <c r="CW64" i="15"/>
  <c r="CO64" i="15"/>
  <c r="CP76" i="15"/>
  <c r="CQ75" i="15"/>
  <c r="CR74" i="15"/>
  <c r="CS73" i="15"/>
  <c r="CT86" i="15"/>
  <c r="CU85" i="15"/>
  <c r="CV84" i="15"/>
  <c r="CW88" i="15"/>
  <c r="CO88" i="15"/>
  <c r="CP96" i="15"/>
  <c r="CQ95" i="15"/>
  <c r="CR94" i="15"/>
  <c r="CS93" i="15"/>
  <c r="CT104" i="15"/>
  <c r="CU103" i="15"/>
  <c r="CV102" i="15"/>
  <c r="DM69" i="15"/>
  <c r="DE69" i="15"/>
  <c r="DF68" i="15"/>
  <c r="DG67" i="15"/>
  <c r="DH66" i="15"/>
  <c r="DI65" i="15"/>
  <c r="DJ64" i="15"/>
  <c r="DK76" i="15"/>
  <c r="DL75" i="15"/>
  <c r="DM74" i="15"/>
  <c r="DE74" i="15"/>
  <c r="DF73" i="15"/>
  <c r="DG86" i="15"/>
  <c r="DH85" i="15"/>
  <c r="DI84" i="15"/>
  <c r="DJ88" i="15"/>
  <c r="DK96" i="15"/>
  <c r="DL95" i="15"/>
  <c r="DM94" i="15"/>
  <c r="DE94" i="15"/>
  <c r="DF93" i="15"/>
  <c r="DG104" i="15"/>
  <c r="DH103" i="15"/>
  <c r="DZ69" i="15"/>
  <c r="DZ67" i="15"/>
  <c r="DU65" i="15"/>
  <c r="DY75" i="15"/>
  <c r="DY73" i="15"/>
  <c r="EC84" i="15"/>
  <c r="DX96" i="15"/>
  <c r="DX94" i="15"/>
  <c r="EB103" i="15"/>
  <c r="EM69" i="15"/>
  <c r="EM67" i="15"/>
  <c r="ER76" i="15"/>
  <c r="EQ88" i="15"/>
  <c r="EP102" i="15"/>
  <c r="FE76" i="15"/>
  <c r="FD88" i="15"/>
  <c r="FH93" i="15"/>
  <c r="FC102" i="15"/>
  <c r="FW66" i="15"/>
  <c r="FR76" i="15"/>
  <c r="FV86" i="15"/>
  <c r="FU93" i="15"/>
  <c r="GO69" i="15"/>
  <c r="GJ66" i="15"/>
  <c r="GH93" i="15"/>
  <c r="HB69" i="15"/>
  <c r="GW66" i="15"/>
  <c r="HA75" i="15"/>
  <c r="HE85" i="15"/>
  <c r="HP74" i="15"/>
  <c r="HO95" i="15"/>
  <c r="ID68" i="15"/>
  <c r="GI94" i="15"/>
  <c r="GI74" i="15"/>
  <c r="GI69" i="15"/>
  <c r="GI95" i="15"/>
  <c r="GI75" i="15"/>
  <c r="GI96" i="15"/>
  <c r="GI76" i="15"/>
  <c r="GI88" i="15"/>
  <c r="GI64" i="15"/>
  <c r="GI102" i="15"/>
  <c r="GI84" i="15"/>
  <c r="GI65" i="15"/>
  <c r="GI103" i="15"/>
  <c r="GI85" i="15"/>
  <c r="GI66" i="15"/>
  <c r="JN104" i="15"/>
  <c r="JN86" i="15"/>
  <c r="JN67" i="15"/>
  <c r="JN93" i="15"/>
  <c r="JN73" i="15"/>
  <c r="JN68" i="15"/>
  <c r="JN94" i="15"/>
  <c r="JN74" i="15"/>
  <c r="JN69" i="15"/>
  <c r="JN95" i="15"/>
  <c r="JN75" i="15"/>
  <c r="JN96" i="15"/>
  <c r="JN76" i="15"/>
  <c r="JN88" i="15"/>
  <c r="JN64" i="15"/>
  <c r="JN102" i="15"/>
  <c r="JN84" i="15"/>
  <c r="JN65" i="15"/>
  <c r="JN103" i="15"/>
  <c r="JN85" i="15"/>
  <c r="JN66" i="15"/>
  <c r="MS88" i="15"/>
  <c r="MS64" i="15"/>
  <c r="MS102" i="15"/>
  <c r="MS84" i="15"/>
  <c r="MS65" i="15"/>
  <c r="MS103" i="15"/>
  <c r="MS85" i="15"/>
  <c r="MS66" i="15"/>
  <c r="MS104" i="15"/>
  <c r="MS86" i="15"/>
  <c r="MS67" i="15"/>
  <c r="MS94" i="15"/>
  <c r="MS74" i="15"/>
  <c r="MS69" i="15"/>
  <c r="MS95" i="15"/>
  <c r="MS75" i="15"/>
  <c r="MS73" i="15"/>
  <c r="MS68" i="15"/>
  <c r="MS96" i="15"/>
  <c r="MS93" i="15"/>
  <c r="MS76" i="15"/>
  <c r="BK96" i="15"/>
  <c r="BZ69" i="15"/>
  <c r="CW86" i="15"/>
  <c r="GX103" i="15"/>
  <c r="DW102" i="15"/>
  <c r="DW84" i="15"/>
  <c r="DW65" i="15"/>
  <c r="DW103" i="15"/>
  <c r="DW85" i="15"/>
  <c r="DW66" i="15"/>
  <c r="DW104" i="15"/>
  <c r="DW86" i="15"/>
  <c r="DW67" i="15"/>
  <c r="DW93" i="15"/>
  <c r="DW73" i="15"/>
  <c r="DW68" i="15"/>
  <c r="DW94" i="15"/>
  <c r="DW74" i="15"/>
  <c r="DW69" i="15"/>
  <c r="EL96" i="15"/>
  <c r="EL76" i="15"/>
  <c r="EL88" i="15"/>
  <c r="EL64" i="15"/>
  <c r="EL102" i="15"/>
  <c r="EL84" i="15"/>
  <c r="EL65" i="15"/>
  <c r="EL103" i="15"/>
  <c r="EL85" i="15"/>
  <c r="EL66" i="15"/>
  <c r="EL104" i="15"/>
  <c r="EL86" i="15"/>
  <c r="EL67" i="15"/>
  <c r="EL93" i="15"/>
  <c r="EL73" i="15"/>
  <c r="FA94" i="15"/>
  <c r="FA74" i="15"/>
  <c r="FA69" i="15"/>
  <c r="FA95" i="15"/>
  <c r="FA75" i="15"/>
  <c r="FA96" i="15"/>
  <c r="FA76" i="15"/>
  <c r="FA88" i="15"/>
  <c r="FA64" i="15"/>
  <c r="FA102" i="15"/>
  <c r="FA84" i="15"/>
  <c r="FA65" i="15"/>
  <c r="FA103" i="15"/>
  <c r="FA85" i="15"/>
  <c r="FA66" i="15"/>
  <c r="FI94" i="15"/>
  <c r="FI74" i="15"/>
  <c r="FI69" i="15"/>
  <c r="FI95" i="15"/>
  <c r="FI75" i="15"/>
  <c r="FI96" i="15"/>
  <c r="FI76" i="15"/>
  <c r="FI88" i="15"/>
  <c r="FI64" i="15"/>
  <c r="FI102" i="15"/>
  <c r="FI84" i="15"/>
  <c r="FI65" i="15"/>
  <c r="FI103" i="15"/>
  <c r="FI85" i="15"/>
  <c r="FI66" i="15"/>
  <c r="FX104" i="15"/>
  <c r="FX86" i="15"/>
  <c r="FX67" i="15"/>
  <c r="FX93" i="15"/>
  <c r="FX73" i="15"/>
  <c r="FX68" i="15"/>
  <c r="FX94" i="15"/>
  <c r="FX74" i="15"/>
  <c r="FX69" i="15"/>
  <c r="FX95" i="15"/>
  <c r="FX75" i="15"/>
  <c r="FX96" i="15"/>
  <c r="FX76" i="15"/>
  <c r="FX88" i="15"/>
  <c r="FX64" i="15"/>
  <c r="GM102" i="15"/>
  <c r="GM84" i="15"/>
  <c r="GM65" i="15"/>
  <c r="GM103" i="15"/>
  <c r="GM85" i="15"/>
  <c r="GM66" i="15"/>
  <c r="GM104" i="15"/>
  <c r="GM86" i="15"/>
  <c r="GM67" i="15"/>
  <c r="GM93" i="15"/>
  <c r="GM73" i="15"/>
  <c r="GM68" i="15"/>
  <c r="GM94" i="15"/>
  <c r="GM74" i="15"/>
  <c r="GM69" i="15"/>
  <c r="GM95" i="15"/>
  <c r="GM75" i="15"/>
  <c r="HB96" i="15"/>
  <c r="HB76" i="15"/>
  <c r="HB88" i="15"/>
  <c r="HB64" i="15"/>
  <c r="HB102" i="15"/>
  <c r="HB84" i="15"/>
  <c r="HB65" i="15"/>
  <c r="HB103" i="15"/>
  <c r="HB85" i="15"/>
  <c r="HB66" i="15"/>
  <c r="HB104" i="15"/>
  <c r="HB86" i="15"/>
  <c r="HB67" i="15"/>
  <c r="HB93" i="15"/>
  <c r="HB73" i="15"/>
  <c r="HB68" i="15"/>
  <c r="HB94" i="15"/>
  <c r="HQ94" i="15"/>
  <c r="HQ74" i="15"/>
  <c r="HQ69" i="15"/>
  <c r="HQ95" i="15"/>
  <c r="HQ75" i="15"/>
  <c r="HQ96" i="15"/>
  <c r="HQ76" i="15"/>
  <c r="HQ88" i="15"/>
  <c r="HQ64" i="15"/>
  <c r="HQ102" i="15"/>
  <c r="HQ84" i="15"/>
  <c r="HQ65" i="15"/>
  <c r="HQ103" i="15"/>
  <c r="HQ85" i="15"/>
  <c r="HQ66" i="15"/>
  <c r="HQ104" i="15"/>
  <c r="HQ86" i="15"/>
  <c r="HQ67" i="15"/>
  <c r="IF104" i="15"/>
  <c r="IF86" i="15"/>
  <c r="IF67" i="15"/>
  <c r="IF93" i="15"/>
  <c r="IF73" i="15"/>
  <c r="IF68" i="15"/>
  <c r="IF94" i="15"/>
  <c r="IF74" i="15"/>
  <c r="IF69" i="15"/>
  <c r="IF95" i="15"/>
  <c r="IF75" i="15"/>
  <c r="IF96" i="15"/>
  <c r="IF76" i="15"/>
  <c r="IF88" i="15"/>
  <c r="IF64" i="15"/>
  <c r="IF102" i="15"/>
  <c r="IF84" i="15"/>
  <c r="IF65" i="15"/>
  <c r="IF103" i="15"/>
  <c r="IF85" i="15"/>
  <c r="IU102" i="15"/>
  <c r="IU84" i="15"/>
  <c r="IU65" i="15"/>
  <c r="IU103" i="15"/>
  <c r="IU85" i="15"/>
  <c r="IU66" i="15"/>
  <c r="IU104" i="15"/>
  <c r="IU86" i="15"/>
  <c r="IU67" i="15"/>
  <c r="IU93" i="15"/>
  <c r="IU73" i="15"/>
  <c r="IU68" i="15"/>
  <c r="IU94" i="15"/>
  <c r="IU74" i="15"/>
  <c r="IU69" i="15"/>
  <c r="IU95" i="15"/>
  <c r="IU75" i="15"/>
  <c r="IU96" i="15"/>
  <c r="IU76" i="15"/>
  <c r="IU88" i="15"/>
  <c r="IU64" i="15"/>
  <c r="JJ96" i="15"/>
  <c r="JJ76" i="15"/>
  <c r="JJ88" i="15"/>
  <c r="JJ64" i="15"/>
  <c r="JJ102" i="15"/>
  <c r="JJ84" i="15"/>
  <c r="JJ65" i="15"/>
  <c r="JJ103" i="15"/>
  <c r="JJ85" i="15"/>
  <c r="JJ66" i="15"/>
  <c r="JJ104" i="15"/>
  <c r="JJ86" i="15"/>
  <c r="JJ67" i="15"/>
  <c r="JJ93" i="15"/>
  <c r="JJ73" i="15"/>
  <c r="JJ68" i="15"/>
  <c r="JJ94" i="15"/>
  <c r="JJ74" i="15"/>
  <c r="JJ69" i="15"/>
  <c r="JJ95" i="15"/>
  <c r="JJ75" i="15"/>
  <c r="JY93" i="15"/>
  <c r="JY73" i="15"/>
  <c r="JY94" i="15"/>
  <c r="JY74" i="15"/>
  <c r="JY96" i="15"/>
  <c r="JY76" i="15"/>
  <c r="JY103" i="15"/>
  <c r="JY85" i="15"/>
  <c r="JY69" i="15"/>
  <c r="JY104" i="15"/>
  <c r="JY95" i="15"/>
  <c r="JY84" i="15"/>
  <c r="JY64" i="15"/>
  <c r="JY88" i="15"/>
  <c r="JY65" i="15"/>
  <c r="JY66" i="15"/>
  <c r="JY86" i="15"/>
  <c r="JY75" i="15"/>
  <c r="JY67" i="15"/>
  <c r="JY102" i="15"/>
  <c r="JY68" i="15"/>
  <c r="KG93" i="15"/>
  <c r="KG73" i="15"/>
  <c r="KG94" i="15"/>
  <c r="KG74" i="15"/>
  <c r="KG96" i="15"/>
  <c r="KG76" i="15"/>
  <c r="KG103" i="15"/>
  <c r="KG69" i="15"/>
  <c r="KG88" i="15"/>
  <c r="KG102" i="15"/>
  <c r="KG86" i="15"/>
  <c r="KG64" i="15"/>
  <c r="KG75" i="15"/>
  <c r="KG65" i="15"/>
  <c r="KG85" i="15"/>
  <c r="KG66" i="15"/>
  <c r="KG104" i="15"/>
  <c r="KG95" i="15"/>
  <c r="KG67" i="15"/>
  <c r="KG84" i="15"/>
  <c r="KG68" i="15"/>
  <c r="KV103" i="15"/>
  <c r="KV85" i="15"/>
  <c r="KV66" i="15"/>
  <c r="KV104" i="15"/>
  <c r="KV86" i="15"/>
  <c r="KV67" i="15"/>
  <c r="KV93" i="15"/>
  <c r="KV94" i="15"/>
  <c r="KV74" i="15"/>
  <c r="KV69" i="15"/>
  <c r="KV88" i="15"/>
  <c r="KV64" i="15"/>
  <c r="KV84" i="15"/>
  <c r="KV68" i="15"/>
  <c r="KV102" i="15"/>
  <c r="KV95" i="15"/>
  <c r="KV76" i="15"/>
  <c r="KV65" i="15"/>
  <c r="KV73" i="15"/>
  <c r="KV75" i="15"/>
  <c r="KV96" i="15"/>
  <c r="LK88" i="15"/>
  <c r="LK64" i="15"/>
  <c r="LK102" i="15"/>
  <c r="LK84" i="15"/>
  <c r="LK65" i="15"/>
  <c r="LK103" i="15"/>
  <c r="LK85" i="15"/>
  <c r="LK66" i="15"/>
  <c r="LK104" i="15"/>
  <c r="LK86" i="15"/>
  <c r="LK67" i="15"/>
  <c r="LK95" i="15"/>
  <c r="LK75" i="15"/>
  <c r="LK94" i="15"/>
  <c r="LK76" i="15"/>
  <c r="LK68" i="15"/>
  <c r="LK74" i="15"/>
  <c r="LK93" i="15"/>
  <c r="LK69" i="15"/>
  <c r="LK96" i="15"/>
  <c r="LK73" i="15"/>
  <c r="LZ95" i="15"/>
  <c r="LZ75" i="15"/>
  <c r="LZ96" i="15"/>
  <c r="LZ76" i="15"/>
  <c r="LZ88" i="15"/>
  <c r="LZ64" i="15"/>
  <c r="LZ102" i="15"/>
  <c r="LZ84" i="15"/>
  <c r="LZ65" i="15"/>
  <c r="LZ104" i="15"/>
  <c r="LZ93" i="15"/>
  <c r="LZ73" i="15"/>
  <c r="LZ68" i="15"/>
  <c r="LZ103" i="15"/>
  <c r="LZ67" i="15"/>
  <c r="LZ94" i="15"/>
  <c r="LZ85" i="15"/>
  <c r="LZ74" i="15"/>
  <c r="LZ66" i="15"/>
  <c r="LZ86" i="15"/>
  <c r="LZ69" i="15"/>
  <c r="MO93" i="15"/>
  <c r="MO73" i="15"/>
  <c r="MO68" i="15"/>
  <c r="MO94" i="15"/>
  <c r="MO74" i="15"/>
  <c r="MO69" i="15"/>
  <c r="MO95" i="15"/>
  <c r="MO75" i="15"/>
  <c r="MO96" i="15"/>
  <c r="MO76" i="15"/>
  <c r="MO102" i="15"/>
  <c r="MO84" i="15"/>
  <c r="MO65" i="15"/>
  <c r="MO103" i="15"/>
  <c r="MO85" i="15"/>
  <c r="MO66" i="15"/>
  <c r="MO64" i="15"/>
  <c r="MO104" i="15"/>
  <c r="MO86" i="15"/>
  <c r="MO88" i="15"/>
  <c r="MO67" i="15"/>
  <c r="ND103" i="15"/>
  <c r="ND85" i="15"/>
  <c r="ND66" i="15"/>
  <c r="ND104" i="15"/>
  <c r="ND86" i="15"/>
  <c r="ND67" i="15"/>
  <c r="ND93" i="15"/>
  <c r="ND73" i="15"/>
  <c r="ND68" i="15"/>
  <c r="ND94" i="15"/>
  <c r="ND74" i="15"/>
  <c r="ND69" i="15"/>
  <c r="ND96" i="15"/>
  <c r="ND76" i="15"/>
  <c r="ND88" i="15"/>
  <c r="ND64" i="15"/>
  <c r="ND84" i="15"/>
  <c r="ND95" i="15"/>
  <c r="ND65" i="15"/>
  <c r="ND75" i="15"/>
  <c r="ND102" i="15"/>
  <c r="NS88" i="15"/>
  <c r="NS64" i="15"/>
  <c r="NS102" i="15"/>
  <c r="NS84" i="15"/>
  <c r="NS65" i="15"/>
  <c r="NS103" i="15"/>
  <c r="NS85" i="15"/>
  <c r="NS66" i="15"/>
  <c r="NS104" i="15"/>
  <c r="NS86" i="15"/>
  <c r="NS67" i="15"/>
  <c r="NS94" i="15"/>
  <c r="NS74" i="15"/>
  <c r="NS69" i="15"/>
  <c r="NS95" i="15"/>
  <c r="NS75" i="15"/>
  <c r="NS73" i="15"/>
  <c r="NS68" i="15"/>
  <c r="NS96" i="15"/>
  <c r="NS93" i="15"/>
  <c r="NS76" i="15"/>
  <c r="OH94" i="15"/>
  <c r="OH96" i="15"/>
  <c r="OH102" i="15"/>
  <c r="OH95" i="15"/>
  <c r="OH75" i="15"/>
  <c r="OH76" i="15"/>
  <c r="OH104" i="15"/>
  <c r="OH88" i="15"/>
  <c r="OH64" i="15"/>
  <c r="OH84" i="15"/>
  <c r="OH65" i="15"/>
  <c r="OH103" i="15"/>
  <c r="OH86" i="15"/>
  <c r="OH67" i="15"/>
  <c r="OH73" i="15"/>
  <c r="OH68" i="15"/>
  <c r="OH93" i="15"/>
  <c r="OH74" i="15"/>
  <c r="OH85" i="15"/>
  <c r="OH69" i="15"/>
  <c r="OH66" i="15"/>
  <c r="BQ69" i="15"/>
  <c r="BI69" i="15"/>
  <c r="BJ68" i="15"/>
  <c r="BK67" i="15"/>
  <c r="BL66" i="15"/>
  <c r="BM65" i="15"/>
  <c r="BN64" i="15"/>
  <c r="BO76" i="15"/>
  <c r="BP75" i="15"/>
  <c r="BQ74" i="15"/>
  <c r="BI74" i="15"/>
  <c r="BJ73" i="15"/>
  <c r="BK86" i="15"/>
  <c r="BL85" i="15"/>
  <c r="BM84" i="15"/>
  <c r="BN88" i="15"/>
  <c r="BO96" i="15"/>
  <c r="BP95" i="15"/>
  <c r="BQ94" i="15"/>
  <c r="BI94" i="15"/>
  <c r="BJ93" i="15"/>
  <c r="BK104" i="15"/>
  <c r="BL103" i="15"/>
  <c r="BM102" i="15"/>
  <c r="CD69" i="15"/>
  <c r="CE68" i="15"/>
  <c r="CF67" i="15"/>
  <c r="CG66" i="15"/>
  <c r="BY66" i="15"/>
  <c r="BZ65" i="15"/>
  <c r="CA64" i="15"/>
  <c r="CB76" i="15"/>
  <c r="CC75" i="15"/>
  <c r="CD74" i="15"/>
  <c r="CE73" i="15"/>
  <c r="CF86" i="15"/>
  <c r="CG85" i="15"/>
  <c r="BY85" i="15"/>
  <c r="BZ84" i="15"/>
  <c r="CA88" i="15"/>
  <c r="CB96" i="15"/>
  <c r="CC95" i="15"/>
  <c r="CD94" i="15"/>
  <c r="CE93" i="15"/>
  <c r="CF104" i="15"/>
  <c r="CG103" i="15"/>
  <c r="BY103" i="15"/>
  <c r="BZ102" i="15"/>
  <c r="CQ69" i="15"/>
  <c r="CR68" i="15"/>
  <c r="CS67" i="15"/>
  <c r="CT66" i="15"/>
  <c r="CU65" i="15"/>
  <c r="CV64" i="15"/>
  <c r="CW76" i="15"/>
  <c r="CO76" i="15"/>
  <c r="CP75" i="15"/>
  <c r="CQ74" i="15"/>
  <c r="CR73" i="15"/>
  <c r="CS86" i="15"/>
  <c r="CT85" i="15"/>
  <c r="CU84" i="15"/>
  <c r="CV88" i="15"/>
  <c r="CW96" i="15"/>
  <c r="CO96" i="15"/>
  <c r="CP95" i="15"/>
  <c r="CQ94" i="15"/>
  <c r="CR93" i="15"/>
  <c r="CS104" i="15"/>
  <c r="CT103" i="15"/>
  <c r="CU102" i="15"/>
  <c r="DL69" i="15"/>
  <c r="DM68" i="15"/>
  <c r="DE68" i="15"/>
  <c r="DF67" i="15"/>
  <c r="DG66" i="15"/>
  <c r="DH65" i="15"/>
  <c r="DI64" i="15"/>
  <c r="DJ76" i="15"/>
  <c r="DK75" i="15"/>
  <c r="DL74" i="15"/>
  <c r="DM73" i="15"/>
  <c r="DE73" i="15"/>
  <c r="DF86" i="15"/>
  <c r="DG85" i="15"/>
  <c r="DH84" i="15"/>
  <c r="DI88" i="15"/>
  <c r="DJ96" i="15"/>
  <c r="DK95" i="15"/>
  <c r="DL94" i="15"/>
  <c r="DM93" i="15"/>
  <c r="DE93" i="15"/>
  <c r="DF104" i="15"/>
  <c r="DG103" i="15"/>
  <c r="EC66" i="15"/>
  <c r="EC64" i="15"/>
  <c r="EB86" i="15"/>
  <c r="EB84" i="15"/>
  <c r="DW96" i="15"/>
  <c r="EA93" i="15"/>
  <c r="EA103" i="15"/>
  <c r="EL69" i="15"/>
  <c r="EP66" i="15"/>
  <c r="EK76" i="15"/>
  <c r="EO86" i="15"/>
  <c r="ES96" i="15"/>
  <c r="EN93" i="15"/>
  <c r="FH69" i="15"/>
  <c r="FG75" i="15"/>
  <c r="FF96" i="15"/>
  <c r="FA93" i="15"/>
  <c r="FU69" i="15"/>
  <c r="FT75" i="15"/>
  <c r="FX85" i="15"/>
  <c r="FS96" i="15"/>
  <c r="FW104" i="15"/>
  <c r="GH69" i="15"/>
  <c r="GL65" i="15"/>
  <c r="GG75" i="15"/>
  <c r="GK85" i="15"/>
  <c r="GO95" i="15"/>
  <c r="GJ104" i="15"/>
  <c r="HD68" i="15"/>
  <c r="GY65" i="15"/>
  <c r="HC74" i="15"/>
  <c r="GX85" i="15"/>
  <c r="HQ73" i="15"/>
  <c r="HP94" i="15"/>
  <c r="IE67" i="15"/>
  <c r="CO67" i="15"/>
  <c r="EA104" i="15"/>
  <c r="FE64" i="15"/>
  <c r="GI73" i="15"/>
  <c r="DX88" i="15"/>
  <c r="DX64" i="15"/>
  <c r="DX102" i="15"/>
  <c r="DX84" i="15"/>
  <c r="DX65" i="15"/>
  <c r="DX103" i="15"/>
  <c r="DX85" i="15"/>
  <c r="DX66" i="15"/>
  <c r="DX104" i="15"/>
  <c r="DX86" i="15"/>
  <c r="DX67" i="15"/>
  <c r="DX93" i="15"/>
  <c r="DX73" i="15"/>
  <c r="DX68" i="15"/>
  <c r="EM95" i="15"/>
  <c r="EM75" i="15"/>
  <c r="EM96" i="15"/>
  <c r="EM76" i="15"/>
  <c r="EM88" i="15"/>
  <c r="EM64" i="15"/>
  <c r="EM102" i="15"/>
  <c r="EM84" i="15"/>
  <c r="EM65" i="15"/>
  <c r="EM103" i="15"/>
  <c r="EM85" i="15"/>
  <c r="EM66" i="15"/>
  <c r="EM104" i="15"/>
  <c r="EM86" i="15"/>
  <c r="FB93" i="15"/>
  <c r="FB73" i="15"/>
  <c r="FB68" i="15"/>
  <c r="FB94" i="15"/>
  <c r="FB74" i="15"/>
  <c r="FB69" i="15"/>
  <c r="FB95" i="15"/>
  <c r="FB75" i="15"/>
  <c r="FB96" i="15"/>
  <c r="FB76" i="15"/>
  <c r="FB88" i="15"/>
  <c r="FB64" i="15"/>
  <c r="FB102" i="15"/>
  <c r="FB84" i="15"/>
  <c r="FB65" i="15"/>
  <c r="FQ103" i="15"/>
  <c r="FQ85" i="15"/>
  <c r="FQ66" i="15"/>
  <c r="FQ104" i="15"/>
  <c r="FQ86" i="15"/>
  <c r="FQ67" i="15"/>
  <c r="FQ93" i="15"/>
  <c r="FQ73" i="15"/>
  <c r="FQ68" i="15"/>
  <c r="FQ94" i="15"/>
  <c r="FQ74" i="15"/>
  <c r="FQ69" i="15"/>
  <c r="FQ95" i="15"/>
  <c r="FQ75" i="15"/>
  <c r="FQ96" i="15"/>
  <c r="FQ76" i="15"/>
  <c r="FY103" i="15"/>
  <c r="FY85" i="15"/>
  <c r="FY66" i="15"/>
  <c r="FY104" i="15"/>
  <c r="FY86" i="15"/>
  <c r="FY67" i="15"/>
  <c r="FY93" i="15"/>
  <c r="FY73" i="15"/>
  <c r="FY68" i="15"/>
  <c r="FY94" i="15"/>
  <c r="FY74" i="15"/>
  <c r="FY69" i="15"/>
  <c r="FY95" i="15"/>
  <c r="FY75" i="15"/>
  <c r="FY96" i="15"/>
  <c r="FY76" i="15"/>
  <c r="GN88" i="15"/>
  <c r="GN64" i="15"/>
  <c r="GN102" i="15"/>
  <c r="GN84" i="15"/>
  <c r="GN65" i="15"/>
  <c r="GN103" i="15"/>
  <c r="GN85" i="15"/>
  <c r="GN66" i="15"/>
  <c r="GN104" i="15"/>
  <c r="GN86" i="15"/>
  <c r="GN67" i="15"/>
  <c r="GN93" i="15"/>
  <c r="GN73" i="15"/>
  <c r="GN68" i="15"/>
  <c r="GN94" i="15"/>
  <c r="GN74" i="15"/>
  <c r="GN69" i="15"/>
  <c r="HC95" i="15"/>
  <c r="HC75" i="15"/>
  <c r="HC96" i="15"/>
  <c r="HC76" i="15"/>
  <c r="HC88" i="15"/>
  <c r="HC64" i="15"/>
  <c r="HC102" i="15"/>
  <c r="HC84" i="15"/>
  <c r="HC65" i="15"/>
  <c r="HC103" i="15"/>
  <c r="HC85" i="15"/>
  <c r="HC66" i="15"/>
  <c r="HC104" i="15"/>
  <c r="HC86" i="15"/>
  <c r="HC67" i="15"/>
  <c r="HC93" i="15"/>
  <c r="HR93" i="15"/>
  <c r="HR73" i="15"/>
  <c r="HR68" i="15"/>
  <c r="HR94" i="15"/>
  <c r="HR74" i="15"/>
  <c r="HR69" i="15"/>
  <c r="HR95" i="15"/>
  <c r="HR75" i="15"/>
  <c r="HR96" i="15"/>
  <c r="HR76" i="15"/>
  <c r="HR88" i="15"/>
  <c r="HR64" i="15"/>
  <c r="HR102" i="15"/>
  <c r="HR84" i="15"/>
  <c r="HR65" i="15"/>
  <c r="HR103" i="15"/>
  <c r="HR85" i="15"/>
  <c r="HR66" i="15"/>
  <c r="IG103" i="15"/>
  <c r="IG85" i="15"/>
  <c r="IG66" i="15"/>
  <c r="IG104" i="15"/>
  <c r="IG86" i="15"/>
  <c r="IG67" i="15"/>
  <c r="IG93" i="15"/>
  <c r="IG73" i="15"/>
  <c r="IG68" i="15"/>
  <c r="IG94" i="15"/>
  <c r="IG74" i="15"/>
  <c r="IG69" i="15"/>
  <c r="IG95" i="15"/>
  <c r="IG75" i="15"/>
  <c r="IG96" i="15"/>
  <c r="IG76" i="15"/>
  <c r="IG88" i="15"/>
  <c r="IG64" i="15"/>
  <c r="IG102" i="15"/>
  <c r="IG84" i="15"/>
  <c r="IV88" i="15"/>
  <c r="IV64" i="15"/>
  <c r="IV102" i="15"/>
  <c r="IV84" i="15"/>
  <c r="IV65" i="15"/>
  <c r="IV103" i="15"/>
  <c r="IV85" i="15"/>
  <c r="IV66" i="15"/>
  <c r="IV104" i="15"/>
  <c r="IV86" i="15"/>
  <c r="IV67" i="15"/>
  <c r="IV93" i="15"/>
  <c r="IV73" i="15"/>
  <c r="IV68" i="15"/>
  <c r="IV94" i="15"/>
  <c r="IV74" i="15"/>
  <c r="IV69" i="15"/>
  <c r="IV95" i="15"/>
  <c r="IV75" i="15"/>
  <c r="IV96" i="15"/>
  <c r="IV76" i="15"/>
  <c r="JK95" i="15"/>
  <c r="JK75" i="15"/>
  <c r="JK96" i="15"/>
  <c r="JK76" i="15"/>
  <c r="JK88" i="15"/>
  <c r="JK64" i="15"/>
  <c r="JK102" i="15"/>
  <c r="JK84" i="15"/>
  <c r="JK65" i="15"/>
  <c r="JK103" i="15"/>
  <c r="JK85" i="15"/>
  <c r="JK66" i="15"/>
  <c r="JK104" i="15"/>
  <c r="JK86" i="15"/>
  <c r="JK67" i="15"/>
  <c r="JK93" i="15"/>
  <c r="JK73" i="15"/>
  <c r="JK68" i="15"/>
  <c r="JK94" i="15"/>
  <c r="JK74" i="15"/>
  <c r="JK69" i="15"/>
  <c r="JZ104" i="15"/>
  <c r="JZ86" i="15"/>
  <c r="JZ93" i="15"/>
  <c r="JZ73" i="15"/>
  <c r="JZ95" i="15"/>
  <c r="JZ75" i="15"/>
  <c r="JZ102" i="15"/>
  <c r="JZ68" i="15"/>
  <c r="JZ85" i="15"/>
  <c r="JZ74" i="15"/>
  <c r="JZ69" i="15"/>
  <c r="JZ84" i="15"/>
  <c r="JZ103" i="15"/>
  <c r="JZ94" i="15"/>
  <c r="JZ64" i="15"/>
  <c r="JZ88" i="15"/>
  <c r="JZ76" i="15"/>
  <c r="JZ65" i="15"/>
  <c r="JZ66" i="15"/>
  <c r="JZ96" i="15"/>
  <c r="JZ67" i="15"/>
  <c r="KO102" i="15"/>
  <c r="KO84" i="15"/>
  <c r="KO65" i="15"/>
  <c r="KO103" i="15"/>
  <c r="KO85" i="15"/>
  <c r="KO66" i="15"/>
  <c r="KO104" i="15"/>
  <c r="KO93" i="15"/>
  <c r="KO73" i="15"/>
  <c r="KO68" i="15"/>
  <c r="KO96" i="15"/>
  <c r="KO76" i="15"/>
  <c r="KO95" i="15"/>
  <c r="KO88" i="15"/>
  <c r="KO67" i="15"/>
  <c r="KO69" i="15"/>
  <c r="KO75" i="15"/>
  <c r="KO94" i="15"/>
  <c r="KO64" i="15"/>
  <c r="KO86" i="15"/>
  <c r="KO74" i="15"/>
  <c r="KW102" i="15"/>
  <c r="KW84" i="15"/>
  <c r="KW65" i="15"/>
  <c r="KW103" i="15"/>
  <c r="KW85" i="15"/>
  <c r="KW66" i="15"/>
  <c r="KW104" i="15"/>
  <c r="KW93" i="15"/>
  <c r="KW73" i="15"/>
  <c r="KW68" i="15"/>
  <c r="KW96" i="15"/>
  <c r="KW76" i="15"/>
  <c r="KW64" i="15"/>
  <c r="KW86" i="15"/>
  <c r="KW74" i="15"/>
  <c r="KW95" i="15"/>
  <c r="KW88" i="15"/>
  <c r="KW67" i="15"/>
  <c r="KW69" i="15"/>
  <c r="KW94" i="15"/>
  <c r="KW75" i="15"/>
  <c r="LL96" i="15"/>
  <c r="LL76" i="15"/>
  <c r="LL88" i="15"/>
  <c r="LL64" i="15"/>
  <c r="LL102" i="15"/>
  <c r="LL84" i="15"/>
  <c r="LL65" i="15"/>
  <c r="LL103" i="15"/>
  <c r="LL85" i="15"/>
  <c r="LL66" i="15"/>
  <c r="LL94" i="15"/>
  <c r="LL74" i="15"/>
  <c r="LL69" i="15"/>
  <c r="LL73" i="15"/>
  <c r="LL104" i="15"/>
  <c r="LL68" i="15"/>
  <c r="LL95" i="15"/>
  <c r="LL86" i="15"/>
  <c r="LL93" i="15"/>
  <c r="LL75" i="15"/>
  <c r="LL67" i="15"/>
  <c r="MA94" i="15"/>
  <c r="MA74" i="15"/>
  <c r="MA69" i="15"/>
  <c r="MA95" i="15"/>
  <c r="MA75" i="15"/>
  <c r="MA96" i="15"/>
  <c r="MA76" i="15"/>
  <c r="MA88" i="15"/>
  <c r="MA64" i="15"/>
  <c r="MA103" i="15"/>
  <c r="MA104" i="15"/>
  <c r="MA86" i="15"/>
  <c r="MA67" i="15"/>
  <c r="MA73" i="15"/>
  <c r="MA65" i="15"/>
  <c r="MA85" i="15"/>
  <c r="MA68" i="15"/>
  <c r="MA66" i="15"/>
  <c r="MA102" i="15"/>
  <c r="MA93" i="15"/>
  <c r="MA84" i="15"/>
  <c r="MP104" i="15"/>
  <c r="MP86" i="15"/>
  <c r="MP67" i="15"/>
  <c r="MP93" i="15"/>
  <c r="MP73" i="15"/>
  <c r="MP68" i="15"/>
  <c r="MP94" i="15"/>
  <c r="MP74" i="15"/>
  <c r="MP69" i="15"/>
  <c r="MP95" i="15"/>
  <c r="MP75" i="15"/>
  <c r="MP88" i="15"/>
  <c r="MP64" i="15"/>
  <c r="MP102" i="15"/>
  <c r="MP84" i="15"/>
  <c r="MP65" i="15"/>
  <c r="MP103" i="15"/>
  <c r="MP85" i="15"/>
  <c r="MP96" i="15"/>
  <c r="MP66" i="15"/>
  <c r="MP76" i="15"/>
  <c r="NE102" i="15"/>
  <c r="NE84" i="15"/>
  <c r="NE65" i="15"/>
  <c r="NE103" i="15"/>
  <c r="NE85" i="15"/>
  <c r="NE66" i="15"/>
  <c r="NE104" i="15"/>
  <c r="NE86" i="15"/>
  <c r="NE67" i="15"/>
  <c r="NE93" i="15"/>
  <c r="NE73" i="15"/>
  <c r="NE68" i="15"/>
  <c r="NE95" i="15"/>
  <c r="NE75" i="15"/>
  <c r="NE96" i="15"/>
  <c r="NE76" i="15"/>
  <c r="NE94" i="15"/>
  <c r="NE64" i="15"/>
  <c r="NE74" i="15"/>
  <c r="NE69" i="15"/>
  <c r="NE88" i="15"/>
  <c r="NT96" i="15"/>
  <c r="NT76" i="15"/>
  <c r="NT88" i="15"/>
  <c r="NT64" i="15"/>
  <c r="NT102" i="15"/>
  <c r="NT84" i="15"/>
  <c r="NT65" i="15"/>
  <c r="NT103" i="15"/>
  <c r="NT85" i="15"/>
  <c r="NT66" i="15"/>
  <c r="NT93" i="15"/>
  <c r="NT73" i="15"/>
  <c r="NT68" i="15"/>
  <c r="NT94" i="15"/>
  <c r="NT74" i="15"/>
  <c r="NT69" i="15"/>
  <c r="NT67" i="15"/>
  <c r="NT95" i="15"/>
  <c r="NT104" i="15"/>
  <c r="NT75" i="15"/>
  <c r="NT86" i="15"/>
  <c r="OI93" i="15"/>
  <c r="OI95" i="15"/>
  <c r="OI96" i="15"/>
  <c r="OI74" i="15"/>
  <c r="OI69" i="15"/>
  <c r="OI75" i="15"/>
  <c r="OI102" i="15"/>
  <c r="OI76" i="15"/>
  <c r="OI104" i="15"/>
  <c r="OI88" i="15"/>
  <c r="OI64" i="15"/>
  <c r="OI85" i="15"/>
  <c r="OI66" i="15"/>
  <c r="OI103" i="15"/>
  <c r="OI86" i="15"/>
  <c r="OI67" i="15"/>
  <c r="OI73" i="15"/>
  <c r="OI84" i="15"/>
  <c r="OI68" i="15"/>
  <c r="OI94" i="15"/>
  <c r="OI65" i="15"/>
  <c r="BP69" i="15"/>
  <c r="BQ68" i="15"/>
  <c r="BI68" i="15"/>
  <c r="BJ67" i="15"/>
  <c r="BK66" i="15"/>
  <c r="BL65" i="15"/>
  <c r="BM64" i="15"/>
  <c r="BN76" i="15"/>
  <c r="BO75" i="15"/>
  <c r="BP74" i="15"/>
  <c r="BQ73" i="15"/>
  <c r="BI73" i="15"/>
  <c r="BJ86" i="15"/>
  <c r="BK85" i="15"/>
  <c r="BL84" i="15"/>
  <c r="BM88" i="15"/>
  <c r="BN96" i="15"/>
  <c r="BO95" i="15"/>
  <c r="BP94" i="15"/>
  <c r="BQ93" i="15"/>
  <c r="BI93" i="15"/>
  <c r="BJ104" i="15"/>
  <c r="BK103" i="15"/>
  <c r="BL102" i="15"/>
  <c r="CC69" i="15"/>
  <c r="CD68" i="15"/>
  <c r="CE67" i="15"/>
  <c r="CF66" i="15"/>
  <c r="CG65" i="15"/>
  <c r="BY65" i="15"/>
  <c r="BZ64" i="15"/>
  <c r="CA76" i="15"/>
  <c r="CB75" i="15"/>
  <c r="CC74" i="15"/>
  <c r="CD73" i="15"/>
  <c r="CE86" i="15"/>
  <c r="CF85" i="15"/>
  <c r="CG84" i="15"/>
  <c r="BY84" i="15"/>
  <c r="BZ88" i="15"/>
  <c r="CA96" i="15"/>
  <c r="CB95" i="15"/>
  <c r="CC94" i="15"/>
  <c r="CD93" i="15"/>
  <c r="CE104" i="15"/>
  <c r="CF103" i="15"/>
  <c r="CG102" i="15"/>
  <c r="BY102" i="15"/>
  <c r="CP69" i="15"/>
  <c r="CQ68" i="15"/>
  <c r="CR67" i="15"/>
  <c r="CS66" i="15"/>
  <c r="CT65" i="15"/>
  <c r="CU64" i="15"/>
  <c r="CV76" i="15"/>
  <c r="CW75" i="15"/>
  <c r="CO75" i="15"/>
  <c r="CP74" i="15"/>
  <c r="CQ73" i="15"/>
  <c r="CR86" i="15"/>
  <c r="CS85" i="15"/>
  <c r="CT84" i="15"/>
  <c r="CU88" i="15"/>
  <c r="CV96" i="15"/>
  <c r="CW95" i="15"/>
  <c r="CO95" i="15"/>
  <c r="CP94" i="15"/>
  <c r="CQ93" i="15"/>
  <c r="CR104" i="15"/>
  <c r="CS103" i="15"/>
  <c r="CT102" i="15"/>
  <c r="DK69" i="15"/>
  <c r="DL68" i="15"/>
  <c r="DM67" i="15"/>
  <c r="DE67" i="15"/>
  <c r="DF66" i="15"/>
  <c r="DG65" i="15"/>
  <c r="DH64" i="15"/>
  <c r="DI76" i="15"/>
  <c r="DJ75" i="15"/>
  <c r="DK74" i="15"/>
  <c r="DL73" i="15"/>
  <c r="DM86" i="15"/>
  <c r="DE86" i="15"/>
  <c r="DF85" i="15"/>
  <c r="DG84" i="15"/>
  <c r="DH88" i="15"/>
  <c r="DI96" i="15"/>
  <c r="DJ95" i="15"/>
  <c r="DK94" i="15"/>
  <c r="DL93" i="15"/>
  <c r="DM104" i="15"/>
  <c r="DE104" i="15"/>
  <c r="DF103" i="15"/>
  <c r="DX69" i="15"/>
  <c r="EB66" i="15"/>
  <c r="DW64" i="15"/>
  <c r="DW75" i="15"/>
  <c r="DV84" i="15"/>
  <c r="DV96" i="15"/>
  <c r="DZ93" i="15"/>
  <c r="DU103" i="15"/>
  <c r="EK69" i="15"/>
  <c r="EO66" i="15"/>
  <c r="ES75" i="15"/>
  <c r="ER96" i="15"/>
  <c r="EM93" i="15"/>
  <c r="FG69" i="15"/>
  <c r="FB66" i="15"/>
  <c r="FF75" i="15"/>
  <c r="FA86" i="15"/>
  <c r="FE96" i="15"/>
  <c r="FI104" i="15"/>
  <c r="FT69" i="15"/>
  <c r="FX65" i="15"/>
  <c r="FW85" i="15"/>
  <c r="FV104" i="15"/>
  <c r="GK65" i="15"/>
  <c r="GJ85" i="15"/>
  <c r="GN95" i="15"/>
  <c r="GI104" i="15"/>
  <c r="HC68" i="15"/>
  <c r="GX65" i="15"/>
  <c r="HB74" i="15"/>
  <c r="HR86" i="15"/>
  <c r="HQ93" i="15"/>
  <c r="IF66" i="15"/>
  <c r="EA94" i="15"/>
  <c r="EA74" i="15"/>
  <c r="EA69" i="15"/>
  <c r="EA95" i="15"/>
  <c r="EA75" i="15"/>
  <c r="EA96" i="15"/>
  <c r="EA76" i="15"/>
  <c r="EA88" i="15"/>
  <c r="EA64" i="15"/>
  <c r="EA102" i="15"/>
  <c r="EA84" i="15"/>
  <c r="EA65" i="15"/>
  <c r="IY94" i="15"/>
  <c r="IY74" i="15"/>
  <c r="IY69" i="15"/>
  <c r="IY95" i="15"/>
  <c r="IY75" i="15"/>
  <c r="IY96" i="15"/>
  <c r="IY76" i="15"/>
  <c r="IY88" i="15"/>
  <c r="IY64" i="15"/>
  <c r="IY102" i="15"/>
  <c r="IY84" i="15"/>
  <c r="IY65" i="15"/>
  <c r="IY103" i="15"/>
  <c r="IY85" i="15"/>
  <c r="IY66" i="15"/>
  <c r="IY104" i="15"/>
  <c r="IY86" i="15"/>
  <c r="IY67" i="15"/>
  <c r="IY93" i="15"/>
  <c r="IY73" i="15"/>
  <c r="IY68" i="15"/>
  <c r="LV103" i="15"/>
  <c r="LV85" i="15"/>
  <c r="LV66" i="15"/>
  <c r="LV104" i="15"/>
  <c r="LV86" i="15"/>
  <c r="LV67" i="15"/>
  <c r="LV93" i="15"/>
  <c r="LV73" i="15"/>
  <c r="LV68" i="15"/>
  <c r="LV94" i="15"/>
  <c r="LV74" i="15"/>
  <c r="LV69" i="15"/>
  <c r="LV88" i="15"/>
  <c r="LV64" i="15"/>
  <c r="LV65" i="15"/>
  <c r="LV76" i="15"/>
  <c r="LV95" i="15"/>
  <c r="LV102" i="15"/>
  <c r="LV84" i="15"/>
  <c r="LV75" i="15"/>
  <c r="LV96" i="15"/>
  <c r="OL102" i="15"/>
  <c r="OL104" i="15"/>
  <c r="OL93" i="15"/>
  <c r="OL94" i="15"/>
  <c r="OL103" i="15"/>
  <c r="OL85" i="15"/>
  <c r="OL66" i="15"/>
  <c r="OL95" i="15"/>
  <c r="OL86" i="15"/>
  <c r="OL67" i="15"/>
  <c r="OL73" i="15"/>
  <c r="OL68" i="15"/>
  <c r="OL74" i="15"/>
  <c r="OL69" i="15"/>
  <c r="OL76" i="15"/>
  <c r="OL96" i="15"/>
  <c r="OL88" i="15"/>
  <c r="OL64" i="15"/>
  <c r="OL84" i="15"/>
  <c r="OL65" i="15"/>
  <c r="OL75" i="15"/>
  <c r="DY96" i="15"/>
  <c r="DY76" i="15"/>
  <c r="DY88" i="15"/>
  <c r="DY64" i="15"/>
  <c r="DY102" i="15"/>
  <c r="DY84" i="15"/>
  <c r="DY65" i="15"/>
  <c r="DY103" i="15"/>
  <c r="DY85" i="15"/>
  <c r="DY66" i="15"/>
  <c r="DY104" i="15"/>
  <c r="DY86" i="15"/>
  <c r="DY67" i="15"/>
  <c r="EN94" i="15"/>
  <c r="EN74" i="15"/>
  <c r="EN69" i="15"/>
  <c r="EN95" i="15"/>
  <c r="EN75" i="15"/>
  <c r="EN96" i="15"/>
  <c r="EN76" i="15"/>
  <c r="EN88" i="15"/>
  <c r="EN64" i="15"/>
  <c r="EN102" i="15"/>
  <c r="EN84" i="15"/>
  <c r="EN65" i="15"/>
  <c r="EN103" i="15"/>
  <c r="EN85" i="15"/>
  <c r="EN66" i="15"/>
  <c r="FC104" i="15"/>
  <c r="FC86" i="15"/>
  <c r="FC67" i="15"/>
  <c r="FC93" i="15"/>
  <c r="FC73" i="15"/>
  <c r="FC68" i="15"/>
  <c r="FC94" i="15"/>
  <c r="FC74" i="15"/>
  <c r="FC69" i="15"/>
  <c r="FC95" i="15"/>
  <c r="FC75" i="15"/>
  <c r="FC96" i="15"/>
  <c r="FC76" i="15"/>
  <c r="FC88" i="15"/>
  <c r="FC64" i="15"/>
  <c r="FR102" i="15"/>
  <c r="FR84" i="15"/>
  <c r="FR65" i="15"/>
  <c r="FR103" i="15"/>
  <c r="FR85" i="15"/>
  <c r="FR66" i="15"/>
  <c r="FR104" i="15"/>
  <c r="FR86" i="15"/>
  <c r="FR67" i="15"/>
  <c r="FR93" i="15"/>
  <c r="FR73" i="15"/>
  <c r="FR68" i="15"/>
  <c r="FR94" i="15"/>
  <c r="FR74" i="15"/>
  <c r="FR69" i="15"/>
  <c r="FR95" i="15"/>
  <c r="FR75" i="15"/>
  <c r="GG96" i="15"/>
  <c r="GG76" i="15"/>
  <c r="GG88" i="15"/>
  <c r="GG64" i="15"/>
  <c r="GG102" i="15"/>
  <c r="GG84" i="15"/>
  <c r="GG65" i="15"/>
  <c r="GG103" i="15"/>
  <c r="GG85" i="15"/>
  <c r="GG66" i="15"/>
  <c r="GG104" i="15"/>
  <c r="GG86" i="15"/>
  <c r="GG67" i="15"/>
  <c r="GG93" i="15"/>
  <c r="GG73" i="15"/>
  <c r="GG68" i="15"/>
  <c r="GO96" i="15"/>
  <c r="GO76" i="15"/>
  <c r="GO88" i="15"/>
  <c r="GO64" i="15"/>
  <c r="GO102" i="15"/>
  <c r="GO84" i="15"/>
  <c r="GO65" i="15"/>
  <c r="GO103" i="15"/>
  <c r="GO85" i="15"/>
  <c r="GO66" i="15"/>
  <c r="GO104" i="15"/>
  <c r="GO86" i="15"/>
  <c r="GO67" i="15"/>
  <c r="GO93" i="15"/>
  <c r="GO73" i="15"/>
  <c r="GO68" i="15"/>
  <c r="HD94" i="15"/>
  <c r="HD74" i="15"/>
  <c r="HD69" i="15"/>
  <c r="HD95" i="15"/>
  <c r="HD75" i="15"/>
  <c r="HD96" i="15"/>
  <c r="HD76" i="15"/>
  <c r="HD88" i="15"/>
  <c r="HD64" i="15"/>
  <c r="HD102" i="15"/>
  <c r="HD84" i="15"/>
  <c r="HD65" i="15"/>
  <c r="HD103" i="15"/>
  <c r="HD85" i="15"/>
  <c r="HD66" i="15"/>
  <c r="HD104" i="15"/>
  <c r="HS104" i="15"/>
  <c r="HS86" i="15"/>
  <c r="HS67" i="15"/>
  <c r="HS93" i="15"/>
  <c r="HS73" i="15"/>
  <c r="HS68" i="15"/>
  <c r="HS94" i="15"/>
  <c r="HS74" i="15"/>
  <c r="HS69" i="15"/>
  <c r="HS95" i="15"/>
  <c r="HS75" i="15"/>
  <c r="HS96" i="15"/>
  <c r="HS76" i="15"/>
  <c r="HS88" i="15"/>
  <c r="HS64" i="15"/>
  <c r="HS102" i="15"/>
  <c r="HS84" i="15"/>
  <c r="HS65" i="15"/>
  <c r="IH102" i="15"/>
  <c r="IH84" i="15"/>
  <c r="IH65" i="15"/>
  <c r="IH103" i="15"/>
  <c r="IH85" i="15"/>
  <c r="IH66" i="15"/>
  <c r="IH104" i="15"/>
  <c r="IH86" i="15"/>
  <c r="IH67" i="15"/>
  <c r="IH93" i="15"/>
  <c r="IH73" i="15"/>
  <c r="IH68" i="15"/>
  <c r="IH94" i="15"/>
  <c r="IH74" i="15"/>
  <c r="IH69" i="15"/>
  <c r="IH95" i="15"/>
  <c r="IH75" i="15"/>
  <c r="IH96" i="15"/>
  <c r="IH76" i="15"/>
  <c r="IH88" i="15"/>
  <c r="IW96" i="15"/>
  <c r="IW76" i="15"/>
  <c r="IW88" i="15"/>
  <c r="IW64" i="15"/>
  <c r="IW102" i="15"/>
  <c r="IW84" i="15"/>
  <c r="IW65" i="15"/>
  <c r="IW103" i="15"/>
  <c r="IW85" i="15"/>
  <c r="IW66" i="15"/>
  <c r="IW104" i="15"/>
  <c r="IW86" i="15"/>
  <c r="IW67" i="15"/>
  <c r="IW93" i="15"/>
  <c r="IW73" i="15"/>
  <c r="IW68" i="15"/>
  <c r="IW94" i="15"/>
  <c r="IW74" i="15"/>
  <c r="IW69" i="15"/>
  <c r="IW95" i="15"/>
  <c r="IW75" i="15"/>
  <c r="JL94" i="15"/>
  <c r="JL74" i="15"/>
  <c r="JL69" i="15"/>
  <c r="JL95" i="15"/>
  <c r="JL75" i="15"/>
  <c r="JL96" i="15"/>
  <c r="JL76" i="15"/>
  <c r="JL88" i="15"/>
  <c r="JL64" i="15"/>
  <c r="JL102" i="15"/>
  <c r="JL84" i="15"/>
  <c r="JL65" i="15"/>
  <c r="JL103" i="15"/>
  <c r="JL85" i="15"/>
  <c r="JL66" i="15"/>
  <c r="JL104" i="15"/>
  <c r="JL86" i="15"/>
  <c r="JL67" i="15"/>
  <c r="JL93" i="15"/>
  <c r="JL73" i="15"/>
  <c r="JL68" i="15"/>
  <c r="KA103" i="15"/>
  <c r="KA85" i="15"/>
  <c r="KA104" i="15"/>
  <c r="KA86" i="15"/>
  <c r="KA94" i="15"/>
  <c r="KA74" i="15"/>
  <c r="KA102" i="15"/>
  <c r="KA96" i="15"/>
  <c r="KA67" i="15"/>
  <c r="KA68" i="15"/>
  <c r="KA95" i="15"/>
  <c r="KA69" i="15"/>
  <c r="KA84" i="15"/>
  <c r="KA73" i="15"/>
  <c r="KA64" i="15"/>
  <c r="KA88" i="15"/>
  <c r="KA76" i="15"/>
  <c r="KA65" i="15"/>
  <c r="KA93" i="15"/>
  <c r="KA75" i="15"/>
  <c r="KA66" i="15"/>
  <c r="KP88" i="15"/>
  <c r="KP64" i="15"/>
  <c r="KP102" i="15"/>
  <c r="KP84" i="15"/>
  <c r="KP65" i="15"/>
  <c r="KP103" i="15"/>
  <c r="KP104" i="15"/>
  <c r="KP86" i="15"/>
  <c r="KP67" i="15"/>
  <c r="KP95" i="15"/>
  <c r="KP75" i="15"/>
  <c r="KP76" i="15"/>
  <c r="KP93" i="15"/>
  <c r="KP85" i="15"/>
  <c r="KP73" i="15"/>
  <c r="KP69" i="15"/>
  <c r="KP96" i="15"/>
  <c r="KP94" i="15"/>
  <c r="KP66" i="15"/>
  <c r="KP68" i="15"/>
  <c r="KP74" i="15"/>
  <c r="LE95" i="15"/>
  <c r="LE75" i="15"/>
  <c r="LE96" i="15"/>
  <c r="LE76" i="15"/>
  <c r="LE88" i="15"/>
  <c r="LE64" i="15"/>
  <c r="LE102" i="15"/>
  <c r="LE84" i="15"/>
  <c r="LE65" i="15"/>
  <c r="LE93" i="15"/>
  <c r="LE73" i="15"/>
  <c r="LE68" i="15"/>
  <c r="LE74" i="15"/>
  <c r="LE66" i="15"/>
  <c r="LE86" i="15"/>
  <c r="LE103" i="15"/>
  <c r="LE69" i="15"/>
  <c r="LE67" i="15"/>
  <c r="LE94" i="15"/>
  <c r="LE85" i="15"/>
  <c r="LE104" i="15"/>
  <c r="LM95" i="15"/>
  <c r="LM75" i="15"/>
  <c r="LM96" i="15"/>
  <c r="LM76" i="15"/>
  <c r="LM88" i="15"/>
  <c r="LM64" i="15"/>
  <c r="LM102" i="15"/>
  <c r="LM84" i="15"/>
  <c r="LM65" i="15"/>
  <c r="LM93" i="15"/>
  <c r="LM73" i="15"/>
  <c r="LM68" i="15"/>
  <c r="LM67" i="15"/>
  <c r="LM94" i="15"/>
  <c r="LM85" i="15"/>
  <c r="LM104" i="15"/>
  <c r="LM74" i="15"/>
  <c r="LM66" i="15"/>
  <c r="LM86" i="15"/>
  <c r="LM103" i="15"/>
  <c r="LM69" i="15"/>
  <c r="MB93" i="15"/>
  <c r="MB73" i="15"/>
  <c r="MB68" i="15"/>
  <c r="MB94" i="15"/>
  <c r="MB74" i="15"/>
  <c r="MB69" i="15"/>
  <c r="MB95" i="15"/>
  <c r="MB75" i="15"/>
  <c r="MB96" i="15"/>
  <c r="MB76" i="15"/>
  <c r="MB102" i="15"/>
  <c r="MB103" i="15"/>
  <c r="MB85" i="15"/>
  <c r="MB66" i="15"/>
  <c r="MB67" i="15"/>
  <c r="MB65" i="15"/>
  <c r="MB104" i="15"/>
  <c r="MB88" i="15"/>
  <c r="MB86" i="15"/>
  <c r="MB64" i="15"/>
  <c r="MB84" i="15"/>
  <c r="MQ103" i="15"/>
  <c r="MQ85" i="15"/>
  <c r="MQ66" i="15"/>
  <c r="MQ104" i="15"/>
  <c r="MQ86" i="15"/>
  <c r="MQ67" i="15"/>
  <c r="MQ93" i="15"/>
  <c r="MQ73" i="15"/>
  <c r="MQ68" i="15"/>
  <c r="MQ94" i="15"/>
  <c r="MQ74" i="15"/>
  <c r="MQ69" i="15"/>
  <c r="MQ96" i="15"/>
  <c r="MQ76" i="15"/>
  <c r="MQ88" i="15"/>
  <c r="MQ64" i="15"/>
  <c r="MQ84" i="15"/>
  <c r="MQ95" i="15"/>
  <c r="MQ65" i="15"/>
  <c r="MQ75" i="15"/>
  <c r="MQ102" i="15"/>
  <c r="NF88" i="15"/>
  <c r="NF64" i="15"/>
  <c r="NF102" i="15"/>
  <c r="NF84" i="15"/>
  <c r="NF65" i="15"/>
  <c r="NF103" i="15"/>
  <c r="NF85" i="15"/>
  <c r="NF66" i="15"/>
  <c r="NF104" i="15"/>
  <c r="NF86" i="15"/>
  <c r="NF67" i="15"/>
  <c r="NF94" i="15"/>
  <c r="NF74" i="15"/>
  <c r="NF69" i="15"/>
  <c r="NF95" i="15"/>
  <c r="NF75" i="15"/>
  <c r="NF73" i="15"/>
  <c r="NF68" i="15"/>
  <c r="NF96" i="15"/>
  <c r="NF93" i="15"/>
  <c r="NF76" i="15"/>
  <c r="NU95" i="15"/>
  <c r="NU75" i="15"/>
  <c r="NU96" i="15"/>
  <c r="NU76" i="15"/>
  <c r="NU88" i="15"/>
  <c r="NU64" i="15"/>
  <c r="NU102" i="15"/>
  <c r="NU84" i="15"/>
  <c r="NU65" i="15"/>
  <c r="NU104" i="15"/>
  <c r="NU86" i="15"/>
  <c r="NU67" i="15"/>
  <c r="NU93" i="15"/>
  <c r="NU73" i="15"/>
  <c r="NU68" i="15"/>
  <c r="NU94" i="15"/>
  <c r="NU103" i="15"/>
  <c r="NU74" i="15"/>
  <c r="NU85" i="15"/>
  <c r="NU69" i="15"/>
  <c r="NU66" i="15"/>
  <c r="OJ104" i="15"/>
  <c r="OJ94" i="15"/>
  <c r="OJ95" i="15"/>
  <c r="OJ96" i="15"/>
  <c r="OJ93" i="15"/>
  <c r="OJ73" i="15"/>
  <c r="OJ68" i="15"/>
  <c r="OJ74" i="15"/>
  <c r="OJ69" i="15"/>
  <c r="OJ75" i="15"/>
  <c r="OJ102" i="15"/>
  <c r="OJ76" i="15"/>
  <c r="OJ84" i="15"/>
  <c r="OJ65" i="15"/>
  <c r="OJ85" i="15"/>
  <c r="OJ66" i="15"/>
  <c r="OJ88" i="15"/>
  <c r="OJ103" i="15"/>
  <c r="OJ67" i="15"/>
  <c r="OJ64" i="15"/>
  <c r="OJ86" i="15"/>
  <c r="BO69" i="15"/>
  <c r="BP68" i="15"/>
  <c r="BQ67" i="15"/>
  <c r="BI67" i="15"/>
  <c r="BJ66" i="15"/>
  <c r="BK65" i="15"/>
  <c r="BL64" i="15"/>
  <c r="BM76" i="15"/>
  <c r="BN75" i="15"/>
  <c r="BO74" i="15"/>
  <c r="BP73" i="15"/>
  <c r="BQ86" i="15"/>
  <c r="BI86" i="15"/>
  <c r="BJ85" i="15"/>
  <c r="BK84" i="15"/>
  <c r="BL88" i="15"/>
  <c r="BM96" i="15"/>
  <c r="BN95" i="15"/>
  <c r="BO94" i="15"/>
  <c r="BP93" i="15"/>
  <c r="BQ104" i="15"/>
  <c r="BI104" i="15"/>
  <c r="BJ103" i="15"/>
  <c r="BK102" i="15"/>
  <c r="CB69" i="15"/>
  <c r="CC68" i="15"/>
  <c r="CD67" i="15"/>
  <c r="CE66" i="15"/>
  <c r="CF65" i="15"/>
  <c r="CG64" i="15"/>
  <c r="BY64" i="15"/>
  <c r="BZ76" i="15"/>
  <c r="CA75" i="15"/>
  <c r="CB74" i="15"/>
  <c r="CC73" i="15"/>
  <c r="CD86" i="15"/>
  <c r="CE85" i="15"/>
  <c r="CF84" i="15"/>
  <c r="CG88" i="15"/>
  <c r="BY88" i="15"/>
  <c r="BZ96" i="15"/>
  <c r="CA95" i="15"/>
  <c r="CB94" i="15"/>
  <c r="CC93" i="15"/>
  <c r="CD104" i="15"/>
  <c r="CE103" i="15"/>
  <c r="CF102" i="15"/>
  <c r="CW69" i="15"/>
  <c r="CO69" i="15"/>
  <c r="CP68" i="15"/>
  <c r="CQ67" i="15"/>
  <c r="CR66" i="15"/>
  <c r="CS65" i="15"/>
  <c r="CT64" i="15"/>
  <c r="CU76" i="15"/>
  <c r="CV75" i="15"/>
  <c r="CW74" i="15"/>
  <c r="CO74" i="15"/>
  <c r="CP73" i="15"/>
  <c r="CQ86" i="15"/>
  <c r="CR85" i="15"/>
  <c r="CS84" i="15"/>
  <c r="CT88" i="15"/>
  <c r="CU96" i="15"/>
  <c r="CV95" i="15"/>
  <c r="CW94" i="15"/>
  <c r="CO94" i="15"/>
  <c r="CP93" i="15"/>
  <c r="CQ104" i="15"/>
  <c r="CR103" i="15"/>
  <c r="CS102" i="15"/>
  <c r="DJ69" i="15"/>
  <c r="DK68" i="15"/>
  <c r="DL67" i="15"/>
  <c r="DM66" i="15"/>
  <c r="DE66" i="15"/>
  <c r="DF65" i="15"/>
  <c r="DG64" i="15"/>
  <c r="DH76" i="15"/>
  <c r="DI75" i="15"/>
  <c r="DJ74" i="15"/>
  <c r="DK73" i="15"/>
  <c r="DL86" i="15"/>
  <c r="DM85" i="15"/>
  <c r="DE85" i="15"/>
  <c r="DF84" i="15"/>
  <c r="DG88" i="15"/>
  <c r="DH96" i="15"/>
  <c r="DI95" i="15"/>
  <c r="DJ94" i="15"/>
  <c r="DK93" i="15"/>
  <c r="DL104" i="15"/>
  <c r="DM103" i="15"/>
  <c r="DE103" i="15"/>
  <c r="EA68" i="15"/>
  <c r="EA66" i="15"/>
  <c r="DV64" i="15"/>
  <c r="DZ74" i="15"/>
  <c r="DU84" i="15"/>
  <c r="DY95" i="15"/>
  <c r="DY93" i="15"/>
  <c r="EC102" i="15"/>
  <c r="EN68" i="15"/>
  <c r="EQ65" i="15"/>
  <c r="EL75" i="15"/>
  <c r="EP85" i="15"/>
  <c r="EK96" i="15"/>
  <c r="FI68" i="15"/>
  <c r="FH74" i="15"/>
  <c r="FC85" i="15"/>
  <c r="FG95" i="15"/>
  <c r="FB104" i="15"/>
  <c r="FV68" i="15"/>
  <c r="FQ65" i="15"/>
  <c r="FU74" i="15"/>
  <c r="FY84" i="15"/>
  <c r="FT95" i="15"/>
  <c r="FX103" i="15"/>
  <c r="GI68" i="15"/>
  <c r="GM64" i="15"/>
  <c r="GL84" i="15"/>
  <c r="GG95" i="15"/>
  <c r="GK103" i="15"/>
  <c r="HE67" i="15"/>
  <c r="GZ64" i="15"/>
  <c r="HD73" i="15"/>
  <c r="GY84" i="15"/>
  <c r="HS85" i="15"/>
  <c r="HR104" i="15"/>
  <c r="IG65" i="15"/>
  <c r="HM102" i="15"/>
  <c r="HM84" i="15"/>
  <c r="HM65" i="15"/>
  <c r="HM103" i="15"/>
  <c r="HM85" i="15"/>
  <c r="HM66" i="15"/>
  <c r="HM104" i="15"/>
  <c r="HM86" i="15"/>
  <c r="HM67" i="15"/>
  <c r="HM93" i="15"/>
  <c r="HM73" i="15"/>
  <c r="HM68" i="15"/>
  <c r="HM94" i="15"/>
  <c r="HM74" i="15"/>
  <c r="HM69" i="15"/>
  <c r="HM95" i="15"/>
  <c r="HM75" i="15"/>
  <c r="HM96" i="15"/>
  <c r="HM76" i="15"/>
  <c r="MK88" i="15"/>
  <c r="MK64" i="15"/>
  <c r="MK102" i="15"/>
  <c r="MK84" i="15"/>
  <c r="MK65" i="15"/>
  <c r="MK103" i="15"/>
  <c r="MK85" i="15"/>
  <c r="MK66" i="15"/>
  <c r="MK104" i="15"/>
  <c r="MK86" i="15"/>
  <c r="MK67" i="15"/>
  <c r="MK94" i="15"/>
  <c r="MK74" i="15"/>
  <c r="MK69" i="15"/>
  <c r="MK95" i="15"/>
  <c r="MK75" i="15"/>
  <c r="MK68" i="15"/>
  <c r="MK96" i="15"/>
  <c r="MK93" i="15"/>
  <c r="MK76" i="15"/>
  <c r="MK73" i="15"/>
  <c r="BZ74" i="15"/>
  <c r="CW67" i="15"/>
  <c r="CW104" i="15"/>
  <c r="DL84" i="15"/>
  <c r="DZ95" i="15"/>
  <c r="DZ75" i="15"/>
  <c r="DZ96" i="15"/>
  <c r="DZ76" i="15"/>
  <c r="DZ88" i="15"/>
  <c r="DZ64" i="15"/>
  <c r="DZ102" i="15"/>
  <c r="DZ84" i="15"/>
  <c r="DZ65" i="15"/>
  <c r="DZ103" i="15"/>
  <c r="DZ85" i="15"/>
  <c r="DZ66" i="15"/>
  <c r="EO93" i="15"/>
  <c r="EO73" i="15"/>
  <c r="EO68" i="15"/>
  <c r="EO94" i="15"/>
  <c r="EO74" i="15"/>
  <c r="EO69" i="15"/>
  <c r="EO95" i="15"/>
  <c r="EO75" i="15"/>
  <c r="EO96" i="15"/>
  <c r="EO76" i="15"/>
  <c r="EO88" i="15"/>
  <c r="EO64" i="15"/>
  <c r="EO102" i="15"/>
  <c r="EO84" i="15"/>
  <c r="EO65" i="15"/>
  <c r="FD103" i="15"/>
  <c r="FD85" i="15"/>
  <c r="FD66" i="15"/>
  <c r="FD104" i="15"/>
  <c r="FD86" i="15"/>
  <c r="FD67" i="15"/>
  <c r="FD93" i="15"/>
  <c r="FD73" i="15"/>
  <c r="FD68" i="15"/>
  <c r="FD94" i="15"/>
  <c r="FD74" i="15"/>
  <c r="FD69" i="15"/>
  <c r="FD95" i="15"/>
  <c r="FD75" i="15"/>
  <c r="FD96" i="15"/>
  <c r="FD76" i="15"/>
  <c r="FS88" i="15"/>
  <c r="FS64" i="15"/>
  <c r="FS102" i="15"/>
  <c r="FS84" i="15"/>
  <c r="FS65" i="15"/>
  <c r="FS103" i="15"/>
  <c r="FS85" i="15"/>
  <c r="FS66" i="15"/>
  <c r="FS104" i="15"/>
  <c r="FS86" i="15"/>
  <c r="FS67" i="15"/>
  <c r="FS93" i="15"/>
  <c r="FS73" i="15"/>
  <c r="FS68" i="15"/>
  <c r="FS94" i="15"/>
  <c r="FS74" i="15"/>
  <c r="FS69" i="15"/>
  <c r="GH95" i="15"/>
  <c r="GH75" i="15"/>
  <c r="GH96" i="15"/>
  <c r="GH76" i="15"/>
  <c r="GH88" i="15"/>
  <c r="GH64" i="15"/>
  <c r="GH102" i="15"/>
  <c r="GH84" i="15"/>
  <c r="GH65" i="15"/>
  <c r="GH103" i="15"/>
  <c r="GH85" i="15"/>
  <c r="GH66" i="15"/>
  <c r="GH104" i="15"/>
  <c r="GH86" i="15"/>
  <c r="GH67" i="15"/>
  <c r="GW93" i="15"/>
  <c r="GW73" i="15"/>
  <c r="GW68" i="15"/>
  <c r="GW94" i="15"/>
  <c r="GW74" i="15"/>
  <c r="GW69" i="15"/>
  <c r="GW95" i="15"/>
  <c r="GW75" i="15"/>
  <c r="GW96" i="15"/>
  <c r="GW76" i="15"/>
  <c r="GW88" i="15"/>
  <c r="GW64" i="15"/>
  <c r="GW102" i="15"/>
  <c r="GW84" i="15"/>
  <c r="GW65" i="15"/>
  <c r="GW103" i="15"/>
  <c r="HE93" i="15"/>
  <c r="HE73" i="15"/>
  <c r="HE68" i="15"/>
  <c r="HE94" i="15"/>
  <c r="HE74" i="15"/>
  <c r="HE69" i="15"/>
  <c r="HE95" i="15"/>
  <c r="HE75" i="15"/>
  <c r="HE96" i="15"/>
  <c r="HE76" i="15"/>
  <c r="HE88" i="15"/>
  <c r="HE64" i="15"/>
  <c r="HE102" i="15"/>
  <c r="HE84" i="15"/>
  <c r="HE65" i="15"/>
  <c r="HE103" i="15"/>
  <c r="HT103" i="15"/>
  <c r="HT85" i="15"/>
  <c r="HT66" i="15"/>
  <c r="HT104" i="15"/>
  <c r="HT86" i="15"/>
  <c r="HT67" i="15"/>
  <c r="HT93" i="15"/>
  <c r="HT73" i="15"/>
  <c r="HT68" i="15"/>
  <c r="HT94" i="15"/>
  <c r="HT74" i="15"/>
  <c r="HT69" i="15"/>
  <c r="HT95" i="15"/>
  <c r="HT75" i="15"/>
  <c r="HT96" i="15"/>
  <c r="HT76" i="15"/>
  <c r="HT88" i="15"/>
  <c r="HT64" i="15"/>
  <c r="II88" i="15"/>
  <c r="II64" i="15"/>
  <c r="II102" i="15"/>
  <c r="II84" i="15"/>
  <c r="II65" i="15"/>
  <c r="II103" i="15"/>
  <c r="II85" i="15"/>
  <c r="II66" i="15"/>
  <c r="II104" i="15"/>
  <c r="II86" i="15"/>
  <c r="II67" i="15"/>
  <c r="II93" i="15"/>
  <c r="II73" i="15"/>
  <c r="II68" i="15"/>
  <c r="II94" i="15"/>
  <c r="II74" i="15"/>
  <c r="II69" i="15"/>
  <c r="II95" i="15"/>
  <c r="II75" i="15"/>
  <c r="II96" i="15"/>
  <c r="IX95" i="15"/>
  <c r="IX75" i="15"/>
  <c r="IX96" i="15"/>
  <c r="IX76" i="15"/>
  <c r="IX88" i="15"/>
  <c r="IX64" i="15"/>
  <c r="IX102" i="15"/>
  <c r="IX84" i="15"/>
  <c r="IX65" i="15"/>
  <c r="IX103" i="15"/>
  <c r="IX85" i="15"/>
  <c r="IX66" i="15"/>
  <c r="IX104" i="15"/>
  <c r="IX86" i="15"/>
  <c r="IX67" i="15"/>
  <c r="IX93" i="15"/>
  <c r="IX73" i="15"/>
  <c r="IX68" i="15"/>
  <c r="IX94" i="15"/>
  <c r="IX74" i="15"/>
  <c r="IX69" i="15"/>
  <c r="JM93" i="15"/>
  <c r="JM73" i="15"/>
  <c r="JM68" i="15"/>
  <c r="JM94" i="15"/>
  <c r="JM74" i="15"/>
  <c r="JM69" i="15"/>
  <c r="JM95" i="15"/>
  <c r="JM75" i="15"/>
  <c r="JM96" i="15"/>
  <c r="JM76" i="15"/>
  <c r="JM88" i="15"/>
  <c r="JM64" i="15"/>
  <c r="JM102" i="15"/>
  <c r="JM84" i="15"/>
  <c r="JM65" i="15"/>
  <c r="JM103" i="15"/>
  <c r="JM85" i="15"/>
  <c r="JM66" i="15"/>
  <c r="JM104" i="15"/>
  <c r="JM86" i="15"/>
  <c r="JM67" i="15"/>
  <c r="KB102" i="15"/>
  <c r="KB84" i="15"/>
  <c r="KB103" i="15"/>
  <c r="KB85" i="15"/>
  <c r="KB93" i="15"/>
  <c r="KB73" i="15"/>
  <c r="KB75" i="15"/>
  <c r="KB66" i="15"/>
  <c r="KB96" i="15"/>
  <c r="KB67" i="15"/>
  <c r="KB104" i="15"/>
  <c r="KB74" i="15"/>
  <c r="KB68" i="15"/>
  <c r="KB95" i="15"/>
  <c r="KB69" i="15"/>
  <c r="KB94" i="15"/>
  <c r="KB64" i="15"/>
  <c r="KB88" i="15"/>
  <c r="KB86" i="15"/>
  <c r="KB76" i="15"/>
  <c r="KB65" i="15"/>
  <c r="KQ96" i="15"/>
  <c r="KQ76" i="15"/>
  <c r="KQ88" i="15"/>
  <c r="KQ64" i="15"/>
  <c r="KQ102" i="15"/>
  <c r="KQ103" i="15"/>
  <c r="KQ85" i="15"/>
  <c r="KQ66" i="15"/>
  <c r="KQ94" i="15"/>
  <c r="KQ74" i="15"/>
  <c r="KQ69" i="15"/>
  <c r="KQ95" i="15"/>
  <c r="KQ65" i="15"/>
  <c r="KQ93" i="15"/>
  <c r="KQ67" i="15"/>
  <c r="KQ73" i="15"/>
  <c r="KQ75" i="15"/>
  <c r="KQ84" i="15"/>
  <c r="KQ104" i="15"/>
  <c r="KQ86" i="15"/>
  <c r="KQ68" i="15"/>
  <c r="LF94" i="15"/>
  <c r="LF74" i="15"/>
  <c r="LF69" i="15"/>
  <c r="LF95" i="15"/>
  <c r="LF75" i="15"/>
  <c r="LF96" i="15"/>
  <c r="LF76" i="15"/>
  <c r="LF88" i="15"/>
  <c r="LF64" i="15"/>
  <c r="LF104" i="15"/>
  <c r="LF86" i="15"/>
  <c r="LF67" i="15"/>
  <c r="LF102" i="15"/>
  <c r="LF68" i="15"/>
  <c r="LF66" i="15"/>
  <c r="LF93" i="15"/>
  <c r="LF84" i="15"/>
  <c r="LF103" i="15"/>
  <c r="LF73" i="15"/>
  <c r="LF65" i="15"/>
  <c r="LF85" i="15"/>
  <c r="LU104" i="15"/>
  <c r="LU86" i="15"/>
  <c r="LU67" i="15"/>
  <c r="LU93" i="15"/>
  <c r="LU73" i="15"/>
  <c r="LU68" i="15"/>
  <c r="LU94" i="15"/>
  <c r="LU74" i="15"/>
  <c r="LU69" i="15"/>
  <c r="LU95" i="15"/>
  <c r="LU75" i="15"/>
  <c r="LU102" i="15"/>
  <c r="LU84" i="15"/>
  <c r="LU65" i="15"/>
  <c r="LU85" i="15"/>
  <c r="LU76" i="15"/>
  <c r="LU88" i="15"/>
  <c r="LU66" i="15"/>
  <c r="LU64" i="15"/>
  <c r="LU96" i="15"/>
  <c r="LU103" i="15"/>
  <c r="MC104" i="15"/>
  <c r="MC86" i="15"/>
  <c r="MC67" i="15"/>
  <c r="MC93" i="15"/>
  <c r="MC73" i="15"/>
  <c r="MC68" i="15"/>
  <c r="MC94" i="15"/>
  <c r="MC74" i="15"/>
  <c r="MC69" i="15"/>
  <c r="MC95" i="15"/>
  <c r="MC75" i="15"/>
  <c r="MC102" i="15"/>
  <c r="MC84" i="15"/>
  <c r="MC65" i="15"/>
  <c r="MC96" i="15"/>
  <c r="MC103" i="15"/>
  <c r="MC85" i="15"/>
  <c r="MC76" i="15"/>
  <c r="MC88" i="15"/>
  <c r="MC66" i="15"/>
  <c r="MC64" i="15"/>
  <c r="MR102" i="15"/>
  <c r="MR84" i="15"/>
  <c r="MR65" i="15"/>
  <c r="MR103" i="15"/>
  <c r="MR85" i="15"/>
  <c r="MR66" i="15"/>
  <c r="MR104" i="15"/>
  <c r="MR86" i="15"/>
  <c r="MR67" i="15"/>
  <c r="MR93" i="15"/>
  <c r="MR73" i="15"/>
  <c r="MR68" i="15"/>
  <c r="MR95" i="15"/>
  <c r="MR75" i="15"/>
  <c r="MR96" i="15"/>
  <c r="MR76" i="15"/>
  <c r="MR94" i="15"/>
  <c r="MR64" i="15"/>
  <c r="MR74" i="15"/>
  <c r="MR69" i="15"/>
  <c r="MR88" i="15"/>
  <c r="NG96" i="15"/>
  <c r="NG76" i="15"/>
  <c r="NG88" i="15"/>
  <c r="NG64" i="15"/>
  <c r="NG102" i="15"/>
  <c r="NG84" i="15"/>
  <c r="NG65" i="15"/>
  <c r="NG103" i="15"/>
  <c r="NG85" i="15"/>
  <c r="NG66" i="15"/>
  <c r="NG93" i="15"/>
  <c r="NG73" i="15"/>
  <c r="NG68" i="15"/>
  <c r="NG94" i="15"/>
  <c r="NG74" i="15"/>
  <c r="NG69" i="15"/>
  <c r="NG67" i="15"/>
  <c r="NG95" i="15"/>
  <c r="NG104" i="15"/>
  <c r="NG75" i="15"/>
  <c r="NG86" i="15"/>
  <c r="NV94" i="15"/>
  <c r="NV74" i="15"/>
  <c r="NV69" i="15"/>
  <c r="NV95" i="15"/>
  <c r="NV75" i="15"/>
  <c r="NV96" i="15"/>
  <c r="NV76" i="15"/>
  <c r="NV88" i="15"/>
  <c r="NV64" i="15"/>
  <c r="NV103" i="15"/>
  <c r="NV85" i="15"/>
  <c r="NV66" i="15"/>
  <c r="NV104" i="15"/>
  <c r="NV86" i="15"/>
  <c r="NV67" i="15"/>
  <c r="NV102" i="15"/>
  <c r="NV73" i="15"/>
  <c r="NV84" i="15"/>
  <c r="NV68" i="15"/>
  <c r="NV65" i="15"/>
  <c r="NV93" i="15"/>
  <c r="OK102" i="15"/>
  <c r="OK103" i="15"/>
  <c r="OK93" i="15"/>
  <c r="OK94" i="15"/>
  <c r="OK95" i="15"/>
  <c r="OK86" i="15"/>
  <c r="OK67" i="15"/>
  <c r="OK73" i="15"/>
  <c r="OK68" i="15"/>
  <c r="OK74" i="15"/>
  <c r="OK69" i="15"/>
  <c r="OK75" i="15"/>
  <c r="OK96" i="15"/>
  <c r="OK88" i="15"/>
  <c r="OK64" i="15"/>
  <c r="OK84" i="15"/>
  <c r="OK65" i="15"/>
  <c r="OK76" i="15"/>
  <c r="OK104" i="15"/>
  <c r="OK85" i="15"/>
  <c r="OK66" i="15"/>
  <c r="BN69" i="15"/>
  <c r="BO68" i="15"/>
  <c r="BP67" i="15"/>
  <c r="BQ66" i="15"/>
  <c r="BI66" i="15"/>
  <c r="BJ65" i="15"/>
  <c r="BK64" i="15"/>
  <c r="BL76" i="15"/>
  <c r="BM75" i="15"/>
  <c r="BN74" i="15"/>
  <c r="BO73" i="15"/>
  <c r="BP86" i="15"/>
  <c r="BQ85" i="15"/>
  <c r="BI85" i="15"/>
  <c r="BJ84" i="15"/>
  <c r="CA69" i="15"/>
  <c r="CB68" i="15"/>
  <c r="CC67" i="15"/>
  <c r="CD66" i="15"/>
  <c r="CE65" i="15"/>
  <c r="CF64" i="15"/>
  <c r="CG76" i="15"/>
  <c r="BY76" i="15"/>
  <c r="BZ75" i="15"/>
  <c r="CA74" i="15"/>
  <c r="CB73" i="15"/>
  <c r="CC86" i="15"/>
  <c r="CD85" i="15"/>
  <c r="CE84" i="15"/>
  <c r="CV69" i="15"/>
  <c r="CW68" i="15"/>
  <c r="CO68" i="15"/>
  <c r="CP67" i="15"/>
  <c r="CQ66" i="15"/>
  <c r="CR65" i="15"/>
  <c r="CS64" i="15"/>
  <c r="CT76" i="15"/>
  <c r="CU75" i="15"/>
  <c r="CV74" i="15"/>
  <c r="CW73" i="15"/>
  <c r="CO73" i="15"/>
  <c r="CP86" i="15"/>
  <c r="CQ85" i="15"/>
  <c r="CR84" i="15"/>
  <c r="DI69" i="15"/>
  <c r="DJ68" i="15"/>
  <c r="DK67" i="15"/>
  <c r="DL66" i="15"/>
  <c r="DM65" i="15"/>
  <c r="DE65" i="15"/>
  <c r="DF64" i="15"/>
  <c r="DG76" i="15"/>
  <c r="DH75" i="15"/>
  <c r="DI74" i="15"/>
  <c r="DJ73" i="15"/>
  <c r="DK86" i="15"/>
  <c r="DL85" i="15"/>
  <c r="DM84" i="15"/>
  <c r="DE84" i="15"/>
  <c r="DF88" i="15"/>
  <c r="DJ93" i="15"/>
  <c r="DK104" i="15"/>
  <c r="DL103" i="15"/>
  <c r="DZ68" i="15"/>
  <c r="DU66" i="15"/>
  <c r="DU64" i="15"/>
  <c r="DY74" i="15"/>
  <c r="EC85" i="15"/>
  <c r="EC88" i="15"/>
  <c r="DX95" i="15"/>
  <c r="EB104" i="15"/>
  <c r="EB102" i="15"/>
  <c r="EM68" i="15"/>
  <c r="EP65" i="15"/>
  <c r="EK75" i="15"/>
  <c r="EO85" i="15"/>
  <c r="ES95" i="15"/>
  <c r="EN104" i="15"/>
  <c r="FH68" i="15"/>
  <c r="FC65" i="15"/>
  <c r="FG74" i="15"/>
  <c r="FB85" i="15"/>
  <c r="FF95" i="15"/>
  <c r="FA104" i="15"/>
  <c r="FU68" i="15"/>
  <c r="FY64" i="15"/>
  <c r="FT74" i="15"/>
  <c r="FX84" i="15"/>
  <c r="FS95" i="15"/>
  <c r="FW103" i="15"/>
  <c r="GH68" i="15"/>
  <c r="GL64" i="15"/>
  <c r="GG74" i="15"/>
  <c r="GK84" i="15"/>
  <c r="GO94" i="15"/>
  <c r="GJ103" i="15"/>
  <c r="HD67" i="15"/>
  <c r="GY64" i="15"/>
  <c r="HC73" i="15"/>
  <c r="GX84" i="15"/>
  <c r="GW104" i="15"/>
  <c r="HU64" i="15"/>
  <c r="HT84" i="15"/>
  <c r="HS103" i="15"/>
  <c r="IH64" i="15"/>
  <c r="BN104" i="16"/>
  <c r="BN86" i="16"/>
  <c r="BN67" i="16"/>
  <c r="BN93" i="16"/>
  <c r="BN73" i="16"/>
  <c r="BN68" i="16"/>
  <c r="BN94" i="16"/>
  <c r="BN74" i="16"/>
  <c r="BN95" i="16"/>
  <c r="BN75" i="16"/>
  <c r="BN96" i="16"/>
  <c r="BN76" i="16"/>
  <c r="BN88" i="16"/>
  <c r="BN64" i="16"/>
  <c r="BN103" i="16"/>
  <c r="BN66" i="16"/>
  <c r="BN85" i="16"/>
  <c r="BN69" i="16"/>
  <c r="BN102" i="16"/>
  <c r="BN65" i="16"/>
  <c r="CC102" i="16"/>
  <c r="CC84" i="16"/>
  <c r="CC65" i="16"/>
  <c r="CC103" i="16"/>
  <c r="CC85" i="16"/>
  <c r="CC66" i="16"/>
  <c r="CC104" i="16"/>
  <c r="CC86" i="16"/>
  <c r="CC67" i="16"/>
  <c r="CC93" i="16"/>
  <c r="CC73" i="16"/>
  <c r="CC68" i="16"/>
  <c r="CC94" i="16"/>
  <c r="CC74" i="16"/>
  <c r="CC69" i="16"/>
  <c r="CC95" i="16"/>
  <c r="CC75" i="16"/>
  <c r="CC64" i="16"/>
  <c r="CC96" i="16"/>
  <c r="CC76" i="16"/>
  <c r="CC88" i="16"/>
  <c r="CR96" i="16"/>
  <c r="CR76" i="16"/>
  <c r="CR88" i="16"/>
  <c r="CR64" i="16"/>
  <c r="CR102" i="16"/>
  <c r="CR84" i="16"/>
  <c r="CR65" i="16"/>
  <c r="CR103" i="16"/>
  <c r="CR85" i="16"/>
  <c r="CR66" i="16"/>
  <c r="CR104" i="16"/>
  <c r="CR86" i="16"/>
  <c r="CR67" i="16"/>
  <c r="CR93" i="16"/>
  <c r="CR73" i="16"/>
  <c r="CR68" i="16"/>
  <c r="CR74" i="16"/>
  <c r="CR95" i="16"/>
  <c r="CR69" i="16"/>
  <c r="CR75" i="16"/>
  <c r="DG94" i="16"/>
  <c r="DG74" i="16"/>
  <c r="DG69" i="16"/>
  <c r="DG95" i="16"/>
  <c r="DG75" i="16"/>
  <c r="DG96" i="16"/>
  <c r="DG76" i="16"/>
  <c r="DG88" i="16"/>
  <c r="DG64" i="16"/>
  <c r="DG102" i="16"/>
  <c r="DG84" i="16"/>
  <c r="DG65" i="16"/>
  <c r="DG103" i="16"/>
  <c r="DG85" i="16"/>
  <c r="DG66" i="16"/>
  <c r="DG104" i="16"/>
  <c r="DG73" i="16"/>
  <c r="DG68" i="16"/>
  <c r="DG86" i="16"/>
  <c r="DG93" i="16"/>
  <c r="DV93" i="16"/>
  <c r="DV73" i="16"/>
  <c r="DV94" i="16"/>
  <c r="DV74" i="16"/>
  <c r="DV95" i="16"/>
  <c r="DV75" i="16"/>
  <c r="DV102" i="16"/>
  <c r="DV67" i="16"/>
  <c r="DV85" i="16"/>
  <c r="DV68" i="16"/>
  <c r="DV104" i="16"/>
  <c r="DV69" i="16"/>
  <c r="DV84" i="16"/>
  <c r="DV76" i="16"/>
  <c r="DV103" i="16"/>
  <c r="DV88" i="16"/>
  <c r="DV64" i="16"/>
  <c r="DV65" i="16"/>
  <c r="DV96" i="16"/>
  <c r="DV66" i="16"/>
  <c r="DV86" i="16"/>
  <c r="EK103" i="16"/>
  <c r="EK85" i="16"/>
  <c r="EK66" i="16"/>
  <c r="EK104" i="16"/>
  <c r="EK86" i="16"/>
  <c r="EK67" i="16"/>
  <c r="EK93" i="16"/>
  <c r="EK73" i="16"/>
  <c r="EK68" i="16"/>
  <c r="EK94" i="16"/>
  <c r="EK74" i="16"/>
  <c r="EK69" i="16"/>
  <c r="EK95" i="16"/>
  <c r="EK102" i="16"/>
  <c r="EK76" i="16"/>
  <c r="EK88" i="16"/>
  <c r="EK65" i="16"/>
  <c r="EK75" i="16"/>
  <c r="EK96" i="16"/>
  <c r="EK64" i="16"/>
  <c r="EK84" i="16"/>
  <c r="ES103" i="16"/>
  <c r="ES85" i="16"/>
  <c r="ES66" i="16"/>
  <c r="ES104" i="16"/>
  <c r="ES86" i="16"/>
  <c r="ES67" i="16"/>
  <c r="ES93" i="16"/>
  <c r="ES73" i="16"/>
  <c r="ES68" i="16"/>
  <c r="ES94" i="16"/>
  <c r="ES74" i="16"/>
  <c r="ES69" i="16"/>
  <c r="ES96" i="16"/>
  <c r="ES64" i="16"/>
  <c r="ES84" i="16"/>
  <c r="ES102" i="16"/>
  <c r="ES95" i="16"/>
  <c r="ES76" i="16"/>
  <c r="ES88" i="16"/>
  <c r="ES65" i="16"/>
  <c r="ES75" i="16"/>
  <c r="FH88" i="16"/>
  <c r="FH64" i="16"/>
  <c r="FH102" i="16"/>
  <c r="FH84" i="16"/>
  <c r="FH65" i="16"/>
  <c r="FH103" i="16"/>
  <c r="FH85" i="16"/>
  <c r="FH66" i="16"/>
  <c r="FH104" i="16"/>
  <c r="FH86" i="16"/>
  <c r="FH67" i="16"/>
  <c r="FH93" i="16"/>
  <c r="FH73" i="16"/>
  <c r="FH68" i="16"/>
  <c r="FH94" i="16"/>
  <c r="FH96" i="16"/>
  <c r="FH74" i="16"/>
  <c r="FH76" i="16"/>
  <c r="FH95" i="16"/>
  <c r="FH69" i="16"/>
  <c r="FW95" i="16"/>
  <c r="FW75" i="16"/>
  <c r="FW96" i="16"/>
  <c r="FW76" i="16"/>
  <c r="FW88" i="16"/>
  <c r="FW64" i="16"/>
  <c r="FW102" i="16"/>
  <c r="FW84" i="16"/>
  <c r="FW65" i="16"/>
  <c r="FW103" i="16"/>
  <c r="FW85" i="16"/>
  <c r="FW66" i="16"/>
  <c r="FW67" i="16"/>
  <c r="FW69" i="16"/>
  <c r="FW73" i="16"/>
  <c r="FW104" i="16"/>
  <c r="FW94" i="16"/>
  <c r="FW68" i="16"/>
  <c r="FW86" i="16"/>
  <c r="FW74" i="16"/>
  <c r="FW93" i="16"/>
  <c r="GL104" i="16"/>
  <c r="GL86" i="16"/>
  <c r="GL67" i="16"/>
  <c r="GL93" i="16"/>
  <c r="GL73" i="16"/>
  <c r="GL68" i="16"/>
  <c r="GL94" i="16"/>
  <c r="GL74" i="16"/>
  <c r="GL69" i="16"/>
  <c r="GL95" i="16"/>
  <c r="GL75" i="16"/>
  <c r="GL96" i="16"/>
  <c r="GL76" i="16"/>
  <c r="GL88" i="16"/>
  <c r="GL64" i="16"/>
  <c r="GL65" i="16"/>
  <c r="GL85" i="16"/>
  <c r="GL66" i="16"/>
  <c r="GL102" i="16"/>
  <c r="GL84" i="16"/>
  <c r="GL103" i="16"/>
  <c r="HA94" i="16"/>
  <c r="HA74" i="16"/>
  <c r="HA95" i="16"/>
  <c r="HA75" i="16"/>
  <c r="HA96" i="16"/>
  <c r="HA76" i="16"/>
  <c r="HA88" i="16"/>
  <c r="HA64" i="16"/>
  <c r="HA102" i="16"/>
  <c r="HA84" i="16"/>
  <c r="HA65" i="16"/>
  <c r="HA103" i="16"/>
  <c r="HA93" i="16"/>
  <c r="HA66" i="16"/>
  <c r="HA67" i="16"/>
  <c r="HA85" i="16"/>
  <c r="HA73" i="16"/>
  <c r="HA68" i="16"/>
  <c r="HA104" i="16"/>
  <c r="HA69" i="16"/>
  <c r="HA86" i="16"/>
  <c r="HP104" i="16"/>
  <c r="HP86" i="16"/>
  <c r="HP67" i="16"/>
  <c r="HP93" i="16"/>
  <c r="HP73" i="16"/>
  <c r="HP68" i="16"/>
  <c r="HP94" i="16"/>
  <c r="HP74" i="16"/>
  <c r="HP69" i="16"/>
  <c r="HP95" i="16"/>
  <c r="HP75" i="16"/>
  <c r="HP96" i="16"/>
  <c r="HP76" i="16"/>
  <c r="HP64" i="16"/>
  <c r="HP66" i="16"/>
  <c r="HP84" i="16"/>
  <c r="HP103" i="16"/>
  <c r="HP65" i="16"/>
  <c r="HP88" i="16"/>
  <c r="HP85" i="16"/>
  <c r="HP102" i="16"/>
  <c r="IE102" i="16"/>
  <c r="IE84" i="16"/>
  <c r="IE65" i="16"/>
  <c r="IE103" i="16"/>
  <c r="IE85" i="16"/>
  <c r="IE66" i="16"/>
  <c r="IE104" i="16"/>
  <c r="IE86" i="16"/>
  <c r="IE67" i="16"/>
  <c r="IE93" i="16"/>
  <c r="IE73" i="16"/>
  <c r="IE68" i="16"/>
  <c r="IE94" i="16"/>
  <c r="IE74" i="16"/>
  <c r="IE69" i="16"/>
  <c r="IE75" i="16"/>
  <c r="IE64" i="16"/>
  <c r="IE96" i="16"/>
  <c r="IE76" i="16"/>
  <c r="IE95" i="16"/>
  <c r="IE88" i="16"/>
  <c r="IT96" i="16"/>
  <c r="IT76" i="16"/>
  <c r="IT88" i="16"/>
  <c r="IT64" i="16"/>
  <c r="IT102" i="16"/>
  <c r="IT84" i="16"/>
  <c r="IT65" i="16"/>
  <c r="IT103" i="16"/>
  <c r="IT85" i="16"/>
  <c r="IT66" i="16"/>
  <c r="IT104" i="16"/>
  <c r="IT86" i="16"/>
  <c r="IT67" i="16"/>
  <c r="IT74" i="16"/>
  <c r="IT93" i="16"/>
  <c r="IT95" i="16"/>
  <c r="IT69" i="16"/>
  <c r="IT73" i="16"/>
  <c r="IT75" i="16"/>
  <c r="IT94" i="16"/>
  <c r="IT68" i="16"/>
  <c r="JI93" i="16"/>
  <c r="JI73" i="16"/>
  <c r="JI94" i="16"/>
  <c r="JI74" i="16"/>
  <c r="JI69" i="16"/>
  <c r="JI95" i="16"/>
  <c r="JI75" i="16"/>
  <c r="JI96" i="16"/>
  <c r="JI76" i="16"/>
  <c r="JI88" i="16"/>
  <c r="JI64" i="16"/>
  <c r="JI102" i="16"/>
  <c r="JI84" i="16"/>
  <c r="JI65" i="16"/>
  <c r="JI66" i="16"/>
  <c r="JI68" i="16"/>
  <c r="JI103" i="16"/>
  <c r="JI85" i="16"/>
  <c r="JI104" i="16"/>
  <c r="JI67" i="16"/>
  <c r="JI86" i="16"/>
  <c r="JQ93" i="16"/>
  <c r="JQ73" i="16"/>
  <c r="JQ94" i="16"/>
  <c r="JQ74" i="16"/>
  <c r="JQ69" i="16"/>
  <c r="JQ95" i="16"/>
  <c r="JQ75" i="16"/>
  <c r="JQ96" i="16"/>
  <c r="JQ76" i="16"/>
  <c r="JQ88" i="16"/>
  <c r="JQ64" i="16"/>
  <c r="JQ102" i="16"/>
  <c r="JQ84" i="16"/>
  <c r="JQ65" i="16"/>
  <c r="JQ67" i="16"/>
  <c r="JQ86" i="16"/>
  <c r="JQ103" i="16"/>
  <c r="JQ66" i="16"/>
  <c r="JQ68" i="16"/>
  <c r="JQ85" i="16"/>
  <c r="JQ104" i="16"/>
  <c r="KF103" i="16"/>
  <c r="KF85" i="16"/>
  <c r="KF66" i="16"/>
  <c r="KF104" i="16"/>
  <c r="KF86" i="16"/>
  <c r="KF67" i="16"/>
  <c r="KF93" i="16"/>
  <c r="KF73" i="16"/>
  <c r="KF68" i="16"/>
  <c r="KF94" i="16"/>
  <c r="KF74" i="16"/>
  <c r="KF69" i="16"/>
  <c r="KF95" i="16"/>
  <c r="KF75" i="16"/>
  <c r="KF96" i="16"/>
  <c r="KF76" i="16"/>
  <c r="KF88" i="16"/>
  <c r="KF102" i="16"/>
  <c r="KF64" i="16"/>
  <c r="KF84" i="16"/>
  <c r="KF65" i="16"/>
  <c r="KU88" i="16"/>
  <c r="KU64" i="16"/>
  <c r="KU103" i="16"/>
  <c r="KU85" i="16"/>
  <c r="KU66" i="16"/>
  <c r="KU104" i="16"/>
  <c r="KU86" i="16"/>
  <c r="KU93" i="16"/>
  <c r="KU73" i="16"/>
  <c r="KU102" i="16"/>
  <c r="KU65" i="16"/>
  <c r="KU94" i="16"/>
  <c r="KU75" i="16"/>
  <c r="KU96" i="16"/>
  <c r="KU67" i="16"/>
  <c r="KU84" i="16"/>
  <c r="KU68" i="16"/>
  <c r="KU74" i="16"/>
  <c r="KU69" i="16"/>
  <c r="KU95" i="16"/>
  <c r="KU76" i="16"/>
  <c r="LJ95" i="16"/>
  <c r="LJ75" i="16"/>
  <c r="LJ96" i="16"/>
  <c r="LJ76" i="16"/>
  <c r="LJ88" i="16"/>
  <c r="LJ64" i="16"/>
  <c r="LJ102" i="16"/>
  <c r="LJ84" i="16"/>
  <c r="LJ65" i="16"/>
  <c r="LJ103" i="16"/>
  <c r="LJ85" i="16"/>
  <c r="LJ66" i="16"/>
  <c r="LJ73" i="16"/>
  <c r="LJ104" i="16"/>
  <c r="LJ94" i="16"/>
  <c r="LJ67" i="16"/>
  <c r="LJ69" i="16"/>
  <c r="LJ86" i="16"/>
  <c r="LJ74" i="16"/>
  <c r="LJ93" i="16"/>
  <c r="LJ68" i="16"/>
  <c r="LY93" i="16"/>
  <c r="LY73" i="16"/>
  <c r="LY68" i="16"/>
  <c r="LY94" i="16"/>
  <c r="LY74" i="16"/>
  <c r="LY69" i="16"/>
  <c r="LY95" i="16"/>
  <c r="LY75" i="16"/>
  <c r="LY96" i="16"/>
  <c r="LY76" i="16"/>
  <c r="LY88" i="16"/>
  <c r="LY64" i="16"/>
  <c r="LY103" i="16"/>
  <c r="LY104" i="16"/>
  <c r="LY65" i="16"/>
  <c r="LY67" i="16"/>
  <c r="LY85" i="16"/>
  <c r="LY102" i="16"/>
  <c r="LY66" i="16"/>
  <c r="LY84" i="16"/>
  <c r="LY86" i="16"/>
  <c r="MN102" i="16"/>
  <c r="MN103" i="16"/>
  <c r="MN85" i="16"/>
  <c r="MN66" i="16"/>
  <c r="MN104" i="16"/>
  <c r="MN86" i="16"/>
  <c r="MN67" i="16"/>
  <c r="MN93" i="16"/>
  <c r="MN73" i="16"/>
  <c r="MN68" i="16"/>
  <c r="MN94" i="16"/>
  <c r="MN74" i="16"/>
  <c r="MN69" i="16"/>
  <c r="MN95" i="16"/>
  <c r="MN75" i="16"/>
  <c r="MN96" i="16"/>
  <c r="MN76" i="16"/>
  <c r="MN88" i="16"/>
  <c r="MN64" i="16"/>
  <c r="MN84" i="16"/>
  <c r="MN65" i="16"/>
  <c r="NC96" i="16"/>
  <c r="NC76" i="16"/>
  <c r="NC88" i="16"/>
  <c r="NC64" i="16"/>
  <c r="NC102" i="16"/>
  <c r="NC84" i="16"/>
  <c r="NC65" i="16"/>
  <c r="NC103" i="16"/>
  <c r="NC85" i="16"/>
  <c r="NC66" i="16"/>
  <c r="NC104" i="16"/>
  <c r="NC86" i="16"/>
  <c r="NC67" i="16"/>
  <c r="NC93" i="16"/>
  <c r="NC73" i="16"/>
  <c r="NC68" i="16"/>
  <c r="NC94" i="16"/>
  <c r="NC74" i="16"/>
  <c r="NC69" i="16"/>
  <c r="NC95" i="16"/>
  <c r="NC75" i="16"/>
  <c r="NR94" i="16"/>
  <c r="NR74" i="16"/>
  <c r="NR69" i="16"/>
  <c r="NR95" i="16"/>
  <c r="NR75" i="16"/>
  <c r="NR96" i="16"/>
  <c r="NR76" i="16"/>
  <c r="NR88" i="16"/>
  <c r="NR64" i="16"/>
  <c r="NR102" i="16"/>
  <c r="NR84" i="16"/>
  <c r="NR65" i="16"/>
  <c r="NR103" i="16"/>
  <c r="NR85" i="16"/>
  <c r="NR66" i="16"/>
  <c r="NR104" i="16"/>
  <c r="NR86" i="16"/>
  <c r="NR67" i="16"/>
  <c r="NR93" i="16"/>
  <c r="NR73" i="16"/>
  <c r="NR68" i="16"/>
  <c r="OG94" i="16"/>
  <c r="OG74" i="16"/>
  <c r="OG95" i="16"/>
  <c r="OG75" i="16"/>
  <c r="OG102" i="16"/>
  <c r="OG84" i="16"/>
  <c r="OG67" i="16"/>
  <c r="OG93" i="16"/>
  <c r="OG96" i="16"/>
  <c r="OG73" i="16"/>
  <c r="OG68" i="16"/>
  <c r="OG86" i="16"/>
  <c r="OG69" i="16"/>
  <c r="OG104" i="16"/>
  <c r="OG85" i="16"/>
  <c r="OG76" i="16"/>
  <c r="OG103" i="16"/>
  <c r="OG64" i="16"/>
  <c r="OG65" i="16"/>
  <c r="OG88" i="16"/>
  <c r="OG66" i="16"/>
  <c r="OO94" i="16"/>
  <c r="OO74" i="16"/>
  <c r="OO95" i="16"/>
  <c r="OO75" i="16"/>
  <c r="OO102" i="16"/>
  <c r="OO104" i="16"/>
  <c r="OO86" i="16"/>
  <c r="OO67" i="16"/>
  <c r="OO85" i="16"/>
  <c r="OO68" i="16"/>
  <c r="OO103" i="16"/>
  <c r="OO84" i="16"/>
  <c r="OO69" i="16"/>
  <c r="OO88" i="16"/>
  <c r="OO76" i="16"/>
  <c r="OO64" i="16"/>
  <c r="OO93" i="16"/>
  <c r="OO96" i="16"/>
  <c r="OO65" i="16"/>
  <c r="OO73" i="16"/>
  <c r="OO66" i="16"/>
  <c r="BY73" i="16"/>
  <c r="CG93" i="16"/>
  <c r="CV66" i="16"/>
  <c r="BM93" i="16"/>
  <c r="BM73" i="16"/>
  <c r="BM68" i="16"/>
  <c r="BM94" i="16"/>
  <c r="BM74" i="16"/>
  <c r="BM69" i="16"/>
  <c r="BM95" i="16"/>
  <c r="BM75" i="16"/>
  <c r="BM96" i="16"/>
  <c r="BM76" i="16"/>
  <c r="BM88" i="16"/>
  <c r="BM64" i="16"/>
  <c r="BM102" i="16"/>
  <c r="BM84" i="16"/>
  <c r="BM65" i="16"/>
  <c r="CB103" i="16"/>
  <c r="CB85" i="16"/>
  <c r="CB66" i="16"/>
  <c r="CB104" i="16"/>
  <c r="CB86" i="16"/>
  <c r="CB67" i="16"/>
  <c r="CB93" i="16"/>
  <c r="CB73" i="16"/>
  <c r="CB68" i="16"/>
  <c r="CB94" i="16"/>
  <c r="CB74" i="16"/>
  <c r="CB69" i="16"/>
  <c r="CB95" i="16"/>
  <c r="CB75" i="16"/>
  <c r="CB96" i="16"/>
  <c r="CB76" i="16"/>
  <c r="CQ88" i="16"/>
  <c r="CQ64" i="16"/>
  <c r="CQ102" i="16"/>
  <c r="CQ84" i="16"/>
  <c r="CQ65" i="16"/>
  <c r="CQ103" i="16"/>
  <c r="CQ85" i="16"/>
  <c r="CQ66" i="16"/>
  <c r="CQ104" i="16"/>
  <c r="CQ86" i="16"/>
  <c r="CQ67" i="16"/>
  <c r="CQ93" i="16"/>
  <c r="CQ73" i="16"/>
  <c r="CQ68" i="16"/>
  <c r="CQ94" i="16"/>
  <c r="CQ74" i="16"/>
  <c r="CQ69" i="16"/>
  <c r="DF95" i="16"/>
  <c r="DF75" i="16"/>
  <c r="DF96" i="16"/>
  <c r="DF76" i="16"/>
  <c r="DF88" i="16"/>
  <c r="DF64" i="16"/>
  <c r="DF102" i="16"/>
  <c r="DF84" i="16"/>
  <c r="DF65" i="16"/>
  <c r="DF103" i="16"/>
  <c r="DF85" i="16"/>
  <c r="DF66" i="16"/>
  <c r="DF104" i="16"/>
  <c r="DF86" i="16"/>
  <c r="DF67" i="16"/>
  <c r="DF93" i="16"/>
  <c r="DU94" i="16"/>
  <c r="DU74" i="16"/>
  <c r="DU95" i="16"/>
  <c r="DU75" i="16"/>
  <c r="DU96" i="16"/>
  <c r="DU76" i="16"/>
  <c r="DU85" i="16"/>
  <c r="DU68" i="16"/>
  <c r="DU104" i="16"/>
  <c r="DU69" i="16"/>
  <c r="DU84" i="16"/>
  <c r="DU103" i="16"/>
  <c r="DU88" i="16"/>
  <c r="DU73" i="16"/>
  <c r="DU64" i="16"/>
  <c r="DU65" i="16"/>
  <c r="DU86" i="16"/>
  <c r="DU66" i="16"/>
  <c r="EC94" i="16"/>
  <c r="EC74" i="16"/>
  <c r="EC95" i="16"/>
  <c r="EC75" i="16"/>
  <c r="EC96" i="16"/>
  <c r="EC103" i="16"/>
  <c r="EC68" i="16"/>
  <c r="EC88" i="16"/>
  <c r="EC73" i="16"/>
  <c r="EC69" i="16"/>
  <c r="EC102" i="16"/>
  <c r="EC86" i="16"/>
  <c r="EC76" i="16"/>
  <c r="EC93" i="16"/>
  <c r="EC64" i="16"/>
  <c r="EC85" i="16"/>
  <c r="EC65" i="16"/>
  <c r="EC104" i="16"/>
  <c r="EC66" i="16"/>
  <c r="ER104" i="16"/>
  <c r="ER86" i="16"/>
  <c r="ER67" i="16"/>
  <c r="ER93" i="16"/>
  <c r="ER73" i="16"/>
  <c r="ER68" i="16"/>
  <c r="ER94" i="16"/>
  <c r="ER74" i="16"/>
  <c r="ER69" i="16"/>
  <c r="ER95" i="16"/>
  <c r="ER75" i="16"/>
  <c r="ER64" i="16"/>
  <c r="ER84" i="16"/>
  <c r="ER102" i="16"/>
  <c r="ER66" i="16"/>
  <c r="ER76" i="16"/>
  <c r="ER88" i="16"/>
  <c r="ER65" i="16"/>
  <c r="ER103" i="16"/>
  <c r="ER85" i="16"/>
  <c r="FG102" i="16"/>
  <c r="FG84" i="16"/>
  <c r="FG65" i="16"/>
  <c r="FG103" i="16"/>
  <c r="FG85" i="16"/>
  <c r="FG66" i="16"/>
  <c r="FG104" i="16"/>
  <c r="FG86" i="16"/>
  <c r="FG67" i="16"/>
  <c r="FG93" i="16"/>
  <c r="FG73" i="16"/>
  <c r="FG68" i="16"/>
  <c r="FG94" i="16"/>
  <c r="FG74" i="16"/>
  <c r="FG69" i="16"/>
  <c r="FG76" i="16"/>
  <c r="FG95" i="16"/>
  <c r="FG88" i="16"/>
  <c r="FG75" i="16"/>
  <c r="FG64" i="16"/>
  <c r="FV96" i="16"/>
  <c r="FV76" i="16"/>
  <c r="FV88" i="16"/>
  <c r="FV64" i="16"/>
  <c r="FV102" i="16"/>
  <c r="FV84" i="16"/>
  <c r="FV65" i="16"/>
  <c r="FV103" i="16"/>
  <c r="FV85" i="16"/>
  <c r="FV66" i="16"/>
  <c r="FV104" i="16"/>
  <c r="FV86" i="16"/>
  <c r="FV67" i="16"/>
  <c r="FV73" i="16"/>
  <c r="FV75" i="16"/>
  <c r="FV94" i="16"/>
  <c r="FV68" i="16"/>
  <c r="FV74" i="16"/>
  <c r="FV93" i="16"/>
  <c r="FV95" i="16"/>
  <c r="GK93" i="16"/>
  <c r="GK73" i="16"/>
  <c r="GK68" i="16"/>
  <c r="GK94" i="16"/>
  <c r="GK74" i="16"/>
  <c r="GK69" i="16"/>
  <c r="GK95" i="16"/>
  <c r="GK75" i="16"/>
  <c r="GK96" i="16"/>
  <c r="GK76" i="16"/>
  <c r="GK88" i="16"/>
  <c r="GK64" i="16"/>
  <c r="GK102" i="16"/>
  <c r="GK84" i="16"/>
  <c r="GK65" i="16"/>
  <c r="GK85" i="16"/>
  <c r="GK104" i="16"/>
  <c r="GK66" i="16"/>
  <c r="GK86" i="16"/>
  <c r="GK67" i="16"/>
  <c r="GK103" i="16"/>
  <c r="GZ95" i="16"/>
  <c r="GZ75" i="16"/>
  <c r="GZ96" i="16"/>
  <c r="GZ76" i="16"/>
  <c r="GZ88" i="16"/>
  <c r="GZ64" i="16"/>
  <c r="GZ102" i="16"/>
  <c r="GZ84" i="16"/>
  <c r="GZ65" i="16"/>
  <c r="GZ103" i="16"/>
  <c r="GZ85" i="16"/>
  <c r="GZ66" i="16"/>
  <c r="GZ67" i="16"/>
  <c r="GZ73" i="16"/>
  <c r="GZ68" i="16"/>
  <c r="GZ104" i="16"/>
  <c r="GZ94" i="16"/>
  <c r="GZ69" i="16"/>
  <c r="GZ86" i="16"/>
  <c r="GZ74" i="16"/>
  <c r="GZ93" i="16"/>
  <c r="HO93" i="16"/>
  <c r="HO73" i="16"/>
  <c r="HO68" i="16"/>
  <c r="HO94" i="16"/>
  <c r="HO74" i="16"/>
  <c r="HO69" i="16"/>
  <c r="HO95" i="16"/>
  <c r="HO75" i="16"/>
  <c r="HO96" i="16"/>
  <c r="HO76" i="16"/>
  <c r="HO88" i="16"/>
  <c r="HO64" i="16"/>
  <c r="HO84" i="16"/>
  <c r="HO86" i="16"/>
  <c r="HO103" i="16"/>
  <c r="HO65" i="16"/>
  <c r="HO67" i="16"/>
  <c r="HO85" i="16"/>
  <c r="HO102" i="16"/>
  <c r="HO104" i="16"/>
  <c r="HO66" i="16"/>
  <c r="ID103" i="16"/>
  <c r="ID85" i="16"/>
  <c r="ID66" i="16"/>
  <c r="ID104" i="16"/>
  <c r="ID86" i="16"/>
  <c r="ID67" i="16"/>
  <c r="ID93" i="16"/>
  <c r="ID73" i="16"/>
  <c r="ID68" i="16"/>
  <c r="ID94" i="16"/>
  <c r="ID74" i="16"/>
  <c r="ID69" i="16"/>
  <c r="ID95" i="16"/>
  <c r="ID75" i="16"/>
  <c r="ID64" i="16"/>
  <c r="ID96" i="16"/>
  <c r="ID84" i="16"/>
  <c r="ID76" i="16"/>
  <c r="ID65" i="16"/>
  <c r="ID88" i="16"/>
  <c r="ID102" i="16"/>
  <c r="IS88" i="16"/>
  <c r="IS64" i="16"/>
  <c r="IS102" i="16"/>
  <c r="IS84" i="16"/>
  <c r="IS65" i="16"/>
  <c r="IS103" i="16"/>
  <c r="IS85" i="16"/>
  <c r="IS66" i="16"/>
  <c r="IS104" i="16"/>
  <c r="IS86" i="16"/>
  <c r="IS67" i="16"/>
  <c r="IS93" i="16"/>
  <c r="IS73" i="16"/>
  <c r="IS68" i="16"/>
  <c r="IS95" i="16"/>
  <c r="IS69" i="16"/>
  <c r="IS75" i="16"/>
  <c r="IS94" i="16"/>
  <c r="IS96" i="16"/>
  <c r="IS74" i="16"/>
  <c r="IS76" i="16"/>
  <c r="JA88" i="16"/>
  <c r="JA64" i="16"/>
  <c r="JA102" i="16"/>
  <c r="JA84" i="16"/>
  <c r="JA65" i="16"/>
  <c r="JA103" i="16"/>
  <c r="JA85" i="16"/>
  <c r="JA66" i="16"/>
  <c r="JA104" i="16"/>
  <c r="JA86" i="16"/>
  <c r="JA67" i="16"/>
  <c r="JA93" i="16"/>
  <c r="JA73" i="16"/>
  <c r="JA68" i="16"/>
  <c r="JA74" i="16"/>
  <c r="JA76" i="16"/>
  <c r="JA95" i="16"/>
  <c r="JA69" i="16"/>
  <c r="JA75" i="16"/>
  <c r="JA94" i="16"/>
  <c r="JA96" i="16"/>
  <c r="JP94" i="16"/>
  <c r="JP74" i="16"/>
  <c r="JP95" i="16"/>
  <c r="JP75" i="16"/>
  <c r="JP96" i="16"/>
  <c r="JP76" i="16"/>
  <c r="JP88" i="16"/>
  <c r="JP64" i="16"/>
  <c r="JP102" i="16"/>
  <c r="JP84" i="16"/>
  <c r="JP65" i="16"/>
  <c r="JP103" i="16"/>
  <c r="JP85" i="16"/>
  <c r="JP66" i="16"/>
  <c r="JP86" i="16"/>
  <c r="JP93" i="16"/>
  <c r="JP73" i="16"/>
  <c r="JP68" i="16"/>
  <c r="JP104" i="16"/>
  <c r="JP67" i="16"/>
  <c r="JP69" i="16"/>
  <c r="KE104" i="16"/>
  <c r="KE86" i="16"/>
  <c r="KE67" i="16"/>
  <c r="KE93" i="16"/>
  <c r="KE73" i="16"/>
  <c r="KE68" i="16"/>
  <c r="KE94" i="16"/>
  <c r="KE74" i="16"/>
  <c r="KE69" i="16"/>
  <c r="KE95" i="16"/>
  <c r="KE75" i="16"/>
  <c r="KE96" i="16"/>
  <c r="KE76" i="16"/>
  <c r="KE88" i="16"/>
  <c r="KE64" i="16"/>
  <c r="KE66" i="16"/>
  <c r="KE102" i="16"/>
  <c r="KE84" i="16"/>
  <c r="KE103" i="16"/>
  <c r="KE65" i="16"/>
  <c r="KE85" i="16"/>
  <c r="KT102" i="16"/>
  <c r="KT84" i="16"/>
  <c r="KT65" i="16"/>
  <c r="KT104" i="16"/>
  <c r="KT86" i="16"/>
  <c r="KT67" i="16"/>
  <c r="KT93" i="16"/>
  <c r="KT73" i="16"/>
  <c r="KT94" i="16"/>
  <c r="KT74" i="16"/>
  <c r="KT85" i="16"/>
  <c r="KT75" i="16"/>
  <c r="KT96" i="16"/>
  <c r="KT64" i="16"/>
  <c r="KT68" i="16"/>
  <c r="KT103" i="16"/>
  <c r="KT66" i="16"/>
  <c r="KT69" i="16"/>
  <c r="KT95" i="16"/>
  <c r="KT76" i="16"/>
  <c r="KT88" i="16"/>
  <c r="LI96" i="16"/>
  <c r="LI76" i="16"/>
  <c r="LI88" i="16"/>
  <c r="LI64" i="16"/>
  <c r="LI102" i="16"/>
  <c r="LI84" i="16"/>
  <c r="LI65" i="16"/>
  <c r="LI103" i="16"/>
  <c r="LI85" i="16"/>
  <c r="LI66" i="16"/>
  <c r="LI104" i="16"/>
  <c r="LI86" i="16"/>
  <c r="LI67" i="16"/>
  <c r="LI94" i="16"/>
  <c r="LI69" i="16"/>
  <c r="LI74" i="16"/>
  <c r="LI93" i="16"/>
  <c r="LI95" i="16"/>
  <c r="LI68" i="16"/>
  <c r="LI73" i="16"/>
  <c r="LI75" i="16"/>
  <c r="LX94" i="16"/>
  <c r="LX74" i="16"/>
  <c r="LX69" i="16"/>
  <c r="LX95" i="16"/>
  <c r="LX75" i="16"/>
  <c r="LX96" i="16"/>
  <c r="LX76" i="16"/>
  <c r="LX88" i="16"/>
  <c r="LX64" i="16"/>
  <c r="LX102" i="16"/>
  <c r="LX84" i="16"/>
  <c r="LX65" i="16"/>
  <c r="LX104" i="16"/>
  <c r="LX67" i="16"/>
  <c r="LX85" i="16"/>
  <c r="LX73" i="16"/>
  <c r="LX93" i="16"/>
  <c r="LX66" i="16"/>
  <c r="LX68" i="16"/>
  <c r="LX103" i="16"/>
  <c r="LX86" i="16"/>
  <c r="MM103" i="16"/>
  <c r="MM104" i="16"/>
  <c r="MM86" i="16"/>
  <c r="MM67" i="16"/>
  <c r="MM93" i="16"/>
  <c r="MM73" i="16"/>
  <c r="MM68" i="16"/>
  <c r="MM94" i="16"/>
  <c r="MM74" i="16"/>
  <c r="MM69" i="16"/>
  <c r="MM95" i="16"/>
  <c r="MM75" i="16"/>
  <c r="MM96" i="16"/>
  <c r="MM76" i="16"/>
  <c r="MM88" i="16"/>
  <c r="MM64" i="16"/>
  <c r="MM102" i="16"/>
  <c r="MM84" i="16"/>
  <c r="MM65" i="16"/>
  <c r="MM85" i="16"/>
  <c r="MM66" i="16"/>
  <c r="NB88" i="16"/>
  <c r="NB64" i="16"/>
  <c r="NB102" i="16"/>
  <c r="NB84" i="16"/>
  <c r="NB65" i="16"/>
  <c r="NB103" i="16"/>
  <c r="NB85" i="16"/>
  <c r="NB66" i="16"/>
  <c r="NB104" i="16"/>
  <c r="NB86" i="16"/>
  <c r="NB67" i="16"/>
  <c r="NB93" i="16"/>
  <c r="NB73" i="16"/>
  <c r="NB68" i="16"/>
  <c r="NB94" i="16"/>
  <c r="NB74" i="16"/>
  <c r="NB69" i="16"/>
  <c r="NB95" i="16"/>
  <c r="NB75" i="16"/>
  <c r="NB96" i="16"/>
  <c r="NB76" i="16"/>
  <c r="NQ95" i="16"/>
  <c r="NQ75" i="16"/>
  <c r="NQ96" i="16"/>
  <c r="NQ76" i="16"/>
  <c r="NQ88" i="16"/>
  <c r="NQ64" i="16"/>
  <c r="NQ102" i="16"/>
  <c r="NQ84" i="16"/>
  <c r="NQ65" i="16"/>
  <c r="NQ103" i="16"/>
  <c r="NQ85" i="16"/>
  <c r="NQ66" i="16"/>
  <c r="NQ104" i="16"/>
  <c r="NQ86" i="16"/>
  <c r="NQ67" i="16"/>
  <c r="NQ93" i="16"/>
  <c r="NQ73" i="16"/>
  <c r="NQ68" i="16"/>
  <c r="NQ94" i="16"/>
  <c r="NQ74" i="16"/>
  <c r="NQ69" i="16"/>
  <c r="NY95" i="16"/>
  <c r="NY75" i="16"/>
  <c r="NY96" i="16"/>
  <c r="NY76" i="16"/>
  <c r="NY88" i="16"/>
  <c r="NY64" i="16"/>
  <c r="NY102" i="16"/>
  <c r="NY84" i="16"/>
  <c r="NY65" i="16"/>
  <c r="NY103" i="16"/>
  <c r="NY85" i="16"/>
  <c r="NY66" i="16"/>
  <c r="NY104" i="16"/>
  <c r="NY86" i="16"/>
  <c r="NY67" i="16"/>
  <c r="NY93" i="16"/>
  <c r="NY73" i="16"/>
  <c r="NY68" i="16"/>
  <c r="NY94" i="16"/>
  <c r="NY74" i="16"/>
  <c r="NY69" i="16"/>
  <c r="ON95" i="16"/>
  <c r="ON75" i="16"/>
  <c r="ON96" i="16"/>
  <c r="ON102" i="16"/>
  <c r="ON103" i="16"/>
  <c r="ON85" i="16"/>
  <c r="ON68" i="16"/>
  <c r="ON84" i="16"/>
  <c r="ON69" i="16"/>
  <c r="ON94" i="16"/>
  <c r="ON88" i="16"/>
  <c r="ON76" i="16"/>
  <c r="ON64" i="16"/>
  <c r="ON93" i="16"/>
  <c r="ON74" i="16"/>
  <c r="ON65" i="16"/>
  <c r="ON73" i="16"/>
  <c r="ON66" i="16"/>
  <c r="ON104" i="16"/>
  <c r="ON86" i="16"/>
  <c r="ON67" i="16"/>
  <c r="BM86" i="16"/>
  <c r="BY67" i="16"/>
  <c r="CG86" i="16"/>
  <c r="CB88" i="16"/>
  <c r="EC67" i="16"/>
  <c r="DU102" i="16"/>
  <c r="ER96" i="16"/>
  <c r="DU67" i="16"/>
  <c r="FG96" i="16"/>
  <c r="BY86" i="16"/>
  <c r="CV65" i="16"/>
  <c r="CQ75" i="16"/>
  <c r="EC84" i="16"/>
  <c r="EO66" i="16"/>
  <c r="BM104" i="16"/>
  <c r="CB65" i="16"/>
  <c r="DF74" i="16"/>
  <c r="BM85" i="16"/>
  <c r="CQ95" i="16"/>
  <c r="DF68" i="16"/>
  <c r="FV69" i="16"/>
  <c r="BJ96" i="16"/>
  <c r="BJ76" i="16"/>
  <c r="BJ88" i="16"/>
  <c r="BJ64" i="16"/>
  <c r="BJ102" i="16"/>
  <c r="BJ84" i="16"/>
  <c r="BJ65" i="16"/>
  <c r="BJ103" i="16"/>
  <c r="BJ85" i="16"/>
  <c r="BJ66" i="16"/>
  <c r="BJ104" i="16"/>
  <c r="BJ86" i="16"/>
  <c r="BJ67" i="16"/>
  <c r="BJ93" i="16"/>
  <c r="BJ73" i="16"/>
  <c r="BJ68" i="16"/>
  <c r="BY94" i="16"/>
  <c r="BY74" i="16"/>
  <c r="BY69" i="16"/>
  <c r="BY95" i="16"/>
  <c r="BY75" i="16"/>
  <c r="BY96" i="16"/>
  <c r="BY76" i="16"/>
  <c r="BY88" i="16"/>
  <c r="BY64" i="16"/>
  <c r="BY102" i="16"/>
  <c r="BY84" i="16"/>
  <c r="BY65" i="16"/>
  <c r="BY103" i="16"/>
  <c r="BY85" i="16"/>
  <c r="BY66" i="16"/>
  <c r="CG94" i="16"/>
  <c r="CG74" i="16"/>
  <c r="CG69" i="16"/>
  <c r="CG95" i="16"/>
  <c r="CG75" i="16"/>
  <c r="CG96" i="16"/>
  <c r="CG76" i="16"/>
  <c r="CG88" i="16"/>
  <c r="CG64" i="16"/>
  <c r="CG102" i="16"/>
  <c r="CG84" i="16"/>
  <c r="CG65" i="16"/>
  <c r="CG103" i="16"/>
  <c r="CG85" i="16"/>
  <c r="CG66" i="16"/>
  <c r="CV104" i="16"/>
  <c r="CV86" i="16"/>
  <c r="CV67" i="16"/>
  <c r="CV93" i="16"/>
  <c r="CV73" i="16"/>
  <c r="CV68" i="16"/>
  <c r="CV94" i="16"/>
  <c r="CV74" i="16"/>
  <c r="CV69" i="16"/>
  <c r="CV95" i="16"/>
  <c r="CV75" i="16"/>
  <c r="CV96" i="16"/>
  <c r="CV76" i="16"/>
  <c r="CV88" i="16"/>
  <c r="CV64" i="16"/>
  <c r="DK102" i="16"/>
  <c r="DK84" i="16"/>
  <c r="DK65" i="16"/>
  <c r="DK103" i="16"/>
  <c r="DK85" i="16"/>
  <c r="DK66" i="16"/>
  <c r="DK104" i="16"/>
  <c r="DK86" i="16"/>
  <c r="DK67" i="16"/>
  <c r="DK93" i="16"/>
  <c r="DK73" i="16"/>
  <c r="DK68" i="16"/>
  <c r="DK94" i="16"/>
  <c r="DK74" i="16"/>
  <c r="DK69" i="16"/>
  <c r="DK95" i="16"/>
  <c r="DK75" i="16"/>
  <c r="DZ88" i="16"/>
  <c r="DZ102" i="16"/>
  <c r="DZ84" i="16"/>
  <c r="DZ103" i="16"/>
  <c r="DZ85" i="16"/>
  <c r="DZ86" i="16"/>
  <c r="DZ76" i="16"/>
  <c r="DZ93" i="16"/>
  <c r="DZ64" i="16"/>
  <c r="DZ75" i="16"/>
  <c r="DZ65" i="16"/>
  <c r="DZ104" i="16"/>
  <c r="DZ96" i="16"/>
  <c r="DZ66" i="16"/>
  <c r="DZ74" i="16"/>
  <c r="DZ67" i="16"/>
  <c r="DZ95" i="16"/>
  <c r="DZ68" i="16"/>
  <c r="DZ73" i="16"/>
  <c r="DZ69" i="16"/>
  <c r="EO95" i="16"/>
  <c r="EO75" i="16"/>
  <c r="EO96" i="16"/>
  <c r="EO76" i="16"/>
  <c r="EO88" i="16"/>
  <c r="EO64" i="16"/>
  <c r="EO102" i="16"/>
  <c r="EO84" i="16"/>
  <c r="EO65" i="16"/>
  <c r="EO103" i="16"/>
  <c r="EO86" i="16"/>
  <c r="EO68" i="16"/>
  <c r="EO74" i="16"/>
  <c r="EO93" i="16"/>
  <c r="EO85" i="16"/>
  <c r="EO67" i="16"/>
  <c r="EO73" i="16"/>
  <c r="EO69" i="16"/>
  <c r="FD93" i="16"/>
  <c r="FD73" i="16"/>
  <c r="FD68" i="16"/>
  <c r="FD94" i="16"/>
  <c r="FD74" i="16"/>
  <c r="FD69" i="16"/>
  <c r="FD95" i="16"/>
  <c r="FD75" i="16"/>
  <c r="FD96" i="16"/>
  <c r="FD76" i="16"/>
  <c r="FD88" i="16"/>
  <c r="FD64" i="16"/>
  <c r="FD85" i="16"/>
  <c r="FD102" i="16"/>
  <c r="FD104" i="16"/>
  <c r="FD66" i="16"/>
  <c r="FD84" i="16"/>
  <c r="FD86" i="16"/>
  <c r="FD103" i="16"/>
  <c r="FS102" i="16"/>
  <c r="FS103" i="16"/>
  <c r="FS85" i="16"/>
  <c r="FS66" i="16"/>
  <c r="FS104" i="16"/>
  <c r="FS86" i="16"/>
  <c r="FS67" i="16"/>
  <c r="FS93" i="16"/>
  <c r="FS73" i="16"/>
  <c r="FS68" i="16"/>
  <c r="FS94" i="16"/>
  <c r="FS74" i="16"/>
  <c r="FS69" i="16"/>
  <c r="FS95" i="16"/>
  <c r="FS75" i="16"/>
  <c r="FS76" i="16"/>
  <c r="FS65" i="16"/>
  <c r="FS88" i="16"/>
  <c r="FS64" i="16"/>
  <c r="FS96" i="16"/>
  <c r="FS84" i="16"/>
  <c r="GH96" i="16"/>
  <c r="GH76" i="16"/>
  <c r="GH88" i="16"/>
  <c r="GH64" i="16"/>
  <c r="GH102" i="16"/>
  <c r="GH84" i="16"/>
  <c r="GH65" i="16"/>
  <c r="GH103" i="16"/>
  <c r="GH85" i="16"/>
  <c r="GH66" i="16"/>
  <c r="GH104" i="16"/>
  <c r="GH86" i="16"/>
  <c r="GH67" i="16"/>
  <c r="GH93" i="16"/>
  <c r="GH73" i="16"/>
  <c r="GH68" i="16"/>
  <c r="GH69" i="16"/>
  <c r="GH75" i="16"/>
  <c r="GH94" i="16"/>
  <c r="GH74" i="16"/>
  <c r="GW102" i="16"/>
  <c r="GW84" i="16"/>
  <c r="GW65" i="16"/>
  <c r="GW103" i="16"/>
  <c r="GW85" i="16"/>
  <c r="GW104" i="16"/>
  <c r="GW86" i="16"/>
  <c r="GW93" i="16"/>
  <c r="GW73" i="16"/>
  <c r="GW94" i="16"/>
  <c r="GW74" i="16"/>
  <c r="GW96" i="16"/>
  <c r="GW69" i="16"/>
  <c r="GW76" i="16"/>
  <c r="GW95" i="16"/>
  <c r="GW88" i="16"/>
  <c r="GW64" i="16"/>
  <c r="GW66" i="16"/>
  <c r="GW67" i="16"/>
  <c r="GW75" i="16"/>
  <c r="HE102" i="16"/>
  <c r="HE84" i="16"/>
  <c r="HE65" i="16"/>
  <c r="HE103" i="16"/>
  <c r="HE85" i="16"/>
  <c r="HE104" i="16"/>
  <c r="HE86" i="16"/>
  <c r="HE93" i="16"/>
  <c r="HE73" i="16"/>
  <c r="HE94" i="16"/>
  <c r="HE74" i="16"/>
  <c r="HE69" i="16"/>
  <c r="HE75" i="16"/>
  <c r="HE64" i="16"/>
  <c r="HE96" i="16"/>
  <c r="HE66" i="16"/>
  <c r="HE76" i="16"/>
  <c r="HE95" i="16"/>
  <c r="HE68" i="16"/>
  <c r="HE88" i="16"/>
  <c r="HE67" i="16"/>
  <c r="HT96" i="16"/>
  <c r="HT76" i="16"/>
  <c r="HT88" i="16"/>
  <c r="HT64" i="16"/>
  <c r="HT102" i="16"/>
  <c r="HT84" i="16"/>
  <c r="HT65" i="16"/>
  <c r="HT103" i="16"/>
  <c r="HT85" i="16"/>
  <c r="HT66" i="16"/>
  <c r="HT104" i="16"/>
  <c r="HT86" i="16"/>
  <c r="HT67" i="16"/>
  <c r="HT74" i="16"/>
  <c r="HT93" i="16"/>
  <c r="HT95" i="16"/>
  <c r="HT69" i="16"/>
  <c r="HT73" i="16"/>
  <c r="HT75" i="16"/>
  <c r="HT94" i="16"/>
  <c r="HT68" i="16"/>
  <c r="II94" i="16"/>
  <c r="II74" i="16"/>
  <c r="II69" i="16"/>
  <c r="II95" i="16"/>
  <c r="II75" i="16"/>
  <c r="II96" i="16"/>
  <c r="II76" i="16"/>
  <c r="II88" i="16"/>
  <c r="II64" i="16"/>
  <c r="II102" i="16"/>
  <c r="II84" i="16"/>
  <c r="II65" i="16"/>
  <c r="II66" i="16"/>
  <c r="II68" i="16"/>
  <c r="II86" i="16"/>
  <c r="II103" i="16"/>
  <c r="II93" i="16"/>
  <c r="II67" i="16"/>
  <c r="II85" i="16"/>
  <c r="II73" i="16"/>
  <c r="II104" i="16"/>
  <c r="IX104" i="16"/>
  <c r="IX86" i="16"/>
  <c r="IX67" i="16"/>
  <c r="IX93" i="16"/>
  <c r="IX73" i="16"/>
  <c r="IX68" i="16"/>
  <c r="IX94" i="16"/>
  <c r="IX74" i="16"/>
  <c r="IX69" i="16"/>
  <c r="IX95" i="16"/>
  <c r="IX75" i="16"/>
  <c r="IX96" i="16"/>
  <c r="IX76" i="16"/>
  <c r="IX88" i="16"/>
  <c r="IX85" i="16"/>
  <c r="IX102" i="16"/>
  <c r="IX64" i="16"/>
  <c r="IX66" i="16"/>
  <c r="IX84" i="16"/>
  <c r="IX103" i="16"/>
  <c r="IX65" i="16"/>
  <c r="JM88" i="16"/>
  <c r="JM102" i="16"/>
  <c r="JM84" i="16"/>
  <c r="JM65" i="16"/>
  <c r="JM103" i="16"/>
  <c r="JM85" i="16"/>
  <c r="JM66" i="16"/>
  <c r="JM104" i="16"/>
  <c r="JM86" i="16"/>
  <c r="JM67" i="16"/>
  <c r="JM93" i="16"/>
  <c r="JM73" i="16"/>
  <c r="JM68" i="16"/>
  <c r="JM94" i="16"/>
  <c r="JM74" i="16"/>
  <c r="JM69" i="16"/>
  <c r="JM76" i="16"/>
  <c r="JM95" i="16"/>
  <c r="JM64" i="16"/>
  <c r="JM75" i="16"/>
  <c r="JM96" i="16"/>
  <c r="KB95" i="16"/>
  <c r="KB75" i="16"/>
  <c r="KB96" i="16"/>
  <c r="KB76" i="16"/>
  <c r="KB88" i="16"/>
  <c r="KB64" i="16"/>
  <c r="KB102" i="16"/>
  <c r="KB84" i="16"/>
  <c r="KB65" i="16"/>
  <c r="KB103" i="16"/>
  <c r="KB85" i="16"/>
  <c r="KB66" i="16"/>
  <c r="KB104" i="16"/>
  <c r="KB86" i="16"/>
  <c r="KB67" i="16"/>
  <c r="KB93" i="16"/>
  <c r="KB73" i="16"/>
  <c r="KB94" i="16"/>
  <c r="KB68" i="16"/>
  <c r="KB74" i="16"/>
  <c r="KB69" i="16"/>
  <c r="KQ93" i="16"/>
  <c r="KQ73" i="16"/>
  <c r="KQ95" i="16"/>
  <c r="KQ75" i="16"/>
  <c r="KQ96" i="16"/>
  <c r="KQ76" i="16"/>
  <c r="KQ88" i="16"/>
  <c r="KQ64" i="16"/>
  <c r="KQ94" i="16"/>
  <c r="KQ67" i="16"/>
  <c r="KQ68" i="16"/>
  <c r="KQ84" i="16"/>
  <c r="KQ69" i="16"/>
  <c r="KQ103" i="16"/>
  <c r="KQ66" i="16"/>
  <c r="KQ86" i="16"/>
  <c r="KQ74" i="16"/>
  <c r="KQ102" i="16"/>
  <c r="KQ65" i="16"/>
  <c r="KQ85" i="16"/>
  <c r="KQ104" i="16"/>
  <c r="LF103" i="16"/>
  <c r="LF85" i="16"/>
  <c r="LF66" i="16"/>
  <c r="LF104" i="16"/>
  <c r="LF86" i="16"/>
  <c r="LF93" i="16"/>
  <c r="LF73" i="16"/>
  <c r="LF68" i="16"/>
  <c r="LF94" i="16"/>
  <c r="LF74" i="16"/>
  <c r="LF69" i="16"/>
  <c r="LF95" i="16"/>
  <c r="LF75" i="16"/>
  <c r="LF76" i="16"/>
  <c r="LF65" i="16"/>
  <c r="LF67" i="16"/>
  <c r="LF88" i="16"/>
  <c r="LF102" i="16"/>
  <c r="LF64" i="16"/>
  <c r="LF96" i="16"/>
  <c r="LF84" i="16"/>
  <c r="LU88" i="16"/>
  <c r="LU64" i="16"/>
  <c r="LU102" i="16"/>
  <c r="LU84" i="16"/>
  <c r="LU65" i="16"/>
  <c r="LU103" i="16"/>
  <c r="LU85" i="16"/>
  <c r="LU66" i="16"/>
  <c r="LU104" i="16"/>
  <c r="LU86" i="16"/>
  <c r="LU67" i="16"/>
  <c r="LU93" i="16"/>
  <c r="LU73" i="16"/>
  <c r="LU68" i="16"/>
  <c r="LU95" i="16"/>
  <c r="LU96" i="16"/>
  <c r="LU74" i="16"/>
  <c r="LU76" i="16"/>
  <c r="LU94" i="16"/>
  <c r="LU69" i="16"/>
  <c r="LU75" i="16"/>
  <c r="MC88" i="16"/>
  <c r="MC64" i="16"/>
  <c r="MC102" i="16"/>
  <c r="MC84" i="16"/>
  <c r="MC65" i="16"/>
  <c r="MC103" i="16"/>
  <c r="MC85" i="16"/>
  <c r="MC66" i="16"/>
  <c r="MC104" i="16"/>
  <c r="MC86" i="16"/>
  <c r="MC67" i="16"/>
  <c r="MC93" i="16"/>
  <c r="MC73" i="16"/>
  <c r="MC68" i="16"/>
  <c r="MC95" i="16"/>
  <c r="MC69" i="16"/>
  <c r="MC75" i="16"/>
  <c r="MC96" i="16"/>
  <c r="MC94" i="16"/>
  <c r="MC74" i="16"/>
  <c r="MC76" i="16"/>
  <c r="MR94" i="16"/>
  <c r="MR95" i="16"/>
  <c r="MR75" i="16"/>
  <c r="MR96" i="16"/>
  <c r="MR76" i="16"/>
  <c r="MR88" i="16"/>
  <c r="MR64" i="16"/>
  <c r="MR102" i="16"/>
  <c r="MR84" i="16"/>
  <c r="MR65" i="16"/>
  <c r="MR103" i="16"/>
  <c r="MR85" i="16"/>
  <c r="MR66" i="16"/>
  <c r="MR104" i="16"/>
  <c r="MR86" i="16"/>
  <c r="MR93" i="16"/>
  <c r="MR73" i="16"/>
  <c r="MR68" i="16"/>
  <c r="MR69" i="16"/>
  <c r="MR67" i="16"/>
  <c r="MR74" i="16"/>
  <c r="NG104" i="16"/>
  <c r="NG86" i="16"/>
  <c r="NG67" i="16"/>
  <c r="NG93" i="16"/>
  <c r="NG73" i="16"/>
  <c r="NG68" i="16"/>
  <c r="NG94" i="16"/>
  <c r="NG74" i="16"/>
  <c r="NG69" i="16"/>
  <c r="NG95" i="16"/>
  <c r="NG75" i="16"/>
  <c r="NG96" i="16"/>
  <c r="NG76" i="16"/>
  <c r="NG88" i="16"/>
  <c r="NG64" i="16"/>
  <c r="NG102" i="16"/>
  <c r="NG84" i="16"/>
  <c r="NG65" i="16"/>
  <c r="NG103" i="16"/>
  <c r="NG85" i="16"/>
  <c r="NG66" i="16"/>
  <c r="NV102" i="16"/>
  <c r="NV84" i="16"/>
  <c r="NV65" i="16"/>
  <c r="NV103" i="16"/>
  <c r="NV85" i="16"/>
  <c r="NV66" i="16"/>
  <c r="NV104" i="16"/>
  <c r="NV86" i="16"/>
  <c r="NV67" i="16"/>
  <c r="NV93" i="16"/>
  <c r="NV73" i="16"/>
  <c r="NV68" i="16"/>
  <c r="NV94" i="16"/>
  <c r="NV74" i="16"/>
  <c r="NV69" i="16"/>
  <c r="NV95" i="16"/>
  <c r="NV75" i="16"/>
  <c r="NV96" i="16"/>
  <c r="NV76" i="16"/>
  <c r="NV88" i="16"/>
  <c r="NV64" i="16"/>
  <c r="OK102" i="16"/>
  <c r="OK84" i="16"/>
  <c r="OK103" i="16"/>
  <c r="OK85" i="16"/>
  <c r="OK94" i="16"/>
  <c r="OK76" i="16"/>
  <c r="OK75" i="16"/>
  <c r="OK64" i="16"/>
  <c r="OK88" i="16"/>
  <c r="OK74" i="16"/>
  <c r="OK65" i="16"/>
  <c r="OK93" i="16"/>
  <c r="OK73" i="16"/>
  <c r="OK66" i="16"/>
  <c r="OK96" i="16"/>
  <c r="OK86" i="16"/>
  <c r="OK67" i="16"/>
  <c r="OK104" i="16"/>
  <c r="OK68" i="16"/>
  <c r="OK95" i="16"/>
  <c r="OK69" i="16"/>
  <c r="BM66" i="16"/>
  <c r="BJ95" i="16"/>
  <c r="BY68" i="16"/>
  <c r="CG73" i="16"/>
  <c r="CB84" i="16"/>
  <c r="DK88" i="16"/>
  <c r="DF94" i="16"/>
  <c r="DZ94" i="16"/>
  <c r="FD65" i="16"/>
  <c r="EB67" i="16"/>
  <c r="DX76" i="16"/>
  <c r="EB74" i="16"/>
  <c r="EB84" i="16"/>
  <c r="DW88" i="16"/>
  <c r="EA95" i="16"/>
  <c r="DY94" i="16"/>
  <c r="EQ67" i="16"/>
  <c r="EN75" i="16"/>
  <c r="EP73" i="16"/>
  <c r="EM96" i="16"/>
  <c r="EN94" i="16"/>
  <c r="FC67" i="16"/>
  <c r="FB73" i="16"/>
  <c r="FF84" i="16"/>
  <c r="FF96" i="16"/>
  <c r="FE103" i="16"/>
  <c r="FU69" i="16"/>
  <c r="FT64" i="16"/>
  <c r="FT75" i="16"/>
  <c r="FR103" i="16"/>
  <c r="GI68" i="16"/>
  <c r="HM93" i="16"/>
  <c r="DW104" i="16"/>
  <c r="DW86" i="16"/>
  <c r="DW93" i="16"/>
  <c r="DW73" i="16"/>
  <c r="DW94" i="16"/>
  <c r="DW74" i="16"/>
  <c r="EL102" i="16"/>
  <c r="EL84" i="16"/>
  <c r="EL65" i="16"/>
  <c r="EL103" i="16"/>
  <c r="EL85" i="16"/>
  <c r="EL66" i="16"/>
  <c r="EL104" i="16"/>
  <c r="EL86" i="16"/>
  <c r="EL67" i="16"/>
  <c r="EL93" i="16"/>
  <c r="EL73" i="16"/>
  <c r="EL68" i="16"/>
  <c r="EL94" i="16"/>
  <c r="FA96" i="16"/>
  <c r="FA76" i="16"/>
  <c r="FA88" i="16"/>
  <c r="FA64" i="16"/>
  <c r="FA102" i="16"/>
  <c r="FA84" i="16"/>
  <c r="FA65" i="16"/>
  <c r="FA103" i="16"/>
  <c r="FA85" i="16"/>
  <c r="FA66" i="16"/>
  <c r="FA104" i="16"/>
  <c r="FA86" i="16"/>
  <c r="FA67" i="16"/>
  <c r="FI96" i="16"/>
  <c r="FI76" i="16"/>
  <c r="FI88" i="16"/>
  <c r="FI64" i="16"/>
  <c r="FI102" i="16"/>
  <c r="FI84" i="16"/>
  <c r="FI65" i="16"/>
  <c r="FI103" i="16"/>
  <c r="FI85" i="16"/>
  <c r="FI66" i="16"/>
  <c r="FI104" i="16"/>
  <c r="FI86" i="16"/>
  <c r="FI67" i="16"/>
  <c r="FX94" i="16"/>
  <c r="FX74" i="16"/>
  <c r="FX69" i="16"/>
  <c r="FX95" i="16"/>
  <c r="FX75" i="16"/>
  <c r="FX96" i="16"/>
  <c r="FX76" i="16"/>
  <c r="FX88" i="16"/>
  <c r="FX64" i="16"/>
  <c r="FX102" i="16"/>
  <c r="FX84" i="16"/>
  <c r="FX65" i="16"/>
  <c r="GM103" i="16"/>
  <c r="GM85" i="16"/>
  <c r="GM66" i="16"/>
  <c r="GM104" i="16"/>
  <c r="GM86" i="16"/>
  <c r="GM67" i="16"/>
  <c r="GM93" i="16"/>
  <c r="GM73" i="16"/>
  <c r="GM68" i="16"/>
  <c r="GM94" i="16"/>
  <c r="GM74" i="16"/>
  <c r="GM69" i="16"/>
  <c r="GM95" i="16"/>
  <c r="GM75" i="16"/>
  <c r="GM96" i="16"/>
  <c r="GM76" i="16"/>
  <c r="HB93" i="16"/>
  <c r="HB73" i="16"/>
  <c r="HB94" i="16"/>
  <c r="HB74" i="16"/>
  <c r="HB95" i="16"/>
  <c r="HB75" i="16"/>
  <c r="HB96" i="16"/>
  <c r="HB76" i="16"/>
  <c r="HB88" i="16"/>
  <c r="HB64" i="16"/>
  <c r="HB84" i="16"/>
  <c r="HB86" i="16"/>
  <c r="HB103" i="16"/>
  <c r="HB66" i="16"/>
  <c r="HB65" i="16"/>
  <c r="HB67" i="16"/>
  <c r="HB85" i="16"/>
  <c r="HB68" i="16"/>
  <c r="HB102" i="16"/>
  <c r="HB104" i="16"/>
  <c r="HB69" i="16"/>
  <c r="HQ103" i="16"/>
  <c r="HQ85" i="16"/>
  <c r="HQ66" i="16"/>
  <c r="HQ104" i="16"/>
  <c r="HQ86" i="16"/>
  <c r="HQ67" i="16"/>
  <c r="HQ93" i="16"/>
  <c r="HQ73" i="16"/>
  <c r="HQ68" i="16"/>
  <c r="HQ94" i="16"/>
  <c r="HQ74" i="16"/>
  <c r="HQ69" i="16"/>
  <c r="HQ95" i="16"/>
  <c r="HQ75" i="16"/>
  <c r="HQ64" i="16"/>
  <c r="HQ96" i="16"/>
  <c r="HQ84" i="16"/>
  <c r="HQ76" i="16"/>
  <c r="HQ65" i="16"/>
  <c r="IF88" i="16"/>
  <c r="IF64" i="16"/>
  <c r="IF102" i="16"/>
  <c r="IF84" i="16"/>
  <c r="IF65" i="16"/>
  <c r="IF103" i="16"/>
  <c r="IF85" i="16"/>
  <c r="IF66" i="16"/>
  <c r="IF104" i="16"/>
  <c r="IF86" i="16"/>
  <c r="IF67" i="16"/>
  <c r="IF93" i="16"/>
  <c r="IF73" i="16"/>
  <c r="IF68" i="16"/>
  <c r="IF95" i="16"/>
  <c r="IF69" i="16"/>
  <c r="IF75" i="16"/>
  <c r="IF94" i="16"/>
  <c r="IF96" i="16"/>
  <c r="IU95" i="16"/>
  <c r="IU75" i="16"/>
  <c r="IU96" i="16"/>
  <c r="IU76" i="16"/>
  <c r="IU88" i="16"/>
  <c r="IU64" i="16"/>
  <c r="IU102" i="16"/>
  <c r="IU84" i="16"/>
  <c r="IU65" i="16"/>
  <c r="IU103" i="16"/>
  <c r="IU85" i="16"/>
  <c r="IU66" i="16"/>
  <c r="IU68" i="16"/>
  <c r="IU86" i="16"/>
  <c r="IU74" i="16"/>
  <c r="IU93" i="16"/>
  <c r="IU67" i="16"/>
  <c r="IU69" i="16"/>
  <c r="IU73" i="16"/>
  <c r="IU104" i="16"/>
  <c r="IU94" i="16"/>
  <c r="JJ104" i="16"/>
  <c r="JJ86" i="16"/>
  <c r="JJ93" i="16"/>
  <c r="JJ73" i="16"/>
  <c r="JJ68" i="16"/>
  <c r="JJ94" i="16"/>
  <c r="JJ74" i="16"/>
  <c r="JJ69" i="16"/>
  <c r="JJ95" i="16"/>
  <c r="JJ75" i="16"/>
  <c r="JJ96" i="16"/>
  <c r="JJ76" i="16"/>
  <c r="JJ88" i="16"/>
  <c r="JJ64" i="16"/>
  <c r="JJ102" i="16"/>
  <c r="JJ84" i="16"/>
  <c r="JJ66" i="16"/>
  <c r="JJ103" i="16"/>
  <c r="JJ85" i="16"/>
  <c r="JJ65" i="16"/>
  <c r="JJ67" i="16"/>
  <c r="JY102" i="16"/>
  <c r="JY84" i="16"/>
  <c r="JY65" i="16"/>
  <c r="JY103" i="16"/>
  <c r="JY85" i="16"/>
  <c r="JY66" i="16"/>
  <c r="JY104" i="16"/>
  <c r="JY86" i="16"/>
  <c r="JY67" i="16"/>
  <c r="JY93" i="16"/>
  <c r="JY73" i="16"/>
  <c r="JY68" i="16"/>
  <c r="JY94" i="16"/>
  <c r="JY74" i="16"/>
  <c r="JY69" i="16"/>
  <c r="JY95" i="16"/>
  <c r="JY75" i="16"/>
  <c r="JY76" i="16"/>
  <c r="JY88" i="16"/>
  <c r="JY64" i="16"/>
  <c r="JY96" i="16"/>
  <c r="KG102" i="16"/>
  <c r="KG84" i="16"/>
  <c r="KG65" i="16"/>
  <c r="KG103" i="16"/>
  <c r="KG85" i="16"/>
  <c r="KG66" i="16"/>
  <c r="KG104" i="16"/>
  <c r="KG86" i="16"/>
  <c r="KG67" i="16"/>
  <c r="KG93" i="16"/>
  <c r="KG73" i="16"/>
  <c r="KG68" i="16"/>
  <c r="KG94" i="16"/>
  <c r="KG74" i="16"/>
  <c r="KG69" i="16"/>
  <c r="KG95" i="16"/>
  <c r="KG75" i="16"/>
  <c r="KG96" i="16"/>
  <c r="KG76" i="16"/>
  <c r="KG88" i="16"/>
  <c r="KG64" i="16"/>
  <c r="KV96" i="16"/>
  <c r="KV76" i="16"/>
  <c r="KV102" i="16"/>
  <c r="KV84" i="16"/>
  <c r="KV65" i="16"/>
  <c r="KV103" i="16"/>
  <c r="KV85" i="16"/>
  <c r="KV66" i="16"/>
  <c r="KV104" i="16"/>
  <c r="KV86" i="16"/>
  <c r="KV88" i="16"/>
  <c r="KV73" i="16"/>
  <c r="KV94" i="16"/>
  <c r="KV75" i="16"/>
  <c r="KV64" i="16"/>
  <c r="KV67" i="16"/>
  <c r="KV93" i="16"/>
  <c r="KV68" i="16"/>
  <c r="KV69" i="16"/>
  <c r="KV74" i="16"/>
  <c r="KV95" i="16"/>
  <c r="LK94" i="16"/>
  <c r="LK74" i="16"/>
  <c r="LK69" i="16"/>
  <c r="LK95" i="16"/>
  <c r="LK75" i="16"/>
  <c r="LK96" i="16"/>
  <c r="LK76" i="16"/>
  <c r="LK88" i="16"/>
  <c r="LK64" i="16"/>
  <c r="LK102" i="16"/>
  <c r="LK84" i="16"/>
  <c r="LK65" i="16"/>
  <c r="LK85" i="16"/>
  <c r="LK73" i="16"/>
  <c r="LK104" i="16"/>
  <c r="LK67" i="16"/>
  <c r="LK86" i="16"/>
  <c r="LK66" i="16"/>
  <c r="LK103" i="16"/>
  <c r="LK68" i="16"/>
  <c r="LK93" i="16"/>
  <c r="LZ104" i="16"/>
  <c r="LZ86" i="16"/>
  <c r="LZ67" i="16"/>
  <c r="LZ93" i="16"/>
  <c r="LZ73" i="16"/>
  <c r="LZ68" i="16"/>
  <c r="LZ94" i="16"/>
  <c r="LZ74" i="16"/>
  <c r="LZ69" i="16"/>
  <c r="LZ95" i="16"/>
  <c r="LZ75" i="16"/>
  <c r="LZ96" i="16"/>
  <c r="LZ76" i="16"/>
  <c r="LZ102" i="16"/>
  <c r="LZ65" i="16"/>
  <c r="LZ88" i="16"/>
  <c r="LZ85" i="16"/>
  <c r="LZ66" i="16"/>
  <c r="LZ84" i="16"/>
  <c r="LZ103" i="16"/>
  <c r="LZ64" i="16"/>
  <c r="MO102" i="16"/>
  <c r="MO84" i="16"/>
  <c r="MO65" i="16"/>
  <c r="MO103" i="16"/>
  <c r="MO85" i="16"/>
  <c r="MO66" i="16"/>
  <c r="MO104" i="16"/>
  <c r="MO86" i="16"/>
  <c r="MO67" i="16"/>
  <c r="MO93" i="16"/>
  <c r="MO73" i="16"/>
  <c r="MO68" i="16"/>
  <c r="MO94" i="16"/>
  <c r="MO74" i="16"/>
  <c r="MO69" i="16"/>
  <c r="MO95" i="16"/>
  <c r="MO75" i="16"/>
  <c r="MO96" i="16"/>
  <c r="MO76" i="16"/>
  <c r="MO88" i="16"/>
  <c r="MO64" i="16"/>
  <c r="ND95" i="16"/>
  <c r="ND75" i="16"/>
  <c r="ND96" i="16"/>
  <c r="ND76" i="16"/>
  <c r="ND88" i="16"/>
  <c r="ND64" i="16"/>
  <c r="ND102" i="16"/>
  <c r="ND84" i="16"/>
  <c r="ND65" i="16"/>
  <c r="ND103" i="16"/>
  <c r="ND85" i="16"/>
  <c r="ND66" i="16"/>
  <c r="ND104" i="16"/>
  <c r="ND86" i="16"/>
  <c r="ND67" i="16"/>
  <c r="ND93" i="16"/>
  <c r="ND73" i="16"/>
  <c r="ND68" i="16"/>
  <c r="ND94" i="16"/>
  <c r="ND74" i="16"/>
  <c r="ND69" i="16"/>
  <c r="NS93" i="16"/>
  <c r="NS73" i="16"/>
  <c r="NS68" i="16"/>
  <c r="NS94" i="16"/>
  <c r="NS74" i="16"/>
  <c r="NS69" i="16"/>
  <c r="NS95" i="16"/>
  <c r="NS75" i="16"/>
  <c r="NS96" i="16"/>
  <c r="NS76" i="16"/>
  <c r="NS88" i="16"/>
  <c r="NS64" i="16"/>
  <c r="NS102" i="16"/>
  <c r="NS84" i="16"/>
  <c r="NS65" i="16"/>
  <c r="NS103" i="16"/>
  <c r="NS85" i="16"/>
  <c r="NS66" i="16"/>
  <c r="NS104" i="16"/>
  <c r="NS86" i="16"/>
  <c r="NS67" i="16"/>
  <c r="OH93" i="16"/>
  <c r="OH73" i="16"/>
  <c r="OH94" i="16"/>
  <c r="OH74" i="16"/>
  <c r="OH88" i="16"/>
  <c r="OH102" i="16"/>
  <c r="OH66" i="16"/>
  <c r="OH67" i="16"/>
  <c r="OH96" i="16"/>
  <c r="OH68" i="16"/>
  <c r="OH86" i="16"/>
  <c r="OH69" i="16"/>
  <c r="OH104" i="16"/>
  <c r="OH95" i="16"/>
  <c r="OH85" i="16"/>
  <c r="OH84" i="16"/>
  <c r="OH76" i="16"/>
  <c r="OH103" i="16"/>
  <c r="OH75" i="16"/>
  <c r="OH64" i="16"/>
  <c r="OH65" i="16"/>
  <c r="BQ69" i="16"/>
  <c r="BI69" i="16"/>
  <c r="BK67" i="16"/>
  <c r="BL66" i="16"/>
  <c r="BO76" i="16"/>
  <c r="BP75" i="16"/>
  <c r="BQ74" i="16"/>
  <c r="BI74" i="16"/>
  <c r="BK86" i="16"/>
  <c r="BL85" i="16"/>
  <c r="BO96" i="16"/>
  <c r="BP95" i="16"/>
  <c r="BQ94" i="16"/>
  <c r="BI94" i="16"/>
  <c r="BK104" i="16"/>
  <c r="BL103" i="16"/>
  <c r="CD69" i="16"/>
  <c r="CE68" i="16"/>
  <c r="CF67" i="16"/>
  <c r="BZ65" i="16"/>
  <c r="CA64" i="16"/>
  <c r="CD74" i="16"/>
  <c r="CE73" i="16"/>
  <c r="CF86" i="16"/>
  <c r="BZ84" i="16"/>
  <c r="CA88" i="16"/>
  <c r="CD94" i="16"/>
  <c r="CE93" i="16"/>
  <c r="CF104" i="16"/>
  <c r="BZ102" i="16"/>
  <c r="CS67" i="16"/>
  <c r="CT66" i="16"/>
  <c r="CU65" i="16"/>
  <c r="CW76" i="16"/>
  <c r="CO76" i="16"/>
  <c r="CP75" i="16"/>
  <c r="CS86" i="16"/>
  <c r="CT85" i="16"/>
  <c r="CU84" i="16"/>
  <c r="CW96" i="16"/>
  <c r="CO96" i="16"/>
  <c r="CP95" i="16"/>
  <c r="CS104" i="16"/>
  <c r="CT103" i="16"/>
  <c r="CU102" i="16"/>
  <c r="DL69" i="16"/>
  <c r="DM68" i="16"/>
  <c r="DE68" i="16"/>
  <c r="DH65" i="16"/>
  <c r="DI64" i="16"/>
  <c r="DJ76" i="16"/>
  <c r="DL74" i="16"/>
  <c r="DM73" i="16"/>
  <c r="DE73" i="16"/>
  <c r="DH84" i="16"/>
  <c r="DI88" i="16"/>
  <c r="DJ96" i="16"/>
  <c r="DL94" i="16"/>
  <c r="DM93" i="16"/>
  <c r="DE93" i="16"/>
  <c r="DH102" i="16"/>
  <c r="DY69" i="16"/>
  <c r="EA67" i="16"/>
  <c r="EB66" i="16"/>
  <c r="DW76" i="16"/>
  <c r="EA74" i="16"/>
  <c r="DY73" i="16"/>
  <c r="DX84" i="16"/>
  <c r="EB104" i="16"/>
  <c r="EN69" i="16"/>
  <c r="EP67" i="16"/>
  <c r="EM75" i="16"/>
  <c r="EQ85" i="16"/>
  <c r="EL96" i="16"/>
  <c r="EQ103" i="16"/>
  <c r="FB69" i="16"/>
  <c r="FF64" i="16"/>
  <c r="FA75" i="16"/>
  <c r="FA73" i="16"/>
  <c r="FE84" i="16"/>
  <c r="FI95" i="16"/>
  <c r="FI93" i="16"/>
  <c r="FX68" i="16"/>
  <c r="FX66" i="16"/>
  <c r="FR84" i="16"/>
  <c r="GJ73" i="16"/>
  <c r="GI94" i="16"/>
  <c r="GM102" i="16"/>
  <c r="GX67" i="16"/>
  <c r="HQ102" i="16"/>
  <c r="DX103" i="16"/>
  <c r="DX85" i="16"/>
  <c r="DX104" i="16"/>
  <c r="DX86" i="16"/>
  <c r="DX93" i="16"/>
  <c r="DX73" i="16"/>
  <c r="EM88" i="16"/>
  <c r="EM64" i="16"/>
  <c r="EM102" i="16"/>
  <c r="EM84" i="16"/>
  <c r="EM65" i="16"/>
  <c r="EM103" i="16"/>
  <c r="EM85" i="16"/>
  <c r="EM66" i="16"/>
  <c r="EM104" i="16"/>
  <c r="EM86" i="16"/>
  <c r="EM67" i="16"/>
  <c r="EM93" i="16"/>
  <c r="FB95" i="16"/>
  <c r="FB75" i="16"/>
  <c r="FB96" i="16"/>
  <c r="FB76" i="16"/>
  <c r="FB88" i="16"/>
  <c r="FB64" i="16"/>
  <c r="FB102" i="16"/>
  <c r="FB84" i="16"/>
  <c r="FB65" i="16"/>
  <c r="FB103" i="16"/>
  <c r="FB85" i="16"/>
  <c r="FB66" i="16"/>
  <c r="FQ93" i="16"/>
  <c r="FQ73" i="16"/>
  <c r="FQ68" i="16"/>
  <c r="FQ94" i="16"/>
  <c r="FQ74" i="16"/>
  <c r="FQ69" i="16"/>
  <c r="FQ95" i="16"/>
  <c r="FQ75" i="16"/>
  <c r="FQ96" i="16"/>
  <c r="FQ76" i="16"/>
  <c r="FQ88" i="16"/>
  <c r="FQ64" i="16"/>
  <c r="FY93" i="16"/>
  <c r="FY73" i="16"/>
  <c r="FY68" i="16"/>
  <c r="FY94" i="16"/>
  <c r="FY74" i="16"/>
  <c r="FY69" i="16"/>
  <c r="FY95" i="16"/>
  <c r="FY75" i="16"/>
  <c r="FY96" i="16"/>
  <c r="FY76" i="16"/>
  <c r="FY88" i="16"/>
  <c r="FY64" i="16"/>
  <c r="GN102" i="16"/>
  <c r="GN84" i="16"/>
  <c r="GN65" i="16"/>
  <c r="GN103" i="16"/>
  <c r="GN85" i="16"/>
  <c r="GN66" i="16"/>
  <c r="GN104" i="16"/>
  <c r="GN86" i="16"/>
  <c r="GN67" i="16"/>
  <c r="GN93" i="16"/>
  <c r="GN73" i="16"/>
  <c r="GN68" i="16"/>
  <c r="GN94" i="16"/>
  <c r="GN74" i="16"/>
  <c r="GN69" i="16"/>
  <c r="GN95" i="16"/>
  <c r="GN75" i="16"/>
  <c r="HC104" i="16"/>
  <c r="HC86" i="16"/>
  <c r="HC93" i="16"/>
  <c r="HC73" i="16"/>
  <c r="HC94" i="16"/>
  <c r="HC74" i="16"/>
  <c r="HC95" i="16"/>
  <c r="HC75" i="16"/>
  <c r="HC96" i="16"/>
  <c r="HC76" i="16"/>
  <c r="HC64" i="16"/>
  <c r="HC84" i="16"/>
  <c r="HC103" i="16"/>
  <c r="HC66" i="16"/>
  <c r="HC65" i="16"/>
  <c r="HC67" i="16"/>
  <c r="HC88" i="16"/>
  <c r="HC85" i="16"/>
  <c r="HC68" i="16"/>
  <c r="HR102" i="16"/>
  <c r="HR84" i="16"/>
  <c r="HR65" i="16"/>
  <c r="HR103" i="16"/>
  <c r="HR85" i="16"/>
  <c r="HR66" i="16"/>
  <c r="HR104" i="16"/>
  <c r="HR86" i="16"/>
  <c r="HR67" i="16"/>
  <c r="HR93" i="16"/>
  <c r="HR73" i="16"/>
  <c r="HR68" i="16"/>
  <c r="HR94" i="16"/>
  <c r="HR74" i="16"/>
  <c r="HR69" i="16"/>
  <c r="HR75" i="16"/>
  <c r="HR64" i="16"/>
  <c r="HR96" i="16"/>
  <c r="IG96" i="16"/>
  <c r="IG76" i="16"/>
  <c r="IG88" i="16"/>
  <c r="IG64" i="16"/>
  <c r="IG102" i="16"/>
  <c r="IG84" i="16"/>
  <c r="IG65" i="16"/>
  <c r="IG103" i="16"/>
  <c r="IG85" i="16"/>
  <c r="IG66" i="16"/>
  <c r="IG104" i="16"/>
  <c r="IG86" i="16"/>
  <c r="IG67" i="16"/>
  <c r="IG74" i="16"/>
  <c r="IG93" i="16"/>
  <c r="IG95" i="16"/>
  <c r="IG69" i="16"/>
  <c r="IG73" i="16"/>
  <c r="IG75" i="16"/>
  <c r="IG94" i="16"/>
  <c r="IV94" i="16"/>
  <c r="IV74" i="16"/>
  <c r="IV69" i="16"/>
  <c r="IV95" i="16"/>
  <c r="IV75" i="16"/>
  <c r="IV96" i="16"/>
  <c r="IV76" i="16"/>
  <c r="IV88" i="16"/>
  <c r="IV64" i="16"/>
  <c r="IV102" i="16"/>
  <c r="IV84" i="16"/>
  <c r="IV65" i="16"/>
  <c r="IV66" i="16"/>
  <c r="IV68" i="16"/>
  <c r="IV86" i="16"/>
  <c r="IV103" i="16"/>
  <c r="IV93" i="16"/>
  <c r="IV67" i="16"/>
  <c r="IV85" i="16"/>
  <c r="IV73" i="16"/>
  <c r="JK103" i="16"/>
  <c r="JK85" i="16"/>
  <c r="JK104" i="16"/>
  <c r="JK86" i="16"/>
  <c r="JK67" i="16"/>
  <c r="JK93" i="16"/>
  <c r="JK73" i="16"/>
  <c r="JK68" i="16"/>
  <c r="JK94" i="16"/>
  <c r="JK74" i="16"/>
  <c r="JK69" i="16"/>
  <c r="JK95" i="16"/>
  <c r="JK75" i="16"/>
  <c r="JK96" i="16"/>
  <c r="JK76" i="16"/>
  <c r="JK88" i="16"/>
  <c r="JK102" i="16"/>
  <c r="JK84" i="16"/>
  <c r="JK64" i="16"/>
  <c r="JK66" i="16"/>
  <c r="JZ88" i="16"/>
  <c r="JZ64" i="16"/>
  <c r="JZ102" i="16"/>
  <c r="JZ84" i="16"/>
  <c r="JZ65" i="16"/>
  <c r="JZ103" i="16"/>
  <c r="JZ85" i="16"/>
  <c r="JZ66" i="16"/>
  <c r="JZ104" i="16"/>
  <c r="JZ86" i="16"/>
  <c r="JZ67" i="16"/>
  <c r="JZ93" i="16"/>
  <c r="JZ73" i="16"/>
  <c r="JZ68" i="16"/>
  <c r="JZ94" i="16"/>
  <c r="JZ74" i="16"/>
  <c r="JZ69" i="16"/>
  <c r="JZ76" i="16"/>
  <c r="JZ95" i="16"/>
  <c r="JZ75" i="16"/>
  <c r="KO95" i="16"/>
  <c r="KO75" i="16"/>
  <c r="KO88" i="16"/>
  <c r="KO64" i="16"/>
  <c r="KO102" i="16"/>
  <c r="KO84" i="16"/>
  <c r="KO65" i="16"/>
  <c r="KO103" i="16"/>
  <c r="KO85" i="16"/>
  <c r="KO66" i="16"/>
  <c r="KO96" i="16"/>
  <c r="KO86" i="16"/>
  <c r="KO93" i="16"/>
  <c r="KO74" i="16"/>
  <c r="KO76" i="16"/>
  <c r="KO104" i="16"/>
  <c r="KO73" i="16"/>
  <c r="KO67" i="16"/>
  <c r="KO94" i="16"/>
  <c r="KO68" i="16"/>
  <c r="KW95" i="16"/>
  <c r="KW75" i="16"/>
  <c r="KW88" i="16"/>
  <c r="KW64" i="16"/>
  <c r="KW102" i="16"/>
  <c r="KW84" i="16"/>
  <c r="KW65" i="16"/>
  <c r="KW103" i="16"/>
  <c r="KW85" i="16"/>
  <c r="KW76" i="16"/>
  <c r="KW104" i="16"/>
  <c r="KW73" i="16"/>
  <c r="KW94" i="16"/>
  <c r="KW96" i="16"/>
  <c r="KW86" i="16"/>
  <c r="KW66" i="16"/>
  <c r="KW67" i="16"/>
  <c r="KW69" i="16"/>
  <c r="KW93" i="16"/>
  <c r="KW74" i="16"/>
  <c r="KW68" i="16"/>
  <c r="LL93" i="16"/>
  <c r="LL73" i="16"/>
  <c r="LL68" i="16"/>
  <c r="LL94" i="16"/>
  <c r="LL74" i="16"/>
  <c r="LL95" i="16"/>
  <c r="LL75" i="16"/>
  <c r="LL96" i="16"/>
  <c r="LL76" i="16"/>
  <c r="LL88" i="16"/>
  <c r="LL64" i="16"/>
  <c r="LL65" i="16"/>
  <c r="LL85" i="16"/>
  <c r="LL102" i="16"/>
  <c r="LL104" i="16"/>
  <c r="LL67" i="16"/>
  <c r="LL69" i="16"/>
  <c r="LL84" i="16"/>
  <c r="LL66" i="16"/>
  <c r="LL86" i="16"/>
  <c r="LL103" i="16"/>
  <c r="MA103" i="16"/>
  <c r="MA85" i="16"/>
  <c r="MA66" i="16"/>
  <c r="MA104" i="16"/>
  <c r="MA86" i="16"/>
  <c r="MA67" i="16"/>
  <c r="MA93" i="16"/>
  <c r="MA73" i="16"/>
  <c r="MA68" i="16"/>
  <c r="MA94" i="16"/>
  <c r="MA74" i="16"/>
  <c r="MA69" i="16"/>
  <c r="MA95" i="16"/>
  <c r="MA75" i="16"/>
  <c r="MA84" i="16"/>
  <c r="MA96" i="16"/>
  <c r="MA76" i="16"/>
  <c r="MA65" i="16"/>
  <c r="MA102" i="16"/>
  <c r="MA88" i="16"/>
  <c r="MP88" i="16"/>
  <c r="MP64" i="16"/>
  <c r="MP102" i="16"/>
  <c r="MP84" i="16"/>
  <c r="MP65" i="16"/>
  <c r="MP103" i="16"/>
  <c r="MP85" i="16"/>
  <c r="MP66" i="16"/>
  <c r="MP104" i="16"/>
  <c r="MP86" i="16"/>
  <c r="MP67" i="16"/>
  <c r="MP93" i="16"/>
  <c r="MP73" i="16"/>
  <c r="MP68" i="16"/>
  <c r="MP94" i="16"/>
  <c r="MP74" i="16"/>
  <c r="MP95" i="16"/>
  <c r="MP75" i="16"/>
  <c r="MP76" i="16"/>
  <c r="MP69" i="16"/>
  <c r="NE94" i="16"/>
  <c r="NE74" i="16"/>
  <c r="NE69" i="16"/>
  <c r="NE95" i="16"/>
  <c r="NE75" i="16"/>
  <c r="NE96" i="16"/>
  <c r="NE76" i="16"/>
  <c r="NE88" i="16"/>
  <c r="NE64" i="16"/>
  <c r="NE102" i="16"/>
  <c r="NE84" i="16"/>
  <c r="NE65" i="16"/>
  <c r="NE103" i="16"/>
  <c r="NE85" i="16"/>
  <c r="NE66" i="16"/>
  <c r="NE104" i="16"/>
  <c r="NE86" i="16"/>
  <c r="NE67" i="16"/>
  <c r="NE93" i="16"/>
  <c r="NE73" i="16"/>
  <c r="NE68" i="16"/>
  <c r="NT104" i="16"/>
  <c r="NT86" i="16"/>
  <c r="NT67" i="16"/>
  <c r="NT93" i="16"/>
  <c r="NT73" i="16"/>
  <c r="NT68" i="16"/>
  <c r="NT94" i="16"/>
  <c r="NT74" i="16"/>
  <c r="NT69" i="16"/>
  <c r="NT95" i="16"/>
  <c r="NT75" i="16"/>
  <c r="NT96" i="16"/>
  <c r="NT76" i="16"/>
  <c r="NT88" i="16"/>
  <c r="NT64" i="16"/>
  <c r="NT102" i="16"/>
  <c r="NT84" i="16"/>
  <c r="NT65" i="16"/>
  <c r="NT103" i="16"/>
  <c r="NT85" i="16"/>
  <c r="NT66" i="16"/>
  <c r="OI104" i="16"/>
  <c r="OI86" i="16"/>
  <c r="OI93" i="16"/>
  <c r="OI73" i="16"/>
  <c r="OI96" i="16"/>
  <c r="OI88" i="16"/>
  <c r="OI74" i="16"/>
  <c r="OI65" i="16"/>
  <c r="OI66" i="16"/>
  <c r="OI67" i="16"/>
  <c r="OI102" i="16"/>
  <c r="OI68" i="16"/>
  <c r="OI69" i="16"/>
  <c r="OI95" i="16"/>
  <c r="OI85" i="16"/>
  <c r="OI84" i="16"/>
  <c r="OI76" i="16"/>
  <c r="OI103" i="16"/>
  <c r="OI94" i="16"/>
  <c r="OI75" i="16"/>
  <c r="OI64" i="16"/>
  <c r="BP69" i="16"/>
  <c r="BQ68" i="16"/>
  <c r="BI68" i="16"/>
  <c r="BK66" i="16"/>
  <c r="BL65" i="16"/>
  <c r="BO75" i="16"/>
  <c r="BP74" i="16"/>
  <c r="BQ73" i="16"/>
  <c r="BI73" i="16"/>
  <c r="BK85" i="16"/>
  <c r="BL84" i="16"/>
  <c r="BO95" i="16"/>
  <c r="BP94" i="16"/>
  <c r="BQ93" i="16"/>
  <c r="BI93" i="16"/>
  <c r="BK103" i="16"/>
  <c r="BL102" i="16"/>
  <c r="CD68" i="16"/>
  <c r="CE67" i="16"/>
  <c r="CF66" i="16"/>
  <c r="BZ64" i="16"/>
  <c r="CA76" i="16"/>
  <c r="CD73" i="16"/>
  <c r="CE86" i="16"/>
  <c r="CF85" i="16"/>
  <c r="BZ88" i="16"/>
  <c r="CA96" i="16"/>
  <c r="CD93" i="16"/>
  <c r="CE104" i="16"/>
  <c r="CF103" i="16"/>
  <c r="CP69" i="16"/>
  <c r="CS66" i="16"/>
  <c r="CT65" i="16"/>
  <c r="CU64" i="16"/>
  <c r="CW75" i="16"/>
  <c r="CO75" i="16"/>
  <c r="CP74" i="16"/>
  <c r="CS85" i="16"/>
  <c r="CT84" i="16"/>
  <c r="CU88" i="16"/>
  <c r="CW95" i="16"/>
  <c r="CO95" i="16"/>
  <c r="CP94" i="16"/>
  <c r="CS103" i="16"/>
  <c r="CT102" i="16"/>
  <c r="DL68" i="16"/>
  <c r="DM67" i="16"/>
  <c r="DE67" i="16"/>
  <c r="DH64" i="16"/>
  <c r="DI76" i="16"/>
  <c r="DJ75" i="16"/>
  <c r="DL73" i="16"/>
  <c r="DM86" i="16"/>
  <c r="DE86" i="16"/>
  <c r="DH88" i="16"/>
  <c r="DI96" i="16"/>
  <c r="DJ95" i="16"/>
  <c r="DL93" i="16"/>
  <c r="DM104" i="16"/>
  <c r="DE104" i="16"/>
  <c r="DX69" i="16"/>
  <c r="DY68" i="16"/>
  <c r="EA66" i="16"/>
  <c r="EB65" i="16"/>
  <c r="EB85" i="16"/>
  <c r="DW84" i="16"/>
  <c r="EA104" i="16"/>
  <c r="EM69" i="16"/>
  <c r="EQ65" i="16"/>
  <c r="EL75" i="16"/>
  <c r="EP85" i="16"/>
  <c r="EP93" i="16"/>
  <c r="EP103" i="16"/>
  <c r="FA69" i="16"/>
  <c r="FE66" i="16"/>
  <c r="FE64" i="16"/>
  <c r="FI74" i="16"/>
  <c r="FC93" i="16"/>
  <c r="FR66" i="16"/>
  <c r="FQ86" i="16"/>
  <c r="FQ84" i="16"/>
  <c r="FU95" i="16"/>
  <c r="FY104" i="16"/>
  <c r="FY102" i="16"/>
  <c r="GJ67" i="16"/>
  <c r="GN76" i="16"/>
  <c r="GI73" i="16"/>
  <c r="GM88" i="16"/>
  <c r="HC102" i="16"/>
  <c r="HM74" i="16"/>
  <c r="IG68" i="16"/>
  <c r="IV104" i="16"/>
  <c r="DY102" i="16"/>
  <c r="DY84" i="16"/>
  <c r="DY103" i="16"/>
  <c r="DY85" i="16"/>
  <c r="DY104" i="16"/>
  <c r="DY86" i="16"/>
  <c r="EN96" i="16"/>
  <c r="EN76" i="16"/>
  <c r="EN88" i="16"/>
  <c r="EN64" i="16"/>
  <c r="EN102" i="16"/>
  <c r="EN84" i="16"/>
  <c r="EN65" i="16"/>
  <c r="EN103" i="16"/>
  <c r="EN85" i="16"/>
  <c r="EN66" i="16"/>
  <c r="EN104" i="16"/>
  <c r="FC94" i="16"/>
  <c r="FC74" i="16"/>
  <c r="FC69" i="16"/>
  <c r="FC95" i="16"/>
  <c r="FC75" i="16"/>
  <c r="FC96" i="16"/>
  <c r="FC76" i="16"/>
  <c r="FC88" i="16"/>
  <c r="FC64" i="16"/>
  <c r="FC102" i="16"/>
  <c r="FC84" i="16"/>
  <c r="FC65" i="16"/>
  <c r="FR104" i="16"/>
  <c r="FR86" i="16"/>
  <c r="FR67" i="16"/>
  <c r="FR93" i="16"/>
  <c r="FR73" i="16"/>
  <c r="FR68" i="16"/>
  <c r="FR94" i="16"/>
  <c r="FR74" i="16"/>
  <c r="FR69" i="16"/>
  <c r="FR95" i="16"/>
  <c r="FR75" i="16"/>
  <c r="FR96" i="16"/>
  <c r="FR76" i="16"/>
  <c r="GG88" i="16"/>
  <c r="GG64" i="16"/>
  <c r="GG102" i="16"/>
  <c r="GG84" i="16"/>
  <c r="GG65" i="16"/>
  <c r="GG103" i="16"/>
  <c r="GG85" i="16"/>
  <c r="GG66" i="16"/>
  <c r="GG104" i="16"/>
  <c r="GG86" i="16"/>
  <c r="GG67" i="16"/>
  <c r="GG93" i="16"/>
  <c r="GG73" i="16"/>
  <c r="GG68" i="16"/>
  <c r="GG94" i="16"/>
  <c r="GG74" i="16"/>
  <c r="GG69" i="16"/>
  <c r="GO88" i="16"/>
  <c r="GO64" i="16"/>
  <c r="GO102" i="16"/>
  <c r="GO84" i="16"/>
  <c r="GO65" i="16"/>
  <c r="GO103" i="16"/>
  <c r="GO85" i="16"/>
  <c r="GO66" i="16"/>
  <c r="GO104" i="16"/>
  <c r="GO86" i="16"/>
  <c r="GO67" i="16"/>
  <c r="GO93" i="16"/>
  <c r="GO73" i="16"/>
  <c r="GO68" i="16"/>
  <c r="GO94" i="16"/>
  <c r="GO74" i="16"/>
  <c r="GO69" i="16"/>
  <c r="HD103" i="16"/>
  <c r="HD85" i="16"/>
  <c r="HD104" i="16"/>
  <c r="HD86" i="16"/>
  <c r="HD93" i="16"/>
  <c r="HD73" i="16"/>
  <c r="HD94" i="16"/>
  <c r="HD74" i="16"/>
  <c r="HD95" i="16"/>
  <c r="HD75" i="16"/>
  <c r="HD64" i="16"/>
  <c r="HD96" i="16"/>
  <c r="HD84" i="16"/>
  <c r="HD66" i="16"/>
  <c r="HD76" i="16"/>
  <c r="HD65" i="16"/>
  <c r="HD67" i="16"/>
  <c r="HS88" i="16"/>
  <c r="HS64" i="16"/>
  <c r="HS102" i="16"/>
  <c r="HS84" i="16"/>
  <c r="HS65" i="16"/>
  <c r="HS103" i="16"/>
  <c r="HS85" i="16"/>
  <c r="HS66" i="16"/>
  <c r="HS104" i="16"/>
  <c r="HS86" i="16"/>
  <c r="HS67" i="16"/>
  <c r="HS93" i="16"/>
  <c r="HS73" i="16"/>
  <c r="HS68" i="16"/>
  <c r="HS95" i="16"/>
  <c r="HS69" i="16"/>
  <c r="HS75" i="16"/>
  <c r="HS94" i="16"/>
  <c r="HS96" i="16"/>
  <c r="IH95" i="16"/>
  <c r="IH75" i="16"/>
  <c r="IH96" i="16"/>
  <c r="IH76" i="16"/>
  <c r="IH88" i="16"/>
  <c r="IH64" i="16"/>
  <c r="IH102" i="16"/>
  <c r="IH84" i="16"/>
  <c r="IH65" i="16"/>
  <c r="IH103" i="16"/>
  <c r="IH85" i="16"/>
  <c r="IH66" i="16"/>
  <c r="IH68" i="16"/>
  <c r="IH86" i="16"/>
  <c r="IH74" i="16"/>
  <c r="IH93" i="16"/>
  <c r="IH67" i="16"/>
  <c r="IH69" i="16"/>
  <c r="IH73" i="16"/>
  <c r="IH104" i="16"/>
  <c r="IH94" i="16"/>
  <c r="IW93" i="16"/>
  <c r="IW73" i="16"/>
  <c r="IW68" i="16"/>
  <c r="IW94" i="16"/>
  <c r="IW74" i="16"/>
  <c r="IW69" i="16"/>
  <c r="IW95" i="16"/>
  <c r="IW75" i="16"/>
  <c r="IW96" i="16"/>
  <c r="IW76" i="16"/>
  <c r="IW88" i="16"/>
  <c r="IW64" i="16"/>
  <c r="IW102" i="16"/>
  <c r="IW104" i="16"/>
  <c r="IW66" i="16"/>
  <c r="IW84" i="16"/>
  <c r="IW86" i="16"/>
  <c r="IW103" i="16"/>
  <c r="IW65" i="16"/>
  <c r="IW67" i="16"/>
  <c r="JL102" i="16"/>
  <c r="JL84" i="16"/>
  <c r="JL103" i="16"/>
  <c r="JL85" i="16"/>
  <c r="JL66" i="16"/>
  <c r="JL104" i="16"/>
  <c r="JL86" i="16"/>
  <c r="JL67" i="16"/>
  <c r="JL93" i="16"/>
  <c r="JL73" i="16"/>
  <c r="JL68" i="16"/>
  <c r="JL94" i="16"/>
  <c r="JL74" i="16"/>
  <c r="JL69" i="16"/>
  <c r="JL95" i="16"/>
  <c r="JL75" i="16"/>
  <c r="JL76" i="16"/>
  <c r="JL65" i="16"/>
  <c r="JL88" i="16"/>
  <c r="JL64" i="16"/>
  <c r="JL96" i="16"/>
  <c r="KA96" i="16"/>
  <c r="KA76" i="16"/>
  <c r="KA88" i="16"/>
  <c r="KA64" i="16"/>
  <c r="KA102" i="16"/>
  <c r="KA84" i="16"/>
  <c r="KA65" i="16"/>
  <c r="KA103" i="16"/>
  <c r="KA85" i="16"/>
  <c r="KA66" i="16"/>
  <c r="KA104" i="16"/>
  <c r="KA86" i="16"/>
  <c r="KA67" i="16"/>
  <c r="KA93" i="16"/>
  <c r="KA73" i="16"/>
  <c r="KA68" i="16"/>
  <c r="KA94" i="16"/>
  <c r="KA74" i="16"/>
  <c r="KA95" i="16"/>
  <c r="KA69" i="16"/>
  <c r="KP94" i="16"/>
  <c r="KP74" i="16"/>
  <c r="KP96" i="16"/>
  <c r="KP76" i="16"/>
  <c r="KP88" i="16"/>
  <c r="KP64" i="16"/>
  <c r="KP102" i="16"/>
  <c r="KP84" i="16"/>
  <c r="KP65" i="16"/>
  <c r="KP75" i="16"/>
  <c r="KP69" i="16"/>
  <c r="KP103" i="16"/>
  <c r="KP66" i="16"/>
  <c r="KP86" i="16"/>
  <c r="KP93" i="16"/>
  <c r="KP95" i="16"/>
  <c r="KP85" i="16"/>
  <c r="KP104" i="16"/>
  <c r="KP73" i="16"/>
  <c r="KP67" i="16"/>
  <c r="KP68" i="16"/>
  <c r="LE104" i="16"/>
  <c r="LE86" i="16"/>
  <c r="LE67" i="16"/>
  <c r="LE93" i="16"/>
  <c r="LE73" i="16"/>
  <c r="LE94" i="16"/>
  <c r="LE74" i="16"/>
  <c r="LE69" i="16"/>
  <c r="LE95" i="16"/>
  <c r="LE75" i="16"/>
  <c r="LE96" i="16"/>
  <c r="LE76" i="16"/>
  <c r="LE88" i="16"/>
  <c r="LE85" i="16"/>
  <c r="LE102" i="16"/>
  <c r="LE64" i="16"/>
  <c r="LE66" i="16"/>
  <c r="LE84" i="16"/>
  <c r="LE68" i="16"/>
  <c r="LE103" i="16"/>
  <c r="LE65" i="16"/>
  <c r="LM104" i="16"/>
  <c r="LM86" i="16"/>
  <c r="LM67" i="16"/>
  <c r="LM93" i="16"/>
  <c r="LM73" i="16"/>
  <c r="LM94" i="16"/>
  <c r="LM74" i="16"/>
  <c r="LM69" i="16"/>
  <c r="LM95" i="16"/>
  <c r="LM75" i="16"/>
  <c r="LM96" i="16"/>
  <c r="LM76" i="16"/>
  <c r="LM103" i="16"/>
  <c r="LM68" i="16"/>
  <c r="LM65" i="16"/>
  <c r="LM88" i="16"/>
  <c r="LM85" i="16"/>
  <c r="LM102" i="16"/>
  <c r="LM64" i="16"/>
  <c r="LM84" i="16"/>
  <c r="LM66" i="16"/>
  <c r="MB102" i="16"/>
  <c r="MB84" i="16"/>
  <c r="MB65" i="16"/>
  <c r="MB103" i="16"/>
  <c r="MB85" i="16"/>
  <c r="MB66" i="16"/>
  <c r="MB104" i="16"/>
  <c r="MB86" i="16"/>
  <c r="MB67" i="16"/>
  <c r="MB93" i="16"/>
  <c r="MB73" i="16"/>
  <c r="MB68" i="16"/>
  <c r="MB94" i="16"/>
  <c r="MB74" i="16"/>
  <c r="MB69" i="16"/>
  <c r="MB96" i="16"/>
  <c r="MB75" i="16"/>
  <c r="MB64" i="16"/>
  <c r="MB76" i="16"/>
  <c r="MB88" i="16"/>
  <c r="MQ96" i="16"/>
  <c r="MQ76" i="16"/>
  <c r="MQ88" i="16"/>
  <c r="MQ64" i="16"/>
  <c r="MQ102" i="16"/>
  <c r="MQ84" i="16"/>
  <c r="MQ65" i="16"/>
  <c r="MQ103" i="16"/>
  <c r="MQ85" i="16"/>
  <c r="MQ66" i="16"/>
  <c r="MQ104" i="16"/>
  <c r="MQ86" i="16"/>
  <c r="MQ67" i="16"/>
  <c r="MQ93" i="16"/>
  <c r="MQ73" i="16"/>
  <c r="MQ94" i="16"/>
  <c r="MQ74" i="16"/>
  <c r="MQ69" i="16"/>
  <c r="MQ75" i="16"/>
  <c r="MQ68" i="16"/>
  <c r="MQ95" i="16"/>
  <c r="NF93" i="16"/>
  <c r="NF73" i="16"/>
  <c r="NF68" i="16"/>
  <c r="NF94" i="16"/>
  <c r="NF74" i="16"/>
  <c r="NF69" i="16"/>
  <c r="NF95" i="16"/>
  <c r="NF75" i="16"/>
  <c r="NF96" i="16"/>
  <c r="NF76" i="16"/>
  <c r="NF88" i="16"/>
  <c r="NF64" i="16"/>
  <c r="NF102" i="16"/>
  <c r="NF84" i="16"/>
  <c r="NF65" i="16"/>
  <c r="NF103" i="16"/>
  <c r="NF85" i="16"/>
  <c r="NF66" i="16"/>
  <c r="NF104" i="16"/>
  <c r="NF86" i="16"/>
  <c r="NF67" i="16"/>
  <c r="NU103" i="16"/>
  <c r="NU85" i="16"/>
  <c r="NU66" i="16"/>
  <c r="NU104" i="16"/>
  <c r="NU86" i="16"/>
  <c r="NU67" i="16"/>
  <c r="NU93" i="16"/>
  <c r="NU73" i="16"/>
  <c r="NU68" i="16"/>
  <c r="NU94" i="16"/>
  <c r="NU74" i="16"/>
  <c r="NU69" i="16"/>
  <c r="NU95" i="16"/>
  <c r="NU75" i="16"/>
  <c r="NU96" i="16"/>
  <c r="NU76" i="16"/>
  <c r="NU88" i="16"/>
  <c r="NU64" i="16"/>
  <c r="NU102" i="16"/>
  <c r="NU84" i="16"/>
  <c r="NU65" i="16"/>
  <c r="OJ103" i="16"/>
  <c r="OJ85" i="16"/>
  <c r="OJ104" i="16"/>
  <c r="OJ86" i="16"/>
  <c r="OJ95" i="16"/>
  <c r="OJ94" i="16"/>
  <c r="OJ75" i="16"/>
  <c r="OJ64" i="16"/>
  <c r="OJ88" i="16"/>
  <c r="OJ74" i="16"/>
  <c r="OJ65" i="16"/>
  <c r="OJ93" i="16"/>
  <c r="OJ73" i="16"/>
  <c r="OJ66" i="16"/>
  <c r="OJ96" i="16"/>
  <c r="OJ67" i="16"/>
  <c r="OJ102" i="16"/>
  <c r="OJ68" i="16"/>
  <c r="OJ69" i="16"/>
  <c r="OJ84" i="16"/>
  <c r="OJ76" i="16"/>
  <c r="BO69" i="16"/>
  <c r="BP68" i="16"/>
  <c r="BQ67" i="16"/>
  <c r="BI67" i="16"/>
  <c r="BK65" i="16"/>
  <c r="BL64" i="16"/>
  <c r="BO74" i="16"/>
  <c r="BP73" i="16"/>
  <c r="BQ86" i="16"/>
  <c r="BI86" i="16"/>
  <c r="BK84" i="16"/>
  <c r="BL88" i="16"/>
  <c r="BO94" i="16"/>
  <c r="BP93" i="16"/>
  <c r="BQ104" i="16"/>
  <c r="BI104" i="16"/>
  <c r="BK102" i="16"/>
  <c r="CD67" i="16"/>
  <c r="CE66" i="16"/>
  <c r="CF65" i="16"/>
  <c r="BZ76" i="16"/>
  <c r="CA75" i="16"/>
  <c r="CD86" i="16"/>
  <c r="CE85" i="16"/>
  <c r="CF84" i="16"/>
  <c r="BZ96" i="16"/>
  <c r="CA95" i="16"/>
  <c r="CD104" i="16"/>
  <c r="CE103" i="16"/>
  <c r="CF102" i="16"/>
  <c r="CW69" i="16"/>
  <c r="CO69" i="16"/>
  <c r="CP68" i="16"/>
  <c r="CS65" i="16"/>
  <c r="CT64" i="16"/>
  <c r="CU76" i="16"/>
  <c r="CW74" i="16"/>
  <c r="CO74" i="16"/>
  <c r="CP73" i="16"/>
  <c r="CS84" i="16"/>
  <c r="CT88" i="16"/>
  <c r="CU96" i="16"/>
  <c r="CW94" i="16"/>
  <c r="CO94" i="16"/>
  <c r="CP93" i="16"/>
  <c r="CS102" i="16"/>
  <c r="DJ69" i="16"/>
  <c r="DL67" i="16"/>
  <c r="DM66" i="16"/>
  <c r="DE66" i="16"/>
  <c r="DH76" i="16"/>
  <c r="DI75" i="16"/>
  <c r="DJ74" i="16"/>
  <c r="DL86" i="16"/>
  <c r="DM85" i="16"/>
  <c r="DE85" i="16"/>
  <c r="DH96" i="16"/>
  <c r="DI95" i="16"/>
  <c r="DJ94" i="16"/>
  <c r="DL104" i="16"/>
  <c r="DM103" i="16"/>
  <c r="DE103" i="16"/>
  <c r="DW69" i="16"/>
  <c r="DX68" i="16"/>
  <c r="DY67" i="16"/>
  <c r="EA65" i="16"/>
  <c r="EB64" i="16"/>
  <c r="EA75" i="16"/>
  <c r="DY74" i="16"/>
  <c r="EA85" i="16"/>
  <c r="DX95" i="16"/>
  <c r="EB93" i="16"/>
  <c r="EL69" i="16"/>
  <c r="EN67" i="16"/>
  <c r="EP65" i="16"/>
  <c r="EM73" i="16"/>
  <c r="EQ88" i="16"/>
  <c r="FI68" i="16"/>
  <c r="FC86" i="16"/>
  <c r="FB93" i="16"/>
  <c r="FF102" i="16"/>
  <c r="FQ66" i="16"/>
  <c r="FU76" i="16"/>
  <c r="FY85" i="16"/>
  <c r="FT88" i="16"/>
  <c r="FT95" i="16"/>
  <c r="FX104" i="16"/>
  <c r="FR102" i="16"/>
  <c r="GG76" i="16"/>
  <c r="GO96" i="16"/>
  <c r="GJ93" i="16"/>
  <c r="HD69" i="16"/>
  <c r="HN86" i="16"/>
  <c r="BL76" i="16"/>
  <c r="BI85" i="16"/>
  <c r="BK88" i="16"/>
  <c r="BL96" i="16"/>
  <c r="BO93" i="16"/>
  <c r="BP104" i="16"/>
  <c r="BQ103" i="16"/>
  <c r="BI103" i="16"/>
  <c r="CA69" i="16"/>
  <c r="CD66" i="16"/>
  <c r="CE65" i="16"/>
  <c r="CF64" i="16"/>
  <c r="BZ75" i="16"/>
  <c r="CA74" i="16"/>
  <c r="CD85" i="16"/>
  <c r="CE84" i="16"/>
  <c r="CF88" i="16"/>
  <c r="BZ95" i="16"/>
  <c r="CA94" i="16"/>
  <c r="CD103" i="16"/>
  <c r="CE102" i="16"/>
  <c r="CW68" i="16"/>
  <c r="CO68" i="16"/>
  <c r="CP67" i="16"/>
  <c r="CS64" i="16"/>
  <c r="CT76" i="16"/>
  <c r="CU75" i="16"/>
  <c r="CW73" i="16"/>
  <c r="CO73" i="16"/>
  <c r="CP86" i="16"/>
  <c r="CS88" i="16"/>
  <c r="CT96" i="16"/>
  <c r="CU95" i="16"/>
  <c r="CW93" i="16"/>
  <c r="CO93" i="16"/>
  <c r="CP104" i="16"/>
  <c r="DI69" i="16"/>
  <c r="DJ68" i="16"/>
  <c r="DL66" i="16"/>
  <c r="DM65" i="16"/>
  <c r="DE65" i="16"/>
  <c r="DH75" i="16"/>
  <c r="DI74" i="16"/>
  <c r="DJ73" i="16"/>
  <c r="DL85" i="16"/>
  <c r="DM84" i="16"/>
  <c r="DE84" i="16"/>
  <c r="DH95" i="16"/>
  <c r="DI94" i="16"/>
  <c r="DJ93" i="16"/>
  <c r="DL103" i="16"/>
  <c r="DM102" i="16"/>
  <c r="DE102" i="16"/>
  <c r="DW68" i="16"/>
  <c r="DX67" i="16"/>
  <c r="DY66" i="16"/>
  <c r="EA64" i="16"/>
  <c r="EB76" i="16"/>
  <c r="DX74" i="16"/>
  <c r="EB86" i="16"/>
  <c r="DW85" i="16"/>
  <c r="DY96" i="16"/>
  <c r="DW95" i="16"/>
  <c r="DX102" i="16"/>
  <c r="EM76" i="16"/>
  <c r="EQ86" i="16"/>
  <c r="EL88" i="16"/>
  <c r="EN95" i="16"/>
  <c r="EN93" i="16"/>
  <c r="FC68" i="16"/>
  <c r="FC66" i="16"/>
  <c r="FB74" i="16"/>
  <c r="FB86" i="16"/>
  <c r="FF88" i="16"/>
  <c r="FA95" i="16"/>
  <c r="FA93" i="16"/>
  <c r="FY67" i="16"/>
  <c r="FY65" i="16"/>
  <c r="FX73" i="16"/>
  <c r="FX85" i="16"/>
  <c r="FQ102" i="16"/>
  <c r="GO75" i="16"/>
  <c r="GN96" i="16"/>
  <c r="HC69" i="16"/>
  <c r="HD88" i="16"/>
  <c r="IF76" i="16"/>
  <c r="KA75" i="16"/>
  <c r="EA96" i="16"/>
  <c r="EA88" i="16"/>
  <c r="EA102" i="16"/>
  <c r="EA84" i="16"/>
  <c r="EA103" i="16"/>
  <c r="EP94" i="16"/>
  <c r="EP74" i="16"/>
  <c r="EP69" i="16"/>
  <c r="EP95" i="16"/>
  <c r="EP75" i="16"/>
  <c r="EP96" i="16"/>
  <c r="EP76" i="16"/>
  <c r="EP88" i="16"/>
  <c r="EP64" i="16"/>
  <c r="EP102" i="16"/>
  <c r="FE104" i="16"/>
  <c r="FE86" i="16"/>
  <c r="FE67" i="16"/>
  <c r="FE93" i="16"/>
  <c r="FE73" i="16"/>
  <c r="FE68" i="16"/>
  <c r="FE94" i="16"/>
  <c r="FE74" i="16"/>
  <c r="FE69" i="16"/>
  <c r="FE95" i="16"/>
  <c r="FE75" i="16"/>
  <c r="FE96" i="16"/>
  <c r="FE76" i="16"/>
  <c r="FT102" i="16"/>
  <c r="FT84" i="16"/>
  <c r="FT65" i="16"/>
  <c r="FT103" i="16"/>
  <c r="FT85" i="16"/>
  <c r="FT66" i="16"/>
  <c r="FT104" i="16"/>
  <c r="FT86" i="16"/>
  <c r="FT67" i="16"/>
  <c r="FT93" i="16"/>
  <c r="FT73" i="16"/>
  <c r="FT68" i="16"/>
  <c r="FT94" i="16"/>
  <c r="FT74" i="16"/>
  <c r="FT69" i="16"/>
  <c r="GI95" i="16"/>
  <c r="GI75" i="16"/>
  <c r="GI96" i="16"/>
  <c r="GI76" i="16"/>
  <c r="GI88" i="16"/>
  <c r="GI64" i="16"/>
  <c r="GI102" i="16"/>
  <c r="GI84" i="16"/>
  <c r="GI65" i="16"/>
  <c r="GI103" i="16"/>
  <c r="GI85" i="16"/>
  <c r="GI66" i="16"/>
  <c r="GI104" i="16"/>
  <c r="GI86" i="16"/>
  <c r="GI67" i="16"/>
  <c r="GX88" i="16"/>
  <c r="GX64" i="16"/>
  <c r="GX102" i="16"/>
  <c r="GX84" i="16"/>
  <c r="GX65" i="16"/>
  <c r="GX103" i="16"/>
  <c r="GX85" i="16"/>
  <c r="GX104" i="16"/>
  <c r="GX86" i="16"/>
  <c r="GX93" i="16"/>
  <c r="GX73" i="16"/>
  <c r="GX75" i="16"/>
  <c r="GX68" i="16"/>
  <c r="GX94" i="16"/>
  <c r="GX96" i="16"/>
  <c r="GX69" i="16"/>
  <c r="GX74" i="16"/>
  <c r="GX76" i="16"/>
  <c r="GX95" i="16"/>
  <c r="HM95" i="16"/>
  <c r="HM75" i="16"/>
  <c r="HM96" i="16"/>
  <c r="HM76" i="16"/>
  <c r="HM88" i="16"/>
  <c r="HM64" i="16"/>
  <c r="HM102" i="16"/>
  <c r="HM84" i="16"/>
  <c r="HM65" i="16"/>
  <c r="HM103" i="16"/>
  <c r="HM85" i="16"/>
  <c r="HM66" i="16"/>
  <c r="HM67" i="16"/>
  <c r="HM69" i="16"/>
  <c r="HM73" i="16"/>
  <c r="HM104" i="16"/>
  <c r="HM94" i="16"/>
  <c r="HM68" i="16"/>
  <c r="HU95" i="16"/>
  <c r="HU75" i="16"/>
  <c r="HU96" i="16"/>
  <c r="HU76" i="16"/>
  <c r="HU88" i="16"/>
  <c r="HU64" i="16"/>
  <c r="HU102" i="16"/>
  <c r="HU84" i="16"/>
  <c r="HU65" i="16"/>
  <c r="HU103" i="16"/>
  <c r="HU85" i="16"/>
  <c r="HU66" i="16"/>
  <c r="HU68" i="16"/>
  <c r="HU86" i="16"/>
  <c r="HU74" i="16"/>
  <c r="HU93" i="16"/>
  <c r="HU67" i="16"/>
  <c r="HU69" i="16"/>
  <c r="HU73" i="16"/>
  <c r="HU104" i="16"/>
  <c r="HU94" i="16"/>
  <c r="IJ93" i="16"/>
  <c r="IJ73" i="16"/>
  <c r="IJ68" i="16"/>
  <c r="IJ94" i="16"/>
  <c r="IJ74" i="16"/>
  <c r="IJ69" i="16"/>
  <c r="IJ95" i="16"/>
  <c r="IJ75" i="16"/>
  <c r="IJ96" i="16"/>
  <c r="IJ76" i="16"/>
  <c r="IJ88" i="16"/>
  <c r="IJ64" i="16"/>
  <c r="IJ102" i="16"/>
  <c r="IJ104" i="16"/>
  <c r="IJ66" i="16"/>
  <c r="IJ84" i="16"/>
  <c r="IJ86" i="16"/>
  <c r="IJ103" i="16"/>
  <c r="IJ65" i="16"/>
  <c r="IJ67" i="16"/>
  <c r="IY103" i="16"/>
  <c r="IY85" i="16"/>
  <c r="IY66" i="16"/>
  <c r="IY104" i="16"/>
  <c r="IY86" i="16"/>
  <c r="IY67" i="16"/>
  <c r="IY93" i="16"/>
  <c r="IY73" i="16"/>
  <c r="IY68" i="16"/>
  <c r="IY94" i="16"/>
  <c r="IY74" i="16"/>
  <c r="IY69" i="16"/>
  <c r="IY95" i="16"/>
  <c r="IY75" i="16"/>
  <c r="IY76" i="16"/>
  <c r="IY65" i="16"/>
  <c r="IY88" i="16"/>
  <c r="IY102" i="16"/>
  <c r="IY64" i="16"/>
  <c r="IY96" i="16"/>
  <c r="IY84" i="16"/>
  <c r="JN96" i="16"/>
  <c r="JN88" i="16"/>
  <c r="JN64" i="16"/>
  <c r="JN102" i="16"/>
  <c r="JN84" i="16"/>
  <c r="JN65" i="16"/>
  <c r="JN103" i="16"/>
  <c r="JN85" i="16"/>
  <c r="JN66" i="16"/>
  <c r="JN104" i="16"/>
  <c r="JN86" i="16"/>
  <c r="JN67" i="16"/>
  <c r="JN93" i="16"/>
  <c r="JN73" i="16"/>
  <c r="JN68" i="16"/>
  <c r="JN94" i="16"/>
  <c r="JN76" i="16"/>
  <c r="JN74" i="16"/>
  <c r="JN95" i="16"/>
  <c r="JN69" i="16"/>
  <c r="KC94" i="16"/>
  <c r="KC74" i="16"/>
  <c r="KC69" i="16"/>
  <c r="KC95" i="16"/>
  <c r="KC75" i="16"/>
  <c r="KC96" i="16"/>
  <c r="KC76" i="16"/>
  <c r="KC88" i="16"/>
  <c r="KC64" i="16"/>
  <c r="KC102" i="16"/>
  <c r="KC84" i="16"/>
  <c r="KC65" i="16"/>
  <c r="KC103" i="16"/>
  <c r="KC85" i="16"/>
  <c r="KC66" i="16"/>
  <c r="KC86" i="16"/>
  <c r="KC93" i="16"/>
  <c r="KC67" i="16"/>
  <c r="KC73" i="16"/>
  <c r="KC68" i="16"/>
  <c r="KC104" i="16"/>
  <c r="KR104" i="16"/>
  <c r="KR86" i="16"/>
  <c r="KR94" i="16"/>
  <c r="KR74" i="16"/>
  <c r="KR95" i="16"/>
  <c r="KR75" i="16"/>
  <c r="KR96" i="16"/>
  <c r="KR76" i="16"/>
  <c r="KR73" i="16"/>
  <c r="KR64" i="16"/>
  <c r="KR67" i="16"/>
  <c r="KR68" i="16"/>
  <c r="KR84" i="16"/>
  <c r="KR69" i="16"/>
  <c r="KR103" i="16"/>
  <c r="KR66" i="16"/>
  <c r="KR93" i="16"/>
  <c r="KR88" i="16"/>
  <c r="KR65" i="16"/>
  <c r="KR85" i="16"/>
  <c r="KR102" i="16"/>
  <c r="LG102" i="16"/>
  <c r="LG84" i="16"/>
  <c r="LG65" i="16"/>
  <c r="LG103" i="16"/>
  <c r="LG85" i="16"/>
  <c r="LG104" i="16"/>
  <c r="LG86" i="16"/>
  <c r="LG67" i="16"/>
  <c r="LG93" i="16"/>
  <c r="LG73" i="16"/>
  <c r="LG68" i="16"/>
  <c r="LG94" i="16"/>
  <c r="LG74" i="16"/>
  <c r="LG69" i="16"/>
  <c r="LG76" i="16"/>
  <c r="LG95" i="16"/>
  <c r="LG88" i="16"/>
  <c r="LG66" i="16"/>
  <c r="LG75" i="16"/>
  <c r="LG64" i="16"/>
  <c r="LG96" i="16"/>
  <c r="LV96" i="16"/>
  <c r="LV76" i="16"/>
  <c r="LV88" i="16"/>
  <c r="LV64" i="16"/>
  <c r="LV102" i="16"/>
  <c r="LV84" i="16"/>
  <c r="LV65" i="16"/>
  <c r="LV103" i="16"/>
  <c r="LV85" i="16"/>
  <c r="LV66" i="16"/>
  <c r="LV104" i="16"/>
  <c r="LV86" i="16"/>
  <c r="LV67" i="16"/>
  <c r="LV94" i="16"/>
  <c r="LV93" i="16"/>
  <c r="LV68" i="16"/>
  <c r="LV74" i="16"/>
  <c r="LV69" i="16"/>
  <c r="LV73" i="16"/>
  <c r="LV75" i="16"/>
  <c r="LV95" i="16"/>
  <c r="MK93" i="16"/>
  <c r="MK94" i="16"/>
  <c r="MK74" i="16"/>
  <c r="MK69" i="16"/>
  <c r="MK95" i="16"/>
  <c r="MK75" i="16"/>
  <c r="MK96" i="16"/>
  <c r="MK76" i="16"/>
  <c r="MK88" i="16"/>
  <c r="MK64" i="16"/>
  <c r="MK102" i="16"/>
  <c r="MK84" i="16"/>
  <c r="MK65" i="16"/>
  <c r="MK103" i="16"/>
  <c r="MK85" i="16"/>
  <c r="MK66" i="16"/>
  <c r="MK104" i="16"/>
  <c r="MK86" i="16"/>
  <c r="MK67" i="16"/>
  <c r="MK73" i="16"/>
  <c r="MK68" i="16"/>
  <c r="MS93" i="16"/>
  <c r="MS94" i="16"/>
  <c r="MS74" i="16"/>
  <c r="MS69" i="16"/>
  <c r="MS95" i="16"/>
  <c r="MS75" i="16"/>
  <c r="MS96" i="16"/>
  <c r="MS76" i="16"/>
  <c r="MS88" i="16"/>
  <c r="MS64" i="16"/>
  <c r="MS102" i="16"/>
  <c r="MS84" i="16"/>
  <c r="MS65" i="16"/>
  <c r="MS103" i="16"/>
  <c r="MS85" i="16"/>
  <c r="MS66" i="16"/>
  <c r="MS104" i="16"/>
  <c r="MS86" i="16"/>
  <c r="MS67" i="16"/>
  <c r="MS68" i="16"/>
  <c r="MS73" i="16"/>
  <c r="NH103" i="16"/>
  <c r="NH85" i="16"/>
  <c r="NH66" i="16"/>
  <c r="NH104" i="16"/>
  <c r="NH86" i="16"/>
  <c r="NH67" i="16"/>
  <c r="NH93" i="16"/>
  <c r="NH73" i="16"/>
  <c r="NH68" i="16"/>
  <c r="NH94" i="16"/>
  <c r="NH74" i="16"/>
  <c r="NH69" i="16"/>
  <c r="NH95" i="16"/>
  <c r="NH75" i="16"/>
  <c r="NH96" i="16"/>
  <c r="NH76" i="16"/>
  <c r="NH88" i="16"/>
  <c r="NH64" i="16"/>
  <c r="NH102" i="16"/>
  <c r="NH84" i="16"/>
  <c r="NH65" i="16"/>
  <c r="NW88" i="16"/>
  <c r="NW64" i="16"/>
  <c r="NW102" i="16"/>
  <c r="NW84" i="16"/>
  <c r="NW65" i="16"/>
  <c r="NW103" i="16"/>
  <c r="NW85" i="16"/>
  <c r="NW66" i="16"/>
  <c r="NW104" i="16"/>
  <c r="NW86" i="16"/>
  <c r="NW67" i="16"/>
  <c r="NW93" i="16"/>
  <c r="NW73" i="16"/>
  <c r="NW68" i="16"/>
  <c r="NW94" i="16"/>
  <c r="NW74" i="16"/>
  <c r="NW69" i="16"/>
  <c r="NW95" i="16"/>
  <c r="NW75" i="16"/>
  <c r="NW96" i="16"/>
  <c r="NW76" i="16"/>
  <c r="OL88" i="16"/>
  <c r="OL102" i="16"/>
  <c r="OL84" i="16"/>
  <c r="OL93" i="16"/>
  <c r="OL103" i="16"/>
  <c r="OL94" i="16"/>
  <c r="OL76" i="16"/>
  <c r="OL75" i="16"/>
  <c r="OL64" i="16"/>
  <c r="OL74" i="16"/>
  <c r="OL65" i="16"/>
  <c r="OL73" i="16"/>
  <c r="OL66" i="16"/>
  <c r="OL96" i="16"/>
  <c r="OL86" i="16"/>
  <c r="OL67" i="16"/>
  <c r="OL104" i="16"/>
  <c r="OL85" i="16"/>
  <c r="OL68" i="16"/>
  <c r="OL95" i="16"/>
  <c r="OL69" i="16"/>
  <c r="BO67" i="16"/>
  <c r="BP66" i="16"/>
  <c r="BQ65" i="16"/>
  <c r="BI65" i="16"/>
  <c r="BK76" i="16"/>
  <c r="BL75" i="16"/>
  <c r="BO86" i="16"/>
  <c r="BP85" i="16"/>
  <c r="BQ84" i="16"/>
  <c r="BI84" i="16"/>
  <c r="BK96" i="16"/>
  <c r="BL95" i="16"/>
  <c r="BO104" i="16"/>
  <c r="BP103" i="16"/>
  <c r="BQ102" i="16"/>
  <c r="BI102" i="16"/>
  <c r="BZ69" i="16"/>
  <c r="CA68" i="16"/>
  <c r="CD65" i="16"/>
  <c r="CE64" i="16"/>
  <c r="CF76" i="16"/>
  <c r="BZ74" i="16"/>
  <c r="CA73" i="16"/>
  <c r="CD84" i="16"/>
  <c r="CE88" i="16"/>
  <c r="CF96" i="16"/>
  <c r="BZ94" i="16"/>
  <c r="CA93" i="16"/>
  <c r="CD102" i="16"/>
  <c r="CU69" i="16"/>
  <c r="CW67" i="16"/>
  <c r="CO67" i="16"/>
  <c r="CP66" i="16"/>
  <c r="CS76" i="16"/>
  <c r="CT75" i="16"/>
  <c r="CU74" i="16"/>
  <c r="CW86" i="16"/>
  <c r="CO86" i="16"/>
  <c r="CP85" i="16"/>
  <c r="CS96" i="16"/>
  <c r="CT95" i="16"/>
  <c r="CU94" i="16"/>
  <c r="CW104" i="16"/>
  <c r="CO104" i="16"/>
  <c r="CP103" i="16"/>
  <c r="DH69" i="16"/>
  <c r="DI68" i="16"/>
  <c r="DJ67" i="16"/>
  <c r="DL65" i="16"/>
  <c r="DM64" i="16"/>
  <c r="DE64" i="16"/>
  <c r="DH74" i="16"/>
  <c r="DI73" i="16"/>
  <c r="DJ86" i="16"/>
  <c r="DL84" i="16"/>
  <c r="DM88" i="16"/>
  <c r="DE88" i="16"/>
  <c r="DH94" i="16"/>
  <c r="DI93" i="16"/>
  <c r="DJ104" i="16"/>
  <c r="DL102" i="16"/>
  <c r="DW67" i="16"/>
  <c r="DX66" i="16"/>
  <c r="DY65" i="16"/>
  <c r="EA76" i="16"/>
  <c r="DY75" i="16"/>
  <c r="EA86" i="16"/>
  <c r="DX96" i="16"/>
  <c r="DW102" i="16"/>
  <c r="EQ66" i="16"/>
  <c r="EL76" i="16"/>
  <c r="EN74" i="16"/>
  <c r="EP86" i="16"/>
  <c r="EM95" i="16"/>
  <c r="EQ104" i="16"/>
  <c r="FB68" i="16"/>
  <c r="FF65" i="16"/>
  <c r="FA74" i="16"/>
  <c r="FE85" i="16"/>
  <c r="FE88" i="16"/>
  <c r="FI94" i="16"/>
  <c r="FX67" i="16"/>
  <c r="FR85" i="16"/>
  <c r="FR88" i="16"/>
  <c r="FQ104" i="16"/>
  <c r="GI69" i="16"/>
  <c r="GM65" i="16"/>
  <c r="GG96" i="16"/>
  <c r="HR88" i="16"/>
  <c r="IF74" i="16"/>
  <c r="JK65" i="16"/>
  <c r="EB95" i="16"/>
  <c r="EB75" i="16"/>
  <c r="EB96" i="16"/>
  <c r="EB88" i="16"/>
  <c r="EB102" i="16"/>
  <c r="EQ93" i="16"/>
  <c r="EQ73" i="16"/>
  <c r="EQ68" i="16"/>
  <c r="EQ94" i="16"/>
  <c r="EQ74" i="16"/>
  <c r="EQ69" i="16"/>
  <c r="EQ95" i="16"/>
  <c r="EQ75" i="16"/>
  <c r="EQ96" i="16"/>
  <c r="EQ76" i="16"/>
  <c r="FF103" i="16"/>
  <c r="FF85" i="16"/>
  <c r="FF66" i="16"/>
  <c r="FF104" i="16"/>
  <c r="FF86" i="16"/>
  <c r="FF67" i="16"/>
  <c r="FF93" i="16"/>
  <c r="FF73" i="16"/>
  <c r="FF68" i="16"/>
  <c r="FF94" i="16"/>
  <c r="FF74" i="16"/>
  <c r="FF69" i="16"/>
  <c r="FF95" i="16"/>
  <c r="FF75" i="16"/>
  <c r="FU88" i="16"/>
  <c r="FU64" i="16"/>
  <c r="FU102" i="16"/>
  <c r="FU84" i="16"/>
  <c r="FU65" i="16"/>
  <c r="FU103" i="16"/>
  <c r="FU85" i="16"/>
  <c r="FU66" i="16"/>
  <c r="FU104" i="16"/>
  <c r="FU86" i="16"/>
  <c r="FU67" i="16"/>
  <c r="FU93" i="16"/>
  <c r="FU73" i="16"/>
  <c r="FU68" i="16"/>
  <c r="GJ94" i="16"/>
  <c r="GJ74" i="16"/>
  <c r="GJ69" i="16"/>
  <c r="GJ95" i="16"/>
  <c r="GJ75" i="16"/>
  <c r="GJ96" i="16"/>
  <c r="GJ76" i="16"/>
  <c r="GJ88" i="16"/>
  <c r="GJ64" i="16"/>
  <c r="GJ102" i="16"/>
  <c r="GJ84" i="16"/>
  <c r="GJ65" i="16"/>
  <c r="GJ103" i="16"/>
  <c r="GJ85" i="16"/>
  <c r="GJ66" i="16"/>
  <c r="GY96" i="16"/>
  <c r="GY76" i="16"/>
  <c r="GY88" i="16"/>
  <c r="GY64" i="16"/>
  <c r="GY102" i="16"/>
  <c r="GY84" i="16"/>
  <c r="GY65" i="16"/>
  <c r="GY103" i="16"/>
  <c r="GY85" i="16"/>
  <c r="GY104" i="16"/>
  <c r="GY86" i="16"/>
  <c r="GY66" i="16"/>
  <c r="GY67" i="16"/>
  <c r="GY73" i="16"/>
  <c r="GY75" i="16"/>
  <c r="GY68" i="16"/>
  <c r="GY94" i="16"/>
  <c r="GY69" i="16"/>
  <c r="GY74" i="16"/>
  <c r="HN94" i="16"/>
  <c r="HN74" i="16"/>
  <c r="HN69" i="16"/>
  <c r="HN95" i="16"/>
  <c r="HN75" i="16"/>
  <c r="HN96" i="16"/>
  <c r="HN76" i="16"/>
  <c r="HN88" i="16"/>
  <c r="HN64" i="16"/>
  <c r="HN102" i="16"/>
  <c r="HN84" i="16"/>
  <c r="HN65" i="16"/>
  <c r="HN103" i="16"/>
  <c r="HN93" i="16"/>
  <c r="HN67" i="16"/>
  <c r="HN85" i="16"/>
  <c r="HN73" i="16"/>
  <c r="HN104" i="16"/>
  <c r="IC104" i="16"/>
  <c r="IC86" i="16"/>
  <c r="IC67" i="16"/>
  <c r="IC93" i="16"/>
  <c r="IC73" i="16"/>
  <c r="IC68" i="16"/>
  <c r="IC94" i="16"/>
  <c r="IC74" i="16"/>
  <c r="IC69" i="16"/>
  <c r="IC95" i="16"/>
  <c r="IC75" i="16"/>
  <c r="IC96" i="16"/>
  <c r="IC76" i="16"/>
  <c r="IC64" i="16"/>
  <c r="IC66" i="16"/>
  <c r="IC84" i="16"/>
  <c r="IC103" i="16"/>
  <c r="IC65" i="16"/>
  <c r="IC88" i="16"/>
  <c r="IC85" i="16"/>
  <c r="IC102" i="16"/>
  <c r="IK104" i="16"/>
  <c r="IK86" i="16"/>
  <c r="IK67" i="16"/>
  <c r="IK93" i="16"/>
  <c r="IK73" i="16"/>
  <c r="IK68" i="16"/>
  <c r="IK94" i="16"/>
  <c r="IK74" i="16"/>
  <c r="IK69" i="16"/>
  <c r="IK95" i="16"/>
  <c r="IK75" i="16"/>
  <c r="IK96" i="16"/>
  <c r="IK76" i="16"/>
  <c r="IK88" i="16"/>
  <c r="IK85" i="16"/>
  <c r="IK102" i="16"/>
  <c r="IK64" i="16"/>
  <c r="IK66" i="16"/>
  <c r="IK84" i="16"/>
  <c r="IK103" i="16"/>
  <c r="IZ102" i="16"/>
  <c r="IZ84" i="16"/>
  <c r="IZ65" i="16"/>
  <c r="IZ103" i="16"/>
  <c r="IZ85" i="16"/>
  <c r="IZ66" i="16"/>
  <c r="IZ104" i="16"/>
  <c r="IZ86" i="16"/>
  <c r="IZ67" i="16"/>
  <c r="IZ93" i="16"/>
  <c r="IZ73" i="16"/>
  <c r="IZ68" i="16"/>
  <c r="IZ94" i="16"/>
  <c r="IZ74" i="16"/>
  <c r="IZ69" i="16"/>
  <c r="IZ76" i="16"/>
  <c r="IZ95" i="16"/>
  <c r="IZ88" i="16"/>
  <c r="IZ75" i="16"/>
  <c r="IZ64" i="16"/>
  <c r="IZ96" i="16"/>
  <c r="JO95" i="16"/>
  <c r="JO75" i="16"/>
  <c r="JO96" i="16"/>
  <c r="JO76" i="16"/>
  <c r="JO88" i="16"/>
  <c r="JO64" i="16"/>
  <c r="JO102" i="16"/>
  <c r="JO84" i="16"/>
  <c r="JO65" i="16"/>
  <c r="JO103" i="16"/>
  <c r="JO85" i="16"/>
  <c r="JO66" i="16"/>
  <c r="JO104" i="16"/>
  <c r="JO86" i="16"/>
  <c r="JO67" i="16"/>
  <c r="JO93" i="16"/>
  <c r="JO73" i="16"/>
  <c r="JO68" i="16"/>
  <c r="JO94" i="16"/>
  <c r="JO74" i="16"/>
  <c r="JO69" i="16"/>
  <c r="KD93" i="16"/>
  <c r="KD73" i="16"/>
  <c r="KD68" i="16"/>
  <c r="KD94" i="16"/>
  <c r="KD74" i="16"/>
  <c r="KD69" i="16"/>
  <c r="KD95" i="16"/>
  <c r="KD75" i="16"/>
  <c r="KD96" i="16"/>
  <c r="KD76" i="16"/>
  <c r="KD88" i="16"/>
  <c r="KD64" i="16"/>
  <c r="KD102" i="16"/>
  <c r="KD84" i="16"/>
  <c r="KD65" i="16"/>
  <c r="KD66" i="16"/>
  <c r="KD86" i="16"/>
  <c r="KD67" i="16"/>
  <c r="KD103" i="16"/>
  <c r="KD85" i="16"/>
  <c r="KS103" i="16"/>
  <c r="KS85" i="16"/>
  <c r="KS66" i="16"/>
  <c r="KS93" i="16"/>
  <c r="KS73" i="16"/>
  <c r="KS94" i="16"/>
  <c r="KS74" i="16"/>
  <c r="KS95" i="16"/>
  <c r="KS75" i="16"/>
  <c r="KS104" i="16"/>
  <c r="KS96" i="16"/>
  <c r="KS64" i="16"/>
  <c r="KS67" i="16"/>
  <c r="KS68" i="16"/>
  <c r="KS84" i="16"/>
  <c r="KS69" i="16"/>
  <c r="KS86" i="16"/>
  <c r="KS76" i="16"/>
  <c r="KS65" i="16"/>
  <c r="KS88" i="16"/>
  <c r="LH88" i="16"/>
  <c r="LH64" i="16"/>
  <c r="LH102" i="16"/>
  <c r="LH84" i="16"/>
  <c r="LH65" i="16"/>
  <c r="LH103" i="16"/>
  <c r="LH85" i="16"/>
  <c r="LH66" i="16"/>
  <c r="LH104" i="16"/>
  <c r="LH86" i="16"/>
  <c r="LH67" i="16"/>
  <c r="LH93" i="16"/>
  <c r="LH73" i="16"/>
  <c r="LH68" i="16"/>
  <c r="LH69" i="16"/>
  <c r="LH74" i="16"/>
  <c r="LH76" i="16"/>
  <c r="LH95" i="16"/>
  <c r="LH96" i="16"/>
  <c r="LH75" i="16"/>
  <c r="LW95" i="16"/>
  <c r="LW75" i="16"/>
  <c r="LW96" i="16"/>
  <c r="LW76" i="16"/>
  <c r="LW88" i="16"/>
  <c r="LW64" i="16"/>
  <c r="LW102" i="16"/>
  <c r="LW84" i="16"/>
  <c r="LW65" i="16"/>
  <c r="LW103" i="16"/>
  <c r="LW85" i="16"/>
  <c r="LW66" i="16"/>
  <c r="LW93" i="16"/>
  <c r="LW73" i="16"/>
  <c r="LW68" i="16"/>
  <c r="LW94" i="16"/>
  <c r="LW86" i="16"/>
  <c r="LW74" i="16"/>
  <c r="LW67" i="16"/>
  <c r="LW69" i="16"/>
  <c r="LW104" i="16"/>
  <c r="ML104" i="16"/>
  <c r="ML93" i="16"/>
  <c r="ML73" i="16"/>
  <c r="ML68" i="16"/>
  <c r="ML94" i="16"/>
  <c r="ML74" i="16"/>
  <c r="ML69" i="16"/>
  <c r="ML95" i="16"/>
  <c r="ML75" i="16"/>
  <c r="ML96" i="16"/>
  <c r="ML76" i="16"/>
  <c r="ML88" i="16"/>
  <c r="ML64" i="16"/>
  <c r="ML102" i="16"/>
  <c r="ML84" i="16"/>
  <c r="ML65" i="16"/>
  <c r="ML103" i="16"/>
  <c r="ML85" i="16"/>
  <c r="ML66" i="16"/>
  <c r="ML86" i="16"/>
  <c r="ML67" i="16"/>
  <c r="NA102" i="16"/>
  <c r="NA84" i="16"/>
  <c r="NA65" i="16"/>
  <c r="NA103" i="16"/>
  <c r="NA85" i="16"/>
  <c r="NA66" i="16"/>
  <c r="NA104" i="16"/>
  <c r="NA86" i="16"/>
  <c r="NA67" i="16"/>
  <c r="NA93" i="16"/>
  <c r="NA73" i="16"/>
  <c r="NA68" i="16"/>
  <c r="NA94" i="16"/>
  <c r="NA74" i="16"/>
  <c r="NA69" i="16"/>
  <c r="NA95" i="16"/>
  <c r="NA75" i="16"/>
  <c r="NA96" i="16"/>
  <c r="NA76" i="16"/>
  <c r="NA88" i="16"/>
  <c r="NA64" i="16"/>
  <c r="NI102" i="16"/>
  <c r="NI84" i="16"/>
  <c r="NI65" i="16"/>
  <c r="NI103" i="16"/>
  <c r="NI85" i="16"/>
  <c r="NI66" i="16"/>
  <c r="NI104" i="16"/>
  <c r="NI86" i="16"/>
  <c r="NI67" i="16"/>
  <c r="NI93" i="16"/>
  <c r="NI73" i="16"/>
  <c r="NI68" i="16"/>
  <c r="NI94" i="16"/>
  <c r="NI74" i="16"/>
  <c r="NI69" i="16"/>
  <c r="NI95" i="16"/>
  <c r="NI75" i="16"/>
  <c r="NI96" i="16"/>
  <c r="NI76" i="16"/>
  <c r="NI88" i="16"/>
  <c r="NI64" i="16"/>
  <c r="NX96" i="16"/>
  <c r="NX76" i="16"/>
  <c r="NX88" i="16"/>
  <c r="NX64" i="16"/>
  <c r="NX102" i="16"/>
  <c r="NX84" i="16"/>
  <c r="NX65" i="16"/>
  <c r="NX103" i="16"/>
  <c r="NX85" i="16"/>
  <c r="NX66" i="16"/>
  <c r="NX104" i="16"/>
  <c r="NX86" i="16"/>
  <c r="NX67" i="16"/>
  <c r="NX93" i="16"/>
  <c r="NX73" i="16"/>
  <c r="NX68" i="16"/>
  <c r="NX94" i="16"/>
  <c r="NX74" i="16"/>
  <c r="NX69" i="16"/>
  <c r="NX95" i="16"/>
  <c r="NX75" i="16"/>
  <c r="OM96" i="16"/>
  <c r="OM88" i="16"/>
  <c r="OM102" i="16"/>
  <c r="OM104" i="16"/>
  <c r="OM95" i="16"/>
  <c r="OM84" i="16"/>
  <c r="OM69" i="16"/>
  <c r="OM103" i="16"/>
  <c r="OM94" i="16"/>
  <c r="OM76" i="16"/>
  <c r="OM75" i="16"/>
  <c r="OM64" i="16"/>
  <c r="OM93" i="16"/>
  <c r="OM74" i="16"/>
  <c r="OM65" i="16"/>
  <c r="OM73" i="16"/>
  <c r="OM66" i="16"/>
  <c r="OM86" i="16"/>
  <c r="OM67" i="16"/>
  <c r="OM85" i="16"/>
  <c r="OM68" i="16"/>
  <c r="BL69" i="16"/>
  <c r="BO66" i="16"/>
  <c r="BP65" i="16"/>
  <c r="BQ64" i="16"/>
  <c r="BI64" i="16"/>
  <c r="BK75" i="16"/>
  <c r="BL74" i="16"/>
  <c r="BO85" i="16"/>
  <c r="BP84" i="16"/>
  <c r="BZ68" i="16"/>
  <c r="CA67" i="16"/>
  <c r="CD64" i="16"/>
  <c r="CE76" i="16"/>
  <c r="CF75" i="16"/>
  <c r="BZ73" i="16"/>
  <c r="CA86" i="16"/>
  <c r="CT69" i="16"/>
  <c r="CU68" i="16"/>
  <c r="CW66" i="16"/>
  <c r="CO66" i="16"/>
  <c r="CP65" i="16"/>
  <c r="CS75" i="16"/>
  <c r="CT74" i="16"/>
  <c r="CU73" i="16"/>
  <c r="CW85" i="16"/>
  <c r="CO85" i="16"/>
  <c r="CP84" i="16"/>
  <c r="DH68" i="16"/>
  <c r="DI67" i="16"/>
  <c r="DJ66" i="16"/>
  <c r="DL64" i="16"/>
  <c r="DM76" i="16"/>
  <c r="DE76" i="16"/>
  <c r="DH73" i="16"/>
  <c r="DI86" i="16"/>
  <c r="DJ85" i="16"/>
  <c r="EB69" i="16"/>
  <c r="DW66" i="16"/>
  <c r="DX65" i="16"/>
  <c r="DY64" i="16"/>
  <c r="DX75" i="16"/>
  <c r="EB73" i="16"/>
  <c r="DY88" i="16"/>
  <c r="DW96" i="16"/>
  <c r="EA94" i="16"/>
  <c r="DY93" i="16"/>
  <c r="EN68" i="16"/>
  <c r="EP66" i="16"/>
  <c r="EM74" i="16"/>
  <c r="EQ84" i="16"/>
  <c r="EL95" i="16"/>
  <c r="EP104" i="16"/>
  <c r="FA68" i="16"/>
  <c r="FE65" i="16"/>
  <c r="FI75" i="16"/>
  <c r="FI73" i="16"/>
  <c r="FC104" i="16"/>
  <c r="FR65" i="16"/>
  <c r="FQ85" i="16"/>
  <c r="FU96" i="16"/>
  <c r="FU94" i="16"/>
  <c r="FY103" i="16"/>
  <c r="GG75" i="16"/>
  <c r="GO95" i="16"/>
  <c r="GJ104" i="16"/>
  <c r="HD68" i="16"/>
  <c r="GY95" i="16"/>
  <c r="HN66" i="16"/>
  <c r="HQ88" i="16"/>
  <c r="IJ85" i="16"/>
  <c r="JN75" i="16"/>
  <c r="JZ96" i="16"/>
  <c r="MA64" i="16"/>
  <c r="BM93" i="17"/>
  <c r="BM73" i="17"/>
  <c r="BM68" i="17"/>
  <c r="BM94" i="17"/>
  <c r="BM74" i="17"/>
  <c r="BM69" i="17"/>
  <c r="BM95" i="17"/>
  <c r="BM75" i="17"/>
  <c r="BM96" i="17"/>
  <c r="BM76" i="17"/>
  <c r="BM88" i="17"/>
  <c r="BM64" i="17"/>
  <c r="BM102" i="17"/>
  <c r="BM84" i="17"/>
  <c r="BM65" i="17"/>
  <c r="BM103" i="17"/>
  <c r="BM85" i="17"/>
  <c r="CB103" i="17"/>
  <c r="CB85" i="17"/>
  <c r="CB66" i="17"/>
  <c r="CB104" i="17"/>
  <c r="CB86" i="17"/>
  <c r="CB67" i="17"/>
  <c r="CB93" i="17"/>
  <c r="CB73" i="17"/>
  <c r="CB68" i="17"/>
  <c r="CB94" i="17"/>
  <c r="CB74" i="17"/>
  <c r="CB69" i="17"/>
  <c r="CB95" i="17"/>
  <c r="CB75" i="17"/>
  <c r="CB96" i="17"/>
  <c r="CB76" i="17"/>
  <c r="CB88" i="17"/>
  <c r="CB64" i="17"/>
  <c r="CQ88" i="17"/>
  <c r="CQ64" i="17"/>
  <c r="CQ102" i="17"/>
  <c r="CQ84" i="17"/>
  <c r="CQ65" i="17"/>
  <c r="CQ103" i="17"/>
  <c r="CQ85" i="17"/>
  <c r="CQ66" i="17"/>
  <c r="CQ104" i="17"/>
  <c r="CQ86" i="17"/>
  <c r="CQ67" i="17"/>
  <c r="CQ93" i="17"/>
  <c r="CQ73" i="17"/>
  <c r="CQ68" i="17"/>
  <c r="CQ94" i="17"/>
  <c r="CQ74" i="17"/>
  <c r="CQ69" i="17"/>
  <c r="CQ95" i="17"/>
  <c r="CQ75" i="17"/>
  <c r="DF95" i="17"/>
  <c r="DF75" i="17"/>
  <c r="DF96" i="17"/>
  <c r="DF76" i="17"/>
  <c r="DF88" i="17"/>
  <c r="DF64" i="17"/>
  <c r="DF102" i="17"/>
  <c r="DF84" i="17"/>
  <c r="DF65" i="17"/>
  <c r="DF103" i="17"/>
  <c r="DF85" i="17"/>
  <c r="DF66" i="17"/>
  <c r="DF104" i="17"/>
  <c r="DF86" i="17"/>
  <c r="DF67" i="17"/>
  <c r="DF93" i="17"/>
  <c r="DF73" i="17"/>
  <c r="DF68" i="17"/>
  <c r="DU88" i="17"/>
  <c r="DU102" i="17"/>
  <c r="DU84" i="17"/>
  <c r="DU103" i="17"/>
  <c r="DU94" i="17"/>
  <c r="DU74" i="17"/>
  <c r="DU75" i="17"/>
  <c r="DU68" i="17"/>
  <c r="DU93" i="17"/>
  <c r="DU96" i="17"/>
  <c r="DU85" i="17"/>
  <c r="DU69" i="17"/>
  <c r="DU95" i="17"/>
  <c r="DU64" i="17"/>
  <c r="DU104" i="17"/>
  <c r="DU73" i="17"/>
  <c r="DU65" i="17"/>
  <c r="DU76" i="17"/>
  <c r="DU66" i="17"/>
  <c r="EC88" i="17"/>
  <c r="EC102" i="17"/>
  <c r="EC84" i="17"/>
  <c r="EC103" i="17"/>
  <c r="EC94" i="17"/>
  <c r="EC74" i="17"/>
  <c r="EC104" i="17"/>
  <c r="EC95" i="17"/>
  <c r="EC68" i="17"/>
  <c r="EC69" i="17"/>
  <c r="EC73" i="17"/>
  <c r="EC76" i="17"/>
  <c r="EC86" i="17"/>
  <c r="EC64" i="17"/>
  <c r="EC93" i="17"/>
  <c r="EC75" i="17"/>
  <c r="EC65" i="17"/>
  <c r="EC96" i="17"/>
  <c r="EC85" i="17"/>
  <c r="EC66" i="17"/>
  <c r="ER95" i="17"/>
  <c r="ER75" i="17"/>
  <c r="ER96" i="17"/>
  <c r="ER76" i="17"/>
  <c r="ER88" i="17"/>
  <c r="ER64" i="17"/>
  <c r="ER102" i="17"/>
  <c r="ER84" i="17"/>
  <c r="ER104" i="17"/>
  <c r="ER86" i="17"/>
  <c r="ER67" i="17"/>
  <c r="ER93" i="17"/>
  <c r="ER73" i="17"/>
  <c r="ER68" i="17"/>
  <c r="ER65" i="17"/>
  <c r="ER94" i="17"/>
  <c r="ER103" i="17"/>
  <c r="ER74" i="17"/>
  <c r="ER85" i="17"/>
  <c r="ER66" i="17"/>
  <c r="ER69" i="17"/>
  <c r="FG93" i="17"/>
  <c r="FG73" i="17"/>
  <c r="FG68" i="17"/>
  <c r="FG94" i="17"/>
  <c r="FG74" i="17"/>
  <c r="FG69" i="17"/>
  <c r="FG95" i="17"/>
  <c r="FG75" i="17"/>
  <c r="FG96" i="17"/>
  <c r="FG76" i="17"/>
  <c r="FG102" i="17"/>
  <c r="FG84" i="17"/>
  <c r="FG65" i="17"/>
  <c r="FG103" i="17"/>
  <c r="FG85" i="17"/>
  <c r="FG66" i="17"/>
  <c r="FG88" i="17"/>
  <c r="FG67" i="17"/>
  <c r="FG64" i="17"/>
  <c r="FG104" i="17"/>
  <c r="FV103" i="17"/>
  <c r="FV85" i="17"/>
  <c r="FV66" i="17"/>
  <c r="FV104" i="17"/>
  <c r="FV86" i="17"/>
  <c r="FV67" i="17"/>
  <c r="FV93" i="17"/>
  <c r="FV73" i="17"/>
  <c r="FV68" i="17"/>
  <c r="FV94" i="17"/>
  <c r="FV74" i="17"/>
  <c r="FV69" i="17"/>
  <c r="FV96" i="17"/>
  <c r="FV76" i="17"/>
  <c r="FV88" i="17"/>
  <c r="FV64" i="17"/>
  <c r="FV102" i="17"/>
  <c r="FV84" i="17"/>
  <c r="FV95" i="17"/>
  <c r="FV65" i="17"/>
  <c r="FV75" i="17"/>
  <c r="GK88" i="17"/>
  <c r="GK64" i="17"/>
  <c r="GK102" i="17"/>
  <c r="GK84" i="17"/>
  <c r="GK65" i="17"/>
  <c r="GK103" i="17"/>
  <c r="GK85" i="17"/>
  <c r="GK66" i="17"/>
  <c r="GK104" i="17"/>
  <c r="GK86" i="17"/>
  <c r="GK67" i="17"/>
  <c r="GK94" i="17"/>
  <c r="GK74" i="17"/>
  <c r="GK69" i="17"/>
  <c r="GK95" i="17"/>
  <c r="GK75" i="17"/>
  <c r="GK93" i="17"/>
  <c r="GK76" i="17"/>
  <c r="GK73" i="17"/>
  <c r="GK68" i="17"/>
  <c r="GZ95" i="17"/>
  <c r="GZ75" i="17"/>
  <c r="GZ96" i="17"/>
  <c r="GZ76" i="17"/>
  <c r="GZ88" i="17"/>
  <c r="GZ64" i="17"/>
  <c r="GZ102" i="17"/>
  <c r="GZ84" i="17"/>
  <c r="GZ65" i="17"/>
  <c r="GZ104" i="17"/>
  <c r="GZ86" i="17"/>
  <c r="GZ67" i="17"/>
  <c r="GZ93" i="17"/>
  <c r="GZ73" i="17"/>
  <c r="GZ68" i="17"/>
  <c r="GZ66" i="17"/>
  <c r="GZ94" i="17"/>
  <c r="GZ103" i="17"/>
  <c r="GZ74" i="17"/>
  <c r="GZ85" i="17"/>
  <c r="HO94" i="17"/>
  <c r="HO74" i="17"/>
  <c r="HO88" i="17"/>
  <c r="HO64" i="17"/>
  <c r="HO102" i="17"/>
  <c r="HO103" i="17"/>
  <c r="HO104" i="17"/>
  <c r="HO73" i="17"/>
  <c r="HO66" i="17"/>
  <c r="HO68" i="17"/>
  <c r="HO93" i="17"/>
  <c r="HO96" i="17"/>
  <c r="HO86" i="17"/>
  <c r="HO65" i="17"/>
  <c r="HO69" i="17"/>
  <c r="HO85" i="17"/>
  <c r="HO95" i="17"/>
  <c r="HO75" i="17"/>
  <c r="HO84" i="17"/>
  <c r="HO67" i="17"/>
  <c r="HO76" i="17"/>
  <c r="ID102" i="17"/>
  <c r="ID86" i="17"/>
  <c r="ID67" i="17"/>
  <c r="ID103" i="17"/>
  <c r="ID104" i="17"/>
  <c r="ID93" i="17"/>
  <c r="ID94" i="17"/>
  <c r="ID95" i="17"/>
  <c r="ID75" i="17"/>
  <c r="ID96" i="17"/>
  <c r="ID76" i="17"/>
  <c r="ID88" i="17"/>
  <c r="ID64" i="17"/>
  <c r="ID84" i="17"/>
  <c r="ID65" i="17"/>
  <c r="ID69" i="17"/>
  <c r="ID73" i="17"/>
  <c r="ID85" i="17"/>
  <c r="ID68" i="17"/>
  <c r="ID74" i="17"/>
  <c r="ID66" i="17"/>
  <c r="IS96" i="17"/>
  <c r="IS76" i="17"/>
  <c r="IS88" i="17"/>
  <c r="IS103" i="17"/>
  <c r="IS94" i="17"/>
  <c r="IS86" i="17"/>
  <c r="IS93" i="17"/>
  <c r="IS84" i="17"/>
  <c r="IS64" i="17"/>
  <c r="IS65" i="17"/>
  <c r="IS66" i="17"/>
  <c r="IS67" i="17"/>
  <c r="IS68" i="17"/>
  <c r="IS69" i="17"/>
  <c r="IS102" i="17"/>
  <c r="IS104" i="17"/>
  <c r="IS75" i="17"/>
  <c r="IS74" i="17"/>
  <c r="IS85" i="17"/>
  <c r="IS95" i="17"/>
  <c r="IS73" i="17"/>
  <c r="JA96" i="17"/>
  <c r="JA76" i="17"/>
  <c r="JA88" i="17"/>
  <c r="JA103" i="17"/>
  <c r="JA84" i="17"/>
  <c r="JA75" i="17"/>
  <c r="JA74" i="17"/>
  <c r="JA95" i="17"/>
  <c r="JA73" i="17"/>
  <c r="JA94" i="17"/>
  <c r="JA86" i="17"/>
  <c r="JA64" i="17"/>
  <c r="JA68" i="17"/>
  <c r="JA104" i="17"/>
  <c r="JA65" i="17"/>
  <c r="JA69" i="17"/>
  <c r="JA93" i="17"/>
  <c r="JA66" i="17"/>
  <c r="JA85" i="17"/>
  <c r="JA67" i="17"/>
  <c r="JA102" i="17"/>
  <c r="JP94" i="17"/>
  <c r="JP74" i="17"/>
  <c r="JP69" i="17"/>
  <c r="JP95" i="17"/>
  <c r="JP75" i="17"/>
  <c r="JP88" i="17"/>
  <c r="JP64" i="17"/>
  <c r="JP102" i="17"/>
  <c r="JP84" i="17"/>
  <c r="JP65" i="17"/>
  <c r="JP85" i="17"/>
  <c r="JP73" i="17"/>
  <c r="JP96" i="17"/>
  <c r="JP103" i="17"/>
  <c r="JP66" i="17"/>
  <c r="JP86" i="17"/>
  <c r="JP93" i="17"/>
  <c r="JP68" i="17"/>
  <c r="JP104" i="17"/>
  <c r="JP67" i="17"/>
  <c r="JP76" i="17"/>
  <c r="KE88" i="17"/>
  <c r="KE102" i="17"/>
  <c r="KE84" i="17"/>
  <c r="KE103" i="17"/>
  <c r="KE67" i="17"/>
  <c r="KE104" i="17"/>
  <c r="KE96" i="17"/>
  <c r="KE68" i="17"/>
  <c r="KE85" i="17"/>
  <c r="KE95" i="17"/>
  <c r="KE75" i="17"/>
  <c r="KE76" i="17"/>
  <c r="KE94" i="17"/>
  <c r="KE73" i="17"/>
  <c r="KE69" i="17"/>
  <c r="KE64" i="17"/>
  <c r="KE66" i="17"/>
  <c r="KE65" i="17"/>
  <c r="KE86" i="17"/>
  <c r="KE74" i="17"/>
  <c r="KE93" i="17"/>
  <c r="KT103" i="17"/>
  <c r="KT85" i="17"/>
  <c r="KT104" i="17"/>
  <c r="KT86" i="17"/>
  <c r="KT75" i="17"/>
  <c r="KT76" i="17"/>
  <c r="KT84" i="17"/>
  <c r="KT64" i="17"/>
  <c r="KT102" i="17"/>
  <c r="KT94" i="17"/>
  <c r="KT96" i="17"/>
  <c r="KT65" i="17"/>
  <c r="KT69" i="17"/>
  <c r="KT68" i="17"/>
  <c r="KT93" i="17"/>
  <c r="KT95" i="17"/>
  <c r="KT88" i="17"/>
  <c r="KT74" i="17"/>
  <c r="KT66" i="17"/>
  <c r="KT67" i="17"/>
  <c r="KT73" i="17"/>
  <c r="LI88" i="17"/>
  <c r="LI64" i="17"/>
  <c r="LI102" i="17"/>
  <c r="LI84" i="17"/>
  <c r="LI65" i="17"/>
  <c r="LI94" i="17"/>
  <c r="LI86" i="17"/>
  <c r="LI93" i="17"/>
  <c r="LI85" i="17"/>
  <c r="LI104" i="17"/>
  <c r="LI103" i="17"/>
  <c r="LI76" i="17"/>
  <c r="LI68" i="17"/>
  <c r="LI74" i="17"/>
  <c r="LI95" i="17"/>
  <c r="LI66" i="17"/>
  <c r="LI69" i="17"/>
  <c r="LI73" i="17"/>
  <c r="LI67" i="17"/>
  <c r="LI96" i="17"/>
  <c r="LI75" i="17"/>
  <c r="LX94" i="17"/>
  <c r="LX95" i="17"/>
  <c r="LX75" i="17"/>
  <c r="LX96" i="17"/>
  <c r="LX76" i="17"/>
  <c r="LX74" i="17"/>
  <c r="LX67" i="17"/>
  <c r="LX104" i="17"/>
  <c r="LX73" i="17"/>
  <c r="LX66" i="17"/>
  <c r="LX86" i="17"/>
  <c r="LX65" i="17"/>
  <c r="LX103" i="17"/>
  <c r="LX85" i="17"/>
  <c r="LX64" i="17"/>
  <c r="LX88" i="17"/>
  <c r="LX68" i="17"/>
  <c r="LX84" i="17"/>
  <c r="LX93" i="17"/>
  <c r="LX102" i="17"/>
  <c r="LX69" i="17"/>
  <c r="MM102" i="17"/>
  <c r="MM103" i="17"/>
  <c r="MM85" i="17"/>
  <c r="MM104" i="17"/>
  <c r="MM86" i="17"/>
  <c r="MM93" i="17"/>
  <c r="MM73" i="17"/>
  <c r="MM94" i="17"/>
  <c r="MM74" i="17"/>
  <c r="MM95" i="17"/>
  <c r="MM96" i="17"/>
  <c r="MM84" i="17"/>
  <c r="MM67" i="17"/>
  <c r="MM68" i="17"/>
  <c r="MM69" i="17"/>
  <c r="MM88" i="17"/>
  <c r="MM65" i="17"/>
  <c r="MM64" i="17"/>
  <c r="MM76" i="17"/>
  <c r="MM66" i="17"/>
  <c r="MM75" i="17"/>
  <c r="NB96" i="17"/>
  <c r="NB76" i="17"/>
  <c r="NB88" i="17"/>
  <c r="NB64" i="17"/>
  <c r="NB102" i="17"/>
  <c r="NB84" i="17"/>
  <c r="NB65" i="17"/>
  <c r="NB103" i="17"/>
  <c r="NB85" i="17"/>
  <c r="NB66" i="17"/>
  <c r="NB104" i="17"/>
  <c r="NB86" i="17"/>
  <c r="NB67" i="17"/>
  <c r="NB93" i="17"/>
  <c r="NB73" i="17"/>
  <c r="NB68" i="17"/>
  <c r="NB69" i="17"/>
  <c r="NB75" i="17"/>
  <c r="NB95" i="17"/>
  <c r="NB74" i="17"/>
  <c r="NB94" i="17"/>
  <c r="NQ93" i="17"/>
  <c r="NQ73" i="17"/>
  <c r="NQ68" i="17"/>
  <c r="NQ94" i="17"/>
  <c r="NQ74" i="17"/>
  <c r="NQ69" i="17"/>
  <c r="NQ95" i="17"/>
  <c r="NQ75" i="17"/>
  <c r="NQ96" i="17"/>
  <c r="NQ76" i="17"/>
  <c r="NQ88" i="17"/>
  <c r="NQ64" i="17"/>
  <c r="NQ102" i="17"/>
  <c r="NQ84" i="17"/>
  <c r="NQ65" i="17"/>
  <c r="NQ103" i="17"/>
  <c r="NQ85" i="17"/>
  <c r="NQ66" i="17"/>
  <c r="NQ104" i="17"/>
  <c r="NQ86" i="17"/>
  <c r="NQ67" i="17"/>
  <c r="NY93" i="17"/>
  <c r="NY73" i="17"/>
  <c r="NY68" i="17"/>
  <c r="NY94" i="17"/>
  <c r="NY74" i="17"/>
  <c r="NY69" i="17"/>
  <c r="NY95" i="17"/>
  <c r="NY75" i="17"/>
  <c r="NY96" i="17"/>
  <c r="NY76" i="17"/>
  <c r="NY88" i="17"/>
  <c r="NY64" i="17"/>
  <c r="NY102" i="17"/>
  <c r="NY84" i="17"/>
  <c r="NY65" i="17"/>
  <c r="NY103" i="17"/>
  <c r="NY85" i="17"/>
  <c r="NY66" i="17"/>
  <c r="NY104" i="17"/>
  <c r="NY67" i="17"/>
  <c r="NY86" i="17"/>
  <c r="ON103" i="17"/>
  <c r="ON85" i="17"/>
  <c r="ON66" i="17"/>
  <c r="ON104" i="17"/>
  <c r="ON86" i="17"/>
  <c r="ON67" i="17"/>
  <c r="ON93" i="17"/>
  <c r="ON73" i="17"/>
  <c r="ON68" i="17"/>
  <c r="ON94" i="17"/>
  <c r="ON74" i="17"/>
  <c r="ON69" i="17"/>
  <c r="ON95" i="17"/>
  <c r="ON75" i="17"/>
  <c r="ON96" i="17"/>
  <c r="ON76" i="17"/>
  <c r="ON88" i="17"/>
  <c r="ON64" i="17"/>
  <c r="ON102" i="17"/>
  <c r="ON84" i="17"/>
  <c r="ON65" i="17"/>
  <c r="BN104" i="17"/>
  <c r="BN86" i="17"/>
  <c r="BN67" i="17"/>
  <c r="BN93" i="17"/>
  <c r="BN73" i="17"/>
  <c r="BN68" i="17"/>
  <c r="BN94" i="17"/>
  <c r="BN74" i="17"/>
  <c r="BN69" i="17"/>
  <c r="BN95" i="17"/>
  <c r="BN75" i="17"/>
  <c r="BN96" i="17"/>
  <c r="BN76" i="17"/>
  <c r="BN88" i="17"/>
  <c r="BN64" i="17"/>
  <c r="BN102" i="17"/>
  <c r="BN84" i="17"/>
  <c r="CC102" i="17"/>
  <c r="CC84" i="17"/>
  <c r="CC65" i="17"/>
  <c r="CC103" i="17"/>
  <c r="CC85" i="17"/>
  <c r="CC66" i="17"/>
  <c r="CC104" i="17"/>
  <c r="CC86" i="17"/>
  <c r="CC67" i="17"/>
  <c r="CC93" i="17"/>
  <c r="CC73" i="17"/>
  <c r="CC68" i="17"/>
  <c r="CC94" i="17"/>
  <c r="CC74" i="17"/>
  <c r="CC69" i="17"/>
  <c r="CC95" i="17"/>
  <c r="CC75" i="17"/>
  <c r="CC96" i="17"/>
  <c r="CC76" i="17"/>
  <c r="CR96" i="17"/>
  <c r="CR76" i="17"/>
  <c r="CR88" i="17"/>
  <c r="CR64" i="17"/>
  <c r="CR102" i="17"/>
  <c r="CR84" i="17"/>
  <c r="CR65" i="17"/>
  <c r="CR103" i="17"/>
  <c r="CR85" i="17"/>
  <c r="CR66" i="17"/>
  <c r="CR104" i="17"/>
  <c r="CR86" i="17"/>
  <c r="CR67" i="17"/>
  <c r="CR93" i="17"/>
  <c r="CR73" i="17"/>
  <c r="CR68" i="17"/>
  <c r="CR94" i="17"/>
  <c r="CR74" i="17"/>
  <c r="CR69" i="17"/>
  <c r="DG94" i="17"/>
  <c r="DG74" i="17"/>
  <c r="DG69" i="17"/>
  <c r="DG95" i="17"/>
  <c r="DG75" i="17"/>
  <c r="DG96" i="17"/>
  <c r="DG76" i="17"/>
  <c r="DG88" i="17"/>
  <c r="DG64" i="17"/>
  <c r="DG102" i="17"/>
  <c r="DG84" i="17"/>
  <c r="DG65" i="17"/>
  <c r="DG103" i="17"/>
  <c r="DG85" i="17"/>
  <c r="DG66" i="17"/>
  <c r="DG104" i="17"/>
  <c r="DG86" i="17"/>
  <c r="DG67" i="17"/>
  <c r="DV96" i="17"/>
  <c r="DV76" i="17"/>
  <c r="DV88" i="17"/>
  <c r="DV102" i="17"/>
  <c r="DV93" i="17"/>
  <c r="DV73" i="17"/>
  <c r="DV86" i="17"/>
  <c r="DV67" i="17"/>
  <c r="DV75" i="17"/>
  <c r="DV68" i="17"/>
  <c r="DV103" i="17"/>
  <c r="DV85" i="17"/>
  <c r="DV69" i="17"/>
  <c r="DV74" i="17"/>
  <c r="DV95" i="17"/>
  <c r="DV84" i="17"/>
  <c r="DV64" i="17"/>
  <c r="DV104" i="17"/>
  <c r="DV94" i="17"/>
  <c r="DV65" i="17"/>
  <c r="EK94" i="17"/>
  <c r="EK74" i="17"/>
  <c r="EK69" i="17"/>
  <c r="EK95" i="17"/>
  <c r="EK75" i="17"/>
  <c r="EK96" i="17"/>
  <c r="EK76" i="17"/>
  <c r="EK88" i="17"/>
  <c r="EK103" i="17"/>
  <c r="EK85" i="17"/>
  <c r="EK66" i="17"/>
  <c r="EK104" i="17"/>
  <c r="EK86" i="17"/>
  <c r="EK67" i="17"/>
  <c r="EK84" i="17"/>
  <c r="EK68" i="17"/>
  <c r="EK64" i="17"/>
  <c r="EK93" i="17"/>
  <c r="EK102" i="17"/>
  <c r="EK65" i="17"/>
  <c r="ES94" i="17"/>
  <c r="ES74" i="17"/>
  <c r="ES69" i="17"/>
  <c r="ES95" i="17"/>
  <c r="ES75" i="17"/>
  <c r="ES96" i="17"/>
  <c r="ES76" i="17"/>
  <c r="ES88" i="17"/>
  <c r="ES103" i="17"/>
  <c r="ES85" i="17"/>
  <c r="ES66" i="17"/>
  <c r="ES104" i="17"/>
  <c r="ES86" i="17"/>
  <c r="ES67" i="17"/>
  <c r="ES102" i="17"/>
  <c r="ES73" i="17"/>
  <c r="ES65" i="17"/>
  <c r="ES84" i="17"/>
  <c r="ES68" i="17"/>
  <c r="ES64" i="17"/>
  <c r="FH104" i="17"/>
  <c r="FH86" i="17"/>
  <c r="FH67" i="17"/>
  <c r="FH93" i="17"/>
  <c r="FH73" i="17"/>
  <c r="FH68" i="17"/>
  <c r="FH94" i="17"/>
  <c r="FH74" i="17"/>
  <c r="FH69" i="17"/>
  <c r="FH95" i="17"/>
  <c r="FH75" i="17"/>
  <c r="FH88" i="17"/>
  <c r="FH64" i="17"/>
  <c r="FH102" i="17"/>
  <c r="FH84" i="17"/>
  <c r="FH65" i="17"/>
  <c r="FH76" i="17"/>
  <c r="FH103" i="17"/>
  <c r="FH85" i="17"/>
  <c r="FH96" i="17"/>
  <c r="FW102" i="17"/>
  <c r="FW84" i="17"/>
  <c r="FW65" i="17"/>
  <c r="FW103" i="17"/>
  <c r="FW85" i="17"/>
  <c r="FW66" i="17"/>
  <c r="FW104" i="17"/>
  <c r="FW86" i="17"/>
  <c r="FW67" i="17"/>
  <c r="FW93" i="17"/>
  <c r="FW73" i="17"/>
  <c r="FW68" i="17"/>
  <c r="FW95" i="17"/>
  <c r="FW75" i="17"/>
  <c r="FW96" i="17"/>
  <c r="FW76" i="17"/>
  <c r="FW88" i="17"/>
  <c r="FW94" i="17"/>
  <c r="FW64" i="17"/>
  <c r="FW74" i="17"/>
  <c r="FW69" i="17"/>
  <c r="GL96" i="17"/>
  <c r="GL76" i="17"/>
  <c r="GL88" i="17"/>
  <c r="GL64" i="17"/>
  <c r="GL102" i="17"/>
  <c r="GL84" i="17"/>
  <c r="GL65" i="17"/>
  <c r="GL103" i="17"/>
  <c r="GL85" i="17"/>
  <c r="GL66" i="17"/>
  <c r="GL93" i="17"/>
  <c r="GL73" i="17"/>
  <c r="GL68" i="17"/>
  <c r="GL94" i="17"/>
  <c r="GL74" i="17"/>
  <c r="GL69" i="17"/>
  <c r="GL86" i="17"/>
  <c r="GL67" i="17"/>
  <c r="GL95" i="17"/>
  <c r="GL104" i="17"/>
  <c r="HA94" i="17"/>
  <c r="HA74" i="17"/>
  <c r="HA69" i="17"/>
  <c r="HA95" i="17"/>
  <c r="HA75" i="17"/>
  <c r="HA96" i="17"/>
  <c r="HA76" i="17"/>
  <c r="HA88" i="17"/>
  <c r="HA64" i="17"/>
  <c r="HA103" i="17"/>
  <c r="HA85" i="17"/>
  <c r="HA66" i="17"/>
  <c r="HA104" i="17"/>
  <c r="HA86" i="17"/>
  <c r="HA67" i="17"/>
  <c r="HA93" i="17"/>
  <c r="HA102" i="17"/>
  <c r="HA73" i="17"/>
  <c r="HA84" i="17"/>
  <c r="HA68" i="17"/>
  <c r="HA65" i="17"/>
  <c r="HP93" i="17"/>
  <c r="HP73" i="17"/>
  <c r="HP96" i="17"/>
  <c r="HP76" i="17"/>
  <c r="HP102" i="17"/>
  <c r="HP84" i="17"/>
  <c r="HP103" i="17"/>
  <c r="HP67" i="17"/>
  <c r="HP66" i="17"/>
  <c r="HP68" i="17"/>
  <c r="HP86" i="17"/>
  <c r="HP65" i="17"/>
  <c r="HP69" i="17"/>
  <c r="HP85" i="17"/>
  <c r="HP64" i="17"/>
  <c r="HP104" i="17"/>
  <c r="HP94" i="17"/>
  <c r="HP75" i="17"/>
  <c r="HP88" i="17"/>
  <c r="HP74" i="17"/>
  <c r="HP95" i="17"/>
  <c r="IE85" i="17"/>
  <c r="IE66" i="17"/>
  <c r="IE102" i="17"/>
  <c r="IE103" i="17"/>
  <c r="IE104" i="17"/>
  <c r="IE93" i="17"/>
  <c r="IE94" i="17"/>
  <c r="IE74" i="17"/>
  <c r="IE69" i="17"/>
  <c r="IE95" i="17"/>
  <c r="IE75" i="17"/>
  <c r="IE96" i="17"/>
  <c r="IE76" i="17"/>
  <c r="IE88" i="17"/>
  <c r="IE64" i="17"/>
  <c r="IE86" i="17"/>
  <c r="IE67" i="17"/>
  <c r="IE84" i="17"/>
  <c r="IE73" i="17"/>
  <c r="IE65" i="17"/>
  <c r="IE68" i="17"/>
  <c r="IT95" i="17"/>
  <c r="IT75" i="17"/>
  <c r="IT96" i="17"/>
  <c r="IT76" i="17"/>
  <c r="IT102" i="17"/>
  <c r="IT103" i="17"/>
  <c r="IT73" i="17"/>
  <c r="IT85" i="17"/>
  <c r="IT93" i="17"/>
  <c r="IT84" i="17"/>
  <c r="IT64" i="17"/>
  <c r="IT65" i="17"/>
  <c r="IT66" i="17"/>
  <c r="IT67" i="17"/>
  <c r="IT68" i="17"/>
  <c r="IT69" i="17"/>
  <c r="IT88" i="17"/>
  <c r="IT104" i="17"/>
  <c r="IT74" i="17"/>
  <c r="IT94" i="17"/>
  <c r="IT86" i="17"/>
  <c r="JI93" i="17"/>
  <c r="JI73" i="17"/>
  <c r="JI68" i="17"/>
  <c r="JI94" i="17"/>
  <c r="JI74" i="17"/>
  <c r="JI69" i="17"/>
  <c r="JI96" i="17"/>
  <c r="JI76" i="17"/>
  <c r="JI88" i="17"/>
  <c r="JI64" i="17"/>
  <c r="JI84" i="17"/>
  <c r="JI86" i="17"/>
  <c r="JI95" i="17"/>
  <c r="JI102" i="17"/>
  <c r="JI65" i="17"/>
  <c r="JI85" i="17"/>
  <c r="JI104" i="17"/>
  <c r="JI67" i="17"/>
  <c r="JI103" i="17"/>
  <c r="JI66" i="17"/>
  <c r="JI75" i="17"/>
  <c r="JQ93" i="17"/>
  <c r="JQ73" i="17"/>
  <c r="JQ68" i="17"/>
  <c r="JQ94" i="17"/>
  <c r="JQ74" i="17"/>
  <c r="JQ69" i="17"/>
  <c r="JQ96" i="17"/>
  <c r="JQ76" i="17"/>
  <c r="JQ88" i="17"/>
  <c r="JQ64" i="17"/>
  <c r="JQ102" i="17"/>
  <c r="JQ65" i="17"/>
  <c r="JQ104" i="17"/>
  <c r="JQ67" i="17"/>
  <c r="JQ75" i="17"/>
  <c r="JQ84" i="17"/>
  <c r="JQ103" i="17"/>
  <c r="JQ66" i="17"/>
  <c r="JQ86" i="17"/>
  <c r="JQ85" i="17"/>
  <c r="JQ95" i="17"/>
  <c r="KF96" i="17"/>
  <c r="KF88" i="17"/>
  <c r="KF102" i="17"/>
  <c r="KF84" i="17"/>
  <c r="KF93" i="17"/>
  <c r="KF66" i="17"/>
  <c r="KF67" i="17"/>
  <c r="KF104" i="17"/>
  <c r="KF85" i="17"/>
  <c r="KF86" i="17"/>
  <c r="KF73" i="17"/>
  <c r="KF74" i="17"/>
  <c r="KF69" i="17"/>
  <c r="KF103" i="17"/>
  <c r="KF95" i="17"/>
  <c r="KF75" i="17"/>
  <c r="KF76" i="17"/>
  <c r="KF65" i="17"/>
  <c r="KF64" i="17"/>
  <c r="KF94" i="17"/>
  <c r="KF68" i="17"/>
  <c r="KU102" i="17"/>
  <c r="KU84" i="17"/>
  <c r="KU103" i="17"/>
  <c r="KU85" i="17"/>
  <c r="KU93" i="17"/>
  <c r="KU74" i="17"/>
  <c r="KU69" i="17"/>
  <c r="KU104" i="17"/>
  <c r="KU75" i="17"/>
  <c r="KU76" i="17"/>
  <c r="KU66" i="17"/>
  <c r="KU94" i="17"/>
  <c r="KU96" i="17"/>
  <c r="KU86" i="17"/>
  <c r="KU65" i="17"/>
  <c r="KU64" i="17"/>
  <c r="KU68" i="17"/>
  <c r="KU95" i="17"/>
  <c r="KU67" i="17"/>
  <c r="KU88" i="17"/>
  <c r="KU73" i="17"/>
  <c r="LJ96" i="17"/>
  <c r="LJ76" i="17"/>
  <c r="LJ88" i="17"/>
  <c r="LJ64" i="17"/>
  <c r="LJ95" i="17"/>
  <c r="LJ73" i="17"/>
  <c r="LJ66" i="17"/>
  <c r="LJ94" i="17"/>
  <c r="LJ86" i="17"/>
  <c r="LJ65" i="17"/>
  <c r="LJ93" i="17"/>
  <c r="LJ85" i="17"/>
  <c r="LJ104" i="17"/>
  <c r="LJ84" i="17"/>
  <c r="LJ102" i="17"/>
  <c r="LJ68" i="17"/>
  <c r="LJ74" i="17"/>
  <c r="LJ103" i="17"/>
  <c r="LJ75" i="17"/>
  <c r="LJ69" i="17"/>
  <c r="LJ67" i="17"/>
  <c r="LY93" i="17"/>
  <c r="LY94" i="17"/>
  <c r="LY74" i="17"/>
  <c r="LY69" i="17"/>
  <c r="LY95" i="17"/>
  <c r="LY75" i="17"/>
  <c r="LY68" i="17"/>
  <c r="LY67" i="17"/>
  <c r="LY104" i="17"/>
  <c r="LY73" i="17"/>
  <c r="LY66" i="17"/>
  <c r="LY86" i="17"/>
  <c r="LY65" i="17"/>
  <c r="LY103" i="17"/>
  <c r="LY85" i="17"/>
  <c r="LY76" i="17"/>
  <c r="LY88" i="17"/>
  <c r="LY64" i="17"/>
  <c r="LY96" i="17"/>
  <c r="LY102" i="17"/>
  <c r="LY84" i="17"/>
  <c r="MN102" i="17"/>
  <c r="MN84" i="17"/>
  <c r="MN103" i="17"/>
  <c r="MN85" i="17"/>
  <c r="MN104" i="17"/>
  <c r="MN86" i="17"/>
  <c r="MN93" i="17"/>
  <c r="MN73" i="17"/>
  <c r="MN94" i="17"/>
  <c r="MN74" i="17"/>
  <c r="MN66" i="17"/>
  <c r="MN96" i="17"/>
  <c r="MN67" i="17"/>
  <c r="MN68" i="17"/>
  <c r="MN75" i="17"/>
  <c r="MN88" i="17"/>
  <c r="MN65" i="17"/>
  <c r="MN76" i="17"/>
  <c r="MN69" i="17"/>
  <c r="MN64" i="17"/>
  <c r="MN95" i="17"/>
  <c r="NC95" i="17"/>
  <c r="NC75" i="17"/>
  <c r="NC96" i="17"/>
  <c r="NC76" i="17"/>
  <c r="NC88" i="17"/>
  <c r="NC64" i="17"/>
  <c r="NC102" i="17"/>
  <c r="NC84" i="17"/>
  <c r="NC65" i="17"/>
  <c r="NC103" i="17"/>
  <c r="NC85" i="17"/>
  <c r="NC66" i="17"/>
  <c r="NC104" i="17"/>
  <c r="NC86" i="17"/>
  <c r="NC67" i="17"/>
  <c r="NC69" i="17"/>
  <c r="NC93" i="17"/>
  <c r="NC73" i="17"/>
  <c r="NC74" i="17"/>
  <c r="NC68" i="17"/>
  <c r="NC94" i="17"/>
  <c r="NR104" i="17"/>
  <c r="NR86" i="17"/>
  <c r="NR67" i="17"/>
  <c r="NR93" i="17"/>
  <c r="NR73" i="17"/>
  <c r="NR68" i="17"/>
  <c r="NR94" i="17"/>
  <c r="NR74" i="17"/>
  <c r="NR69" i="17"/>
  <c r="NR95" i="17"/>
  <c r="NR75" i="17"/>
  <c r="NR96" i="17"/>
  <c r="NR76" i="17"/>
  <c r="NR88" i="17"/>
  <c r="NR64" i="17"/>
  <c r="NR102" i="17"/>
  <c r="NR84" i="17"/>
  <c r="NR65" i="17"/>
  <c r="NR103" i="17"/>
  <c r="NR85" i="17"/>
  <c r="NR66" i="17"/>
  <c r="OG102" i="17"/>
  <c r="OG84" i="17"/>
  <c r="OG65" i="17"/>
  <c r="OG103" i="17"/>
  <c r="OG85" i="17"/>
  <c r="OG66" i="17"/>
  <c r="OG104" i="17"/>
  <c r="OG86" i="17"/>
  <c r="OG67" i="17"/>
  <c r="OG93" i="17"/>
  <c r="OG73" i="17"/>
  <c r="OG68" i="17"/>
  <c r="OG94" i="17"/>
  <c r="OG74" i="17"/>
  <c r="OG69" i="17"/>
  <c r="OG95" i="17"/>
  <c r="OG75" i="17"/>
  <c r="OG96" i="17"/>
  <c r="OG76" i="17"/>
  <c r="OG64" i="17"/>
  <c r="OG88" i="17"/>
  <c r="OO102" i="17"/>
  <c r="OO84" i="17"/>
  <c r="OO65" i="17"/>
  <c r="OO103" i="17"/>
  <c r="OO85" i="17"/>
  <c r="OO66" i="17"/>
  <c r="OO104" i="17"/>
  <c r="OO86" i="17"/>
  <c r="OO67" i="17"/>
  <c r="OO93" i="17"/>
  <c r="OO73" i="17"/>
  <c r="OO68" i="17"/>
  <c r="OO94" i="17"/>
  <c r="OO74" i="17"/>
  <c r="OO69" i="17"/>
  <c r="OO95" i="17"/>
  <c r="OO75" i="17"/>
  <c r="OO96" i="17"/>
  <c r="OO76" i="17"/>
  <c r="OO88" i="17"/>
  <c r="OO64" i="17"/>
  <c r="BN66" i="17"/>
  <c r="BM86" i="17"/>
  <c r="BM104" i="17"/>
  <c r="CC64" i="17"/>
  <c r="CB84" i="17"/>
  <c r="GK96" i="17"/>
  <c r="BM66" i="17"/>
  <c r="CC88" i="17"/>
  <c r="CB102" i="17"/>
  <c r="CQ76" i="17"/>
  <c r="FH66" i="17"/>
  <c r="BN85" i="17"/>
  <c r="BN103" i="17"/>
  <c r="CR75" i="17"/>
  <c r="CQ96" i="17"/>
  <c r="DF69" i="17"/>
  <c r="GZ69" i="17"/>
  <c r="DF74" i="17"/>
  <c r="EC67" i="17"/>
  <c r="DU86" i="17"/>
  <c r="FG86" i="17"/>
  <c r="DG73" i="17"/>
  <c r="DF94" i="17"/>
  <c r="DU67" i="17"/>
  <c r="DG93" i="17"/>
  <c r="DV66" i="17"/>
  <c r="EK73" i="17"/>
  <c r="CD75" i="17"/>
  <c r="CE74" i="17"/>
  <c r="CF73" i="17"/>
  <c r="CG86" i="17"/>
  <c r="BY86" i="17"/>
  <c r="BZ85" i="17"/>
  <c r="CA84" i="17"/>
  <c r="CD95" i="17"/>
  <c r="CE94" i="17"/>
  <c r="CF93" i="17"/>
  <c r="CG104" i="17"/>
  <c r="BY104" i="17"/>
  <c r="BZ103" i="17"/>
  <c r="CA102" i="17"/>
  <c r="CS68" i="17"/>
  <c r="CT67" i="17"/>
  <c r="CU66" i="17"/>
  <c r="CV65" i="17"/>
  <c r="CW64" i="17"/>
  <c r="CO64" i="17"/>
  <c r="CP76" i="17"/>
  <c r="CS73" i="17"/>
  <c r="CT86" i="17"/>
  <c r="CU85" i="17"/>
  <c r="CV84" i="17"/>
  <c r="CW88" i="17"/>
  <c r="CO88" i="17"/>
  <c r="CP96" i="17"/>
  <c r="CS93" i="17"/>
  <c r="CT104" i="17"/>
  <c r="CU103" i="17"/>
  <c r="CV102" i="17"/>
  <c r="DM69" i="17"/>
  <c r="DE69" i="17"/>
  <c r="DH66" i="17"/>
  <c r="DI65" i="17"/>
  <c r="DJ64" i="17"/>
  <c r="DK76" i="17"/>
  <c r="DL75" i="17"/>
  <c r="DM74" i="17"/>
  <c r="DE74" i="17"/>
  <c r="DH85" i="17"/>
  <c r="DI84" i="17"/>
  <c r="DJ88" i="17"/>
  <c r="DK96" i="17"/>
  <c r="DL95" i="17"/>
  <c r="DM94" i="17"/>
  <c r="DE94" i="17"/>
  <c r="DH103" i="17"/>
  <c r="DI102" i="17"/>
  <c r="DZ69" i="17"/>
  <c r="EA68" i="17"/>
  <c r="EB67" i="17"/>
  <c r="DW64" i="17"/>
  <c r="EA74" i="17"/>
  <c r="DZ95" i="17"/>
  <c r="EP67" i="17"/>
  <c r="EQ75" i="17"/>
  <c r="EQ86" i="17"/>
  <c r="EP93" i="17"/>
  <c r="FE66" i="17"/>
  <c r="FD86" i="17"/>
  <c r="FC93" i="17"/>
  <c r="FR66" i="17"/>
  <c r="FQ86" i="17"/>
  <c r="FU96" i="17"/>
  <c r="FY104" i="17"/>
  <c r="GJ69" i="17"/>
  <c r="GN65" i="17"/>
  <c r="GI75" i="17"/>
  <c r="GH96" i="17"/>
  <c r="GW69" i="17"/>
  <c r="HE74" i="17"/>
  <c r="HD95" i="17"/>
  <c r="GY104" i="17"/>
  <c r="HS68" i="17"/>
  <c r="HS86" i="17"/>
  <c r="II74" i="17"/>
  <c r="DW95" i="17"/>
  <c r="DW75" i="17"/>
  <c r="DW96" i="17"/>
  <c r="DW76" i="17"/>
  <c r="DW104" i="17"/>
  <c r="DW86" i="17"/>
  <c r="DW93" i="17"/>
  <c r="EL93" i="17"/>
  <c r="EL73" i="17"/>
  <c r="EL68" i="17"/>
  <c r="EL94" i="17"/>
  <c r="EL74" i="17"/>
  <c r="EL69" i="17"/>
  <c r="EL95" i="17"/>
  <c r="EL75" i="17"/>
  <c r="EL96" i="17"/>
  <c r="EL102" i="17"/>
  <c r="EL84" i="17"/>
  <c r="EL65" i="17"/>
  <c r="EL103" i="17"/>
  <c r="EL85" i="17"/>
  <c r="EL66" i="17"/>
  <c r="FA103" i="17"/>
  <c r="FA85" i="17"/>
  <c r="FA66" i="17"/>
  <c r="FA104" i="17"/>
  <c r="FA86" i="17"/>
  <c r="FA67" i="17"/>
  <c r="FA93" i="17"/>
  <c r="FA73" i="17"/>
  <c r="FA68" i="17"/>
  <c r="FA94" i="17"/>
  <c r="FA74" i="17"/>
  <c r="FA69" i="17"/>
  <c r="FA96" i="17"/>
  <c r="FA76" i="17"/>
  <c r="FA88" i="17"/>
  <c r="FA64" i="17"/>
  <c r="FI103" i="17"/>
  <c r="FI85" i="17"/>
  <c r="FI66" i="17"/>
  <c r="FI104" i="17"/>
  <c r="FI86" i="17"/>
  <c r="FI67" i="17"/>
  <c r="FI93" i="17"/>
  <c r="FI73" i="17"/>
  <c r="FI68" i="17"/>
  <c r="FI94" i="17"/>
  <c r="FI74" i="17"/>
  <c r="FI69" i="17"/>
  <c r="FI96" i="17"/>
  <c r="FI76" i="17"/>
  <c r="FI88" i="17"/>
  <c r="FI64" i="17"/>
  <c r="FX88" i="17"/>
  <c r="FX64" i="17"/>
  <c r="FX102" i="17"/>
  <c r="FX84" i="17"/>
  <c r="FX65" i="17"/>
  <c r="FX103" i="17"/>
  <c r="FX85" i="17"/>
  <c r="FX66" i="17"/>
  <c r="FX104" i="17"/>
  <c r="FX86" i="17"/>
  <c r="FX67" i="17"/>
  <c r="FX94" i="17"/>
  <c r="FX74" i="17"/>
  <c r="FX69" i="17"/>
  <c r="FX95" i="17"/>
  <c r="FX75" i="17"/>
  <c r="GM95" i="17"/>
  <c r="GM75" i="17"/>
  <c r="GM96" i="17"/>
  <c r="GM76" i="17"/>
  <c r="GM88" i="17"/>
  <c r="GM64" i="17"/>
  <c r="GM102" i="17"/>
  <c r="GM84" i="17"/>
  <c r="GM65" i="17"/>
  <c r="GM104" i="17"/>
  <c r="GM86" i="17"/>
  <c r="GM67" i="17"/>
  <c r="GM93" i="17"/>
  <c r="GM73" i="17"/>
  <c r="GM68" i="17"/>
  <c r="HB93" i="17"/>
  <c r="HB73" i="17"/>
  <c r="HB68" i="17"/>
  <c r="HB94" i="17"/>
  <c r="HB74" i="17"/>
  <c r="HB69" i="17"/>
  <c r="HB95" i="17"/>
  <c r="HB75" i="17"/>
  <c r="HB96" i="17"/>
  <c r="HB76" i="17"/>
  <c r="HB102" i="17"/>
  <c r="HB84" i="17"/>
  <c r="HB65" i="17"/>
  <c r="HB103" i="17"/>
  <c r="HB85" i="17"/>
  <c r="HB66" i="17"/>
  <c r="HQ104" i="17"/>
  <c r="HQ86" i="17"/>
  <c r="HQ95" i="17"/>
  <c r="HQ75" i="17"/>
  <c r="HQ88" i="17"/>
  <c r="HQ102" i="17"/>
  <c r="HQ74" i="17"/>
  <c r="HQ103" i="17"/>
  <c r="HQ73" i="17"/>
  <c r="HQ67" i="17"/>
  <c r="HQ93" i="17"/>
  <c r="HQ96" i="17"/>
  <c r="HQ66" i="17"/>
  <c r="HQ68" i="17"/>
  <c r="HQ65" i="17"/>
  <c r="HQ69" i="17"/>
  <c r="HQ84" i="17"/>
  <c r="HQ76" i="17"/>
  <c r="IF84" i="17"/>
  <c r="IF65" i="17"/>
  <c r="IF86" i="17"/>
  <c r="IF73" i="17"/>
  <c r="IF68" i="17"/>
  <c r="IF102" i="17"/>
  <c r="IF103" i="17"/>
  <c r="IF104" i="17"/>
  <c r="IF93" i="17"/>
  <c r="IF94" i="17"/>
  <c r="IF74" i="17"/>
  <c r="IF69" i="17"/>
  <c r="IF95" i="17"/>
  <c r="IF75" i="17"/>
  <c r="IF96" i="17"/>
  <c r="IF76" i="17"/>
  <c r="IF64" i="17"/>
  <c r="IF88" i="17"/>
  <c r="IF67" i="17"/>
  <c r="IF85" i="17"/>
  <c r="IU94" i="17"/>
  <c r="IU74" i="17"/>
  <c r="IU69" i="17"/>
  <c r="IU95" i="17"/>
  <c r="IU75" i="17"/>
  <c r="IU102" i="17"/>
  <c r="IU103" i="17"/>
  <c r="IU86" i="17"/>
  <c r="IU85" i="17"/>
  <c r="IU93" i="17"/>
  <c r="IU84" i="17"/>
  <c r="IU76" i="17"/>
  <c r="IU64" i="17"/>
  <c r="IU65" i="17"/>
  <c r="IU66" i="17"/>
  <c r="IU67" i="17"/>
  <c r="IU68" i="17"/>
  <c r="IU88" i="17"/>
  <c r="IU104" i="17"/>
  <c r="IU96" i="17"/>
  <c r="IU73" i="17"/>
  <c r="JJ104" i="17"/>
  <c r="JJ86" i="17"/>
  <c r="JJ67" i="17"/>
  <c r="JJ93" i="17"/>
  <c r="JJ73" i="17"/>
  <c r="JJ68" i="17"/>
  <c r="JJ95" i="17"/>
  <c r="JJ75" i="17"/>
  <c r="JJ96" i="17"/>
  <c r="JJ76" i="17"/>
  <c r="JJ64" i="17"/>
  <c r="JJ103" i="17"/>
  <c r="JJ66" i="17"/>
  <c r="JJ74" i="17"/>
  <c r="JJ88" i="17"/>
  <c r="JJ102" i="17"/>
  <c r="JJ65" i="17"/>
  <c r="JJ85" i="17"/>
  <c r="JJ84" i="17"/>
  <c r="JJ94" i="17"/>
  <c r="JJ69" i="17"/>
  <c r="JY95" i="17"/>
  <c r="JY96" i="17"/>
  <c r="JY88" i="17"/>
  <c r="JY103" i="17"/>
  <c r="JY65" i="17"/>
  <c r="JY66" i="17"/>
  <c r="JY102" i="17"/>
  <c r="JY94" i="17"/>
  <c r="JY68" i="17"/>
  <c r="JY93" i="17"/>
  <c r="JY69" i="17"/>
  <c r="JY84" i="17"/>
  <c r="JY73" i="17"/>
  <c r="JY75" i="17"/>
  <c r="JY64" i="17"/>
  <c r="JY104" i="17"/>
  <c r="JY86" i="17"/>
  <c r="JY74" i="17"/>
  <c r="JY76" i="17"/>
  <c r="JY85" i="17"/>
  <c r="JY67" i="17"/>
  <c r="KG95" i="17"/>
  <c r="KG96" i="17"/>
  <c r="KG88" i="17"/>
  <c r="KG65" i="17"/>
  <c r="KG93" i="17"/>
  <c r="KG66" i="17"/>
  <c r="KG104" i="17"/>
  <c r="KG68" i="17"/>
  <c r="KG84" i="17"/>
  <c r="KG85" i="17"/>
  <c r="KG86" i="17"/>
  <c r="KG73" i="17"/>
  <c r="KG74" i="17"/>
  <c r="KG69" i="17"/>
  <c r="KG103" i="17"/>
  <c r="KG94" i="17"/>
  <c r="KG67" i="17"/>
  <c r="KG75" i="17"/>
  <c r="KG64" i="17"/>
  <c r="KG76" i="17"/>
  <c r="KG102" i="17"/>
  <c r="KV88" i="17"/>
  <c r="KV102" i="17"/>
  <c r="KV84" i="17"/>
  <c r="KV94" i="17"/>
  <c r="KV86" i="17"/>
  <c r="KV73" i="17"/>
  <c r="KV68" i="17"/>
  <c r="KV93" i="17"/>
  <c r="KV85" i="17"/>
  <c r="KV74" i="17"/>
  <c r="KV69" i="17"/>
  <c r="KV104" i="17"/>
  <c r="KV75" i="17"/>
  <c r="KV103" i="17"/>
  <c r="KV66" i="17"/>
  <c r="KV96" i="17"/>
  <c r="KV65" i="17"/>
  <c r="KV95" i="17"/>
  <c r="KV76" i="17"/>
  <c r="KV64" i="17"/>
  <c r="KV67" i="17"/>
  <c r="LK95" i="17"/>
  <c r="LK75" i="17"/>
  <c r="LK96" i="17"/>
  <c r="LK76" i="17"/>
  <c r="LK74" i="17"/>
  <c r="LK67" i="17"/>
  <c r="LK73" i="17"/>
  <c r="LK66" i="17"/>
  <c r="LK94" i="17"/>
  <c r="LK86" i="17"/>
  <c r="LK65" i="17"/>
  <c r="LK93" i="17"/>
  <c r="LK85" i="17"/>
  <c r="LK64" i="17"/>
  <c r="LK104" i="17"/>
  <c r="LK88" i="17"/>
  <c r="LK102" i="17"/>
  <c r="LK68" i="17"/>
  <c r="LK84" i="17"/>
  <c r="LK103" i="17"/>
  <c r="LK69" i="17"/>
  <c r="LZ104" i="17"/>
  <c r="LZ93" i="17"/>
  <c r="LZ73" i="17"/>
  <c r="LZ68" i="17"/>
  <c r="LZ94" i="17"/>
  <c r="LZ74" i="17"/>
  <c r="LZ69" i="17"/>
  <c r="LZ96" i="17"/>
  <c r="LZ95" i="17"/>
  <c r="LZ67" i="17"/>
  <c r="LZ66" i="17"/>
  <c r="LZ65" i="17"/>
  <c r="LZ103" i="17"/>
  <c r="LZ85" i="17"/>
  <c r="LZ76" i="17"/>
  <c r="LZ88" i="17"/>
  <c r="LZ86" i="17"/>
  <c r="LZ75" i="17"/>
  <c r="LZ102" i="17"/>
  <c r="LZ84" i="17"/>
  <c r="LZ64" i="17"/>
  <c r="MO88" i="17"/>
  <c r="MO102" i="17"/>
  <c r="MO84" i="17"/>
  <c r="MO103" i="17"/>
  <c r="MO85" i="17"/>
  <c r="MO104" i="17"/>
  <c r="MO86" i="17"/>
  <c r="MO93" i="17"/>
  <c r="MO73" i="17"/>
  <c r="MO65" i="17"/>
  <c r="MO66" i="17"/>
  <c r="MO96" i="17"/>
  <c r="MO67" i="17"/>
  <c r="MO69" i="17"/>
  <c r="MO75" i="17"/>
  <c r="MO68" i="17"/>
  <c r="MO76" i="17"/>
  <c r="MO94" i="17"/>
  <c r="MO74" i="17"/>
  <c r="MO95" i="17"/>
  <c r="MO64" i="17"/>
  <c r="ND94" i="17"/>
  <c r="ND74" i="17"/>
  <c r="ND69" i="17"/>
  <c r="ND95" i="17"/>
  <c r="ND75" i="17"/>
  <c r="ND96" i="17"/>
  <c r="ND76" i="17"/>
  <c r="ND88" i="17"/>
  <c r="ND64" i="17"/>
  <c r="ND102" i="17"/>
  <c r="ND84" i="17"/>
  <c r="ND65" i="17"/>
  <c r="ND103" i="17"/>
  <c r="ND85" i="17"/>
  <c r="ND66" i="17"/>
  <c r="ND104" i="17"/>
  <c r="ND86" i="17"/>
  <c r="ND73" i="17"/>
  <c r="ND67" i="17"/>
  <c r="ND68" i="17"/>
  <c r="ND93" i="17"/>
  <c r="NS103" i="17"/>
  <c r="NS85" i="17"/>
  <c r="NS66" i="17"/>
  <c r="NS104" i="17"/>
  <c r="NS86" i="17"/>
  <c r="NS67" i="17"/>
  <c r="NS93" i="17"/>
  <c r="NS73" i="17"/>
  <c r="NS68" i="17"/>
  <c r="NS94" i="17"/>
  <c r="NS74" i="17"/>
  <c r="NS69" i="17"/>
  <c r="NS95" i="17"/>
  <c r="NS75" i="17"/>
  <c r="NS96" i="17"/>
  <c r="NS76" i="17"/>
  <c r="NS88" i="17"/>
  <c r="NS64" i="17"/>
  <c r="NS84" i="17"/>
  <c r="NS65" i="17"/>
  <c r="NS102" i="17"/>
  <c r="OH88" i="17"/>
  <c r="OH64" i="17"/>
  <c r="OH102" i="17"/>
  <c r="OH84" i="17"/>
  <c r="OH65" i="17"/>
  <c r="OH103" i="17"/>
  <c r="OH85" i="17"/>
  <c r="OH66" i="17"/>
  <c r="OH104" i="17"/>
  <c r="OH86" i="17"/>
  <c r="OH67" i="17"/>
  <c r="OH93" i="17"/>
  <c r="OH73" i="17"/>
  <c r="OH68" i="17"/>
  <c r="OH94" i="17"/>
  <c r="OH74" i="17"/>
  <c r="OH69" i="17"/>
  <c r="OH95" i="17"/>
  <c r="OH75" i="17"/>
  <c r="OH76" i="17"/>
  <c r="OH96" i="17"/>
  <c r="BI69" i="17"/>
  <c r="BJ68" i="17"/>
  <c r="BK67" i="17"/>
  <c r="BL66" i="17"/>
  <c r="BO76" i="17"/>
  <c r="BP75" i="17"/>
  <c r="BQ74" i="17"/>
  <c r="BI74" i="17"/>
  <c r="BJ73" i="17"/>
  <c r="BK86" i="17"/>
  <c r="BL85" i="17"/>
  <c r="BO96" i="17"/>
  <c r="BP95" i="17"/>
  <c r="BQ94" i="17"/>
  <c r="BI94" i="17"/>
  <c r="BJ93" i="17"/>
  <c r="BK104" i="17"/>
  <c r="BL103" i="17"/>
  <c r="CD69" i="17"/>
  <c r="CE68" i="17"/>
  <c r="CF67" i="17"/>
  <c r="CG66" i="17"/>
  <c r="BY66" i="17"/>
  <c r="BZ65" i="17"/>
  <c r="CA64" i="17"/>
  <c r="CD74" i="17"/>
  <c r="CE73" i="17"/>
  <c r="CF86" i="17"/>
  <c r="CG85" i="17"/>
  <c r="BY85" i="17"/>
  <c r="BZ84" i="17"/>
  <c r="CA88" i="17"/>
  <c r="CD94" i="17"/>
  <c r="CE93" i="17"/>
  <c r="CF104" i="17"/>
  <c r="CG103" i="17"/>
  <c r="BY103" i="17"/>
  <c r="BZ102" i="17"/>
  <c r="CS67" i="17"/>
  <c r="CT66" i="17"/>
  <c r="CU65" i="17"/>
  <c r="CV64" i="17"/>
  <c r="CW76" i="17"/>
  <c r="CO76" i="17"/>
  <c r="CP75" i="17"/>
  <c r="CS86" i="17"/>
  <c r="CT85" i="17"/>
  <c r="CU84" i="17"/>
  <c r="CV88" i="17"/>
  <c r="CW96" i="17"/>
  <c r="CO96" i="17"/>
  <c r="CP95" i="17"/>
  <c r="CS104" i="17"/>
  <c r="CT103" i="17"/>
  <c r="CU102" i="17"/>
  <c r="DL69" i="17"/>
  <c r="DM68" i="17"/>
  <c r="DE68" i="17"/>
  <c r="DH65" i="17"/>
  <c r="DI64" i="17"/>
  <c r="DJ76" i="17"/>
  <c r="DK75" i="17"/>
  <c r="DL74" i="17"/>
  <c r="DM73" i="17"/>
  <c r="DE73" i="17"/>
  <c r="DH84" i="17"/>
  <c r="DI88" i="17"/>
  <c r="DJ96" i="17"/>
  <c r="DK95" i="17"/>
  <c r="DL94" i="17"/>
  <c r="DM93" i="17"/>
  <c r="DE93" i="17"/>
  <c r="DH102" i="17"/>
  <c r="DY69" i="17"/>
  <c r="DZ68" i="17"/>
  <c r="EA67" i="17"/>
  <c r="EB66" i="17"/>
  <c r="DZ74" i="17"/>
  <c r="DZ85" i="17"/>
  <c r="DW84" i="17"/>
  <c r="EB96" i="17"/>
  <c r="DY95" i="17"/>
  <c r="EO69" i="17"/>
  <c r="EL67" i="17"/>
  <c r="EN75" i="17"/>
  <c r="EL86" i="17"/>
  <c r="EP96" i="17"/>
  <c r="FE69" i="17"/>
  <c r="FI65" i="17"/>
  <c r="FD75" i="17"/>
  <c r="FR69" i="17"/>
  <c r="FU85" i="17"/>
  <c r="FT104" i="17"/>
  <c r="GI65" i="17"/>
  <c r="GM74" i="17"/>
  <c r="GH85" i="17"/>
  <c r="HE64" i="17"/>
  <c r="GY95" i="17"/>
  <c r="HN68" i="17"/>
  <c r="HM86" i="17"/>
  <c r="HQ94" i="17"/>
  <c r="DX94" i="17"/>
  <c r="DX74" i="17"/>
  <c r="DX95" i="17"/>
  <c r="DX75" i="17"/>
  <c r="DX103" i="17"/>
  <c r="DX85" i="17"/>
  <c r="DX104" i="17"/>
  <c r="EM104" i="17"/>
  <c r="EM86" i="17"/>
  <c r="EM67" i="17"/>
  <c r="EM93" i="17"/>
  <c r="EM73" i="17"/>
  <c r="EM68" i="17"/>
  <c r="EM94" i="17"/>
  <c r="EM74" i="17"/>
  <c r="EM69" i="17"/>
  <c r="EM95" i="17"/>
  <c r="EM88" i="17"/>
  <c r="EM64" i="17"/>
  <c r="EM102" i="17"/>
  <c r="EM84" i="17"/>
  <c r="EM65" i="17"/>
  <c r="FB102" i="17"/>
  <c r="FB84" i="17"/>
  <c r="FB65" i="17"/>
  <c r="FB103" i="17"/>
  <c r="FB85" i="17"/>
  <c r="FB66" i="17"/>
  <c r="FB104" i="17"/>
  <c r="FB86" i="17"/>
  <c r="FB67" i="17"/>
  <c r="FB93" i="17"/>
  <c r="FB73" i="17"/>
  <c r="FB68" i="17"/>
  <c r="FB95" i="17"/>
  <c r="FB75" i="17"/>
  <c r="FB96" i="17"/>
  <c r="FB76" i="17"/>
  <c r="FQ96" i="17"/>
  <c r="FQ76" i="17"/>
  <c r="FQ88" i="17"/>
  <c r="FQ64" i="17"/>
  <c r="FQ102" i="17"/>
  <c r="FQ84" i="17"/>
  <c r="FQ65" i="17"/>
  <c r="FQ103" i="17"/>
  <c r="FQ85" i="17"/>
  <c r="FQ66" i="17"/>
  <c r="FQ93" i="17"/>
  <c r="FQ73" i="17"/>
  <c r="FQ68" i="17"/>
  <c r="FQ94" i="17"/>
  <c r="FQ74" i="17"/>
  <c r="FQ69" i="17"/>
  <c r="FY96" i="17"/>
  <c r="FY76" i="17"/>
  <c r="FY88" i="17"/>
  <c r="FY64" i="17"/>
  <c r="FY102" i="17"/>
  <c r="FY84" i="17"/>
  <c r="FY65" i="17"/>
  <c r="FY103" i="17"/>
  <c r="FY85" i="17"/>
  <c r="FY66" i="17"/>
  <c r="FY93" i="17"/>
  <c r="FY73" i="17"/>
  <c r="FY68" i="17"/>
  <c r="FY94" i="17"/>
  <c r="FY74" i="17"/>
  <c r="FY69" i="17"/>
  <c r="GN94" i="17"/>
  <c r="GN74" i="17"/>
  <c r="GN69" i="17"/>
  <c r="GN95" i="17"/>
  <c r="GN75" i="17"/>
  <c r="GN96" i="17"/>
  <c r="GN76" i="17"/>
  <c r="GN88" i="17"/>
  <c r="GN64" i="17"/>
  <c r="GN103" i="17"/>
  <c r="GN85" i="17"/>
  <c r="GN66" i="17"/>
  <c r="GN104" i="17"/>
  <c r="GN86" i="17"/>
  <c r="GN67" i="17"/>
  <c r="HC104" i="17"/>
  <c r="HC86" i="17"/>
  <c r="HC67" i="17"/>
  <c r="HC93" i="17"/>
  <c r="HC73" i="17"/>
  <c r="HC68" i="17"/>
  <c r="HC94" i="17"/>
  <c r="HC74" i="17"/>
  <c r="HC69" i="17"/>
  <c r="HC95" i="17"/>
  <c r="HC75" i="17"/>
  <c r="HC88" i="17"/>
  <c r="HC64" i="17"/>
  <c r="HC102" i="17"/>
  <c r="HC84" i="17"/>
  <c r="HC65" i="17"/>
  <c r="HR103" i="17"/>
  <c r="HR85" i="17"/>
  <c r="HR66" i="17"/>
  <c r="HR94" i="17"/>
  <c r="HR74" i="17"/>
  <c r="HR96" i="17"/>
  <c r="HR88" i="17"/>
  <c r="HR73" i="17"/>
  <c r="HR67" i="17"/>
  <c r="HR93" i="17"/>
  <c r="HR86" i="17"/>
  <c r="HR68" i="17"/>
  <c r="HR102" i="17"/>
  <c r="HR95" i="17"/>
  <c r="HR64" i="17"/>
  <c r="HR104" i="17"/>
  <c r="HR84" i="17"/>
  <c r="HR76" i="17"/>
  <c r="IG88" i="17"/>
  <c r="IG64" i="17"/>
  <c r="IG85" i="17"/>
  <c r="IG86" i="17"/>
  <c r="IG67" i="17"/>
  <c r="IG73" i="17"/>
  <c r="IG68" i="17"/>
  <c r="IG102" i="17"/>
  <c r="IG103" i="17"/>
  <c r="IG104" i="17"/>
  <c r="IG93" i="17"/>
  <c r="IG94" i="17"/>
  <c r="IG74" i="17"/>
  <c r="IG69" i="17"/>
  <c r="IG95" i="17"/>
  <c r="IG75" i="17"/>
  <c r="IG66" i="17"/>
  <c r="IG84" i="17"/>
  <c r="IG65" i="17"/>
  <c r="IG76" i="17"/>
  <c r="IV93" i="17"/>
  <c r="IV73" i="17"/>
  <c r="IV68" i="17"/>
  <c r="IV94" i="17"/>
  <c r="IV74" i="17"/>
  <c r="IV95" i="17"/>
  <c r="IV86" i="17"/>
  <c r="IV102" i="17"/>
  <c r="IV85" i="17"/>
  <c r="IV69" i="17"/>
  <c r="IV84" i="17"/>
  <c r="IV76" i="17"/>
  <c r="IV64" i="17"/>
  <c r="IV65" i="17"/>
  <c r="IV66" i="17"/>
  <c r="IV67" i="17"/>
  <c r="IV88" i="17"/>
  <c r="IV75" i="17"/>
  <c r="IV103" i="17"/>
  <c r="IV104" i="17"/>
  <c r="JK103" i="17"/>
  <c r="JK85" i="17"/>
  <c r="JK66" i="17"/>
  <c r="JK104" i="17"/>
  <c r="JK86" i="17"/>
  <c r="JK67" i="17"/>
  <c r="JK94" i="17"/>
  <c r="JK74" i="17"/>
  <c r="JK69" i="17"/>
  <c r="JK95" i="17"/>
  <c r="JK75" i="17"/>
  <c r="JK96" i="17"/>
  <c r="JK84" i="17"/>
  <c r="JK93" i="17"/>
  <c r="JK68" i="17"/>
  <c r="JK76" i="17"/>
  <c r="JK88" i="17"/>
  <c r="JK102" i="17"/>
  <c r="JK65" i="17"/>
  <c r="JK64" i="17"/>
  <c r="JK73" i="17"/>
  <c r="JZ94" i="17"/>
  <c r="JZ74" i="17"/>
  <c r="JZ95" i="17"/>
  <c r="JZ96" i="17"/>
  <c r="JZ84" i="17"/>
  <c r="JZ64" i="17"/>
  <c r="JZ103" i="17"/>
  <c r="JZ65" i="17"/>
  <c r="JZ88" i="17"/>
  <c r="JZ102" i="17"/>
  <c r="JZ67" i="17"/>
  <c r="JZ68" i="17"/>
  <c r="JZ69" i="17"/>
  <c r="JZ85" i="17"/>
  <c r="JZ66" i="17"/>
  <c r="JZ104" i="17"/>
  <c r="JZ93" i="17"/>
  <c r="JZ86" i="17"/>
  <c r="JZ76" i="17"/>
  <c r="JZ73" i="17"/>
  <c r="JZ75" i="17"/>
  <c r="KO96" i="17"/>
  <c r="KO88" i="17"/>
  <c r="KO67" i="17"/>
  <c r="KO68" i="17"/>
  <c r="KO95" i="17"/>
  <c r="KO73" i="17"/>
  <c r="KO74" i="17"/>
  <c r="KO69" i="17"/>
  <c r="KO93" i="17"/>
  <c r="KO64" i="17"/>
  <c r="KO103" i="17"/>
  <c r="KO85" i="17"/>
  <c r="KO76" i="17"/>
  <c r="KO86" i="17"/>
  <c r="KO102" i="17"/>
  <c r="KO104" i="17"/>
  <c r="KO84" i="17"/>
  <c r="KO75" i="17"/>
  <c r="KO65" i="17"/>
  <c r="KO94" i="17"/>
  <c r="KO66" i="17"/>
  <c r="KW96" i="17"/>
  <c r="KW88" i="17"/>
  <c r="KW95" i="17"/>
  <c r="KW67" i="17"/>
  <c r="KW94" i="17"/>
  <c r="KW86" i="17"/>
  <c r="KW73" i="17"/>
  <c r="KW68" i="17"/>
  <c r="KW93" i="17"/>
  <c r="KW85" i="17"/>
  <c r="KW74" i="17"/>
  <c r="KW69" i="17"/>
  <c r="KW104" i="17"/>
  <c r="KW76" i="17"/>
  <c r="KW102" i="17"/>
  <c r="KW84" i="17"/>
  <c r="KW75" i="17"/>
  <c r="KW66" i="17"/>
  <c r="KW103" i="17"/>
  <c r="KW65" i="17"/>
  <c r="KW64" i="17"/>
  <c r="LL94" i="17"/>
  <c r="LL74" i="17"/>
  <c r="LL69" i="17"/>
  <c r="LL95" i="17"/>
  <c r="LL75" i="17"/>
  <c r="LL68" i="17"/>
  <c r="LL67" i="17"/>
  <c r="LL73" i="17"/>
  <c r="LL66" i="17"/>
  <c r="LL86" i="17"/>
  <c r="LL65" i="17"/>
  <c r="LL85" i="17"/>
  <c r="LL104" i="17"/>
  <c r="LL76" i="17"/>
  <c r="LL88" i="17"/>
  <c r="LL102" i="17"/>
  <c r="LL93" i="17"/>
  <c r="LL64" i="17"/>
  <c r="LL96" i="17"/>
  <c r="LL103" i="17"/>
  <c r="LL84" i="17"/>
  <c r="MA103" i="17"/>
  <c r="MA104" i="17"/>
  <c r="MA86" i="17"/>
  <c r="MA67" i="17"/>
  <c r="MA93" i="17"/>
  <c r="MA73" i="17"/>
  <c r="MA68" i="17"/>
  <c r="MA102" i="17"/>
  <c r="MA88" i="17"/>
  <c r="MA75" i="17"/>
  <c r="MA96" i="17"/>
  <c r="MA74" i="17"/>
  <c r="MA95" i="17"/>
  <c r="MA94" i="17"/>
  <c r="MA65" i="17"/>
  <c r="MA85" i="17"/>
  <c r="MA76" i="17"/>
  <c r="MA66" i="17"/>
  <c r="MA84" i="17"/>
  <c r="MA64" i="17"/>
  <c r="MA69" i="17"/>
  <c r="MP95" i="17"/>
  <c r="MP96" i="17"/>
  <c r="MP88" i="17"/>
  <c r="MP102" i="17"/>
  <c r="MP84" i="17"/>
  <c r="MP103" i="17"/>
  <c r="MP85" i="17"/>
  <c r="MP104" i="17"/>
  <c r="MP86" i="17"/>
  <c r="MP64" i="17"/>
  <c r="MP65" i="17"/>
  <c r="MP93" i="17"/>
  <c r="MP73" i="17"/>
  <c r="MP66" i="17"/>
  <c r="MP76" i="17"/>
  <c r="MP69" i="17"/>
  <c r="MP75" i="17"/>
  <c r="MP68" i="17"/>
  <c r="MP94" i="17"/>
  <c r="MP67" i="17"/>
  <c r="MP74" i="17"/>
  <c r="NE104" i="17"/>
  <c r="NE93" i="17"/>
  <c r="NE73" i="17"/>
  <c r="NE68" i="17"/>
  <c r="NE94" i="17"/>
  <c r="NE74" i="17"/>
  <c r="NE69" i="17"/>
  <c r="NE95" i="17"/>
  <c r="NE75" i="17"/>
  <c r="NE96" i="17"/>
  <c r="NE76" i="17"/>
  <c r="NE88" i="17"/>
  <c r="NE64" i="17"/>
  <c r="NE102" i="17"/>
  <c r="NE84" i="17"/>
  <c r="NE65" i="17"/>
  <c r="NE103" i="17"/>
  <c r="NE85" i="17"/>
  <c r="NE66" i="17"/>
  <c r="NE67" i="17"/>
  <c r="NE86" i="17"/>
  <c r="NT102" i="17"/>
  <c r="NT84" i="17"/>
  <c r="NT65" i="17"/>
  <c r="NT103" i="17"/>
  <c r="NT85" i="17"/>
  <c r="NT66" i="17"/>
  <c r="NT104" i="17"/>
  <c r="NT86" i="17"/>
  <c r="NT67" i="17"/>
  <c r="NT93" i="17"/>
  <c r="NT73" i="17"/>
  <c r="NT68" i="17"/>
  <c r="NT94" i="17"/>
  <c r="NT74" i="17"/>
  <c r="NT69" i="17"/>
  <c r="NT95" i="17"/>
  <c r="NT75" i="17"/>
  <c r="NT96" i="17"/>
  <c r="NT76" i="17"/>
  <c r="NT64" i="17"/>
  <c r="NT88" i="17"/>
  <c r="OI96" i="17"/>
  <c r="OI76" i="17"/>
  <c r="OI88" i="17"/>
  <c r="OI64" i="17"/>
  <c r="OI102" i="17"/>
  <c r="OI84" i="17"/>
  <c r="OI65" i="17"/>
  <c r="OI103" i="17"/>
  <c r="OI85" i="17"/>
  <c r="OI66" i="17"/>
  <c r="OI104" i="17"/>
  <c r="OI86" i="17"/>
  <c r="OI67" i="17"/>
  <c r="OI93" i="17"/>
  <c r="OI73" i="17"/>
  <c r="OI68" i="17"/>
  <c r="OI94" i="17"/>
  <c r="OI74" i="17"/>
  <c r="OI69" i="17"/>
  <c r="OI95" i="17"/>
  <c r="OI75" i="17"/>
  <c r="BP69" i="17"/>
  <c r="BQ68" i="17"/>
  <c r="BI68" i="17"/>
  <c r="BJ67" i="17"/>
  <c r="BK66" i="17"/>
  <c r="BL65" i="17"/>
  <c r="BO75" i="17"/>
  <c r="BP74" i="17"/>
  <c r="BQ73" i="17"/>
  <c r="BI73" i="17"/>
  <c r="BJ86" i="17"/>
  <c r="BK85" i="17"/>
  <c r="BL84" i="17"/>
  <c r="BO95" i="17"/>
  <c r="BP94" i="17"/>
  <c r="BQ93" i="17"/>
  <c r="BI93" i="17"/>
  <c r="BJ104" i="17"/>
  <c r="BK103" i="17"/>
  <c r="BL102" i="17"/>
  <c r="CD68" i="17"/>
  <c r="CE67" i="17"/>
  <c r="CF66" i="17"/>
  <c r="CG65" i="17"/>
  <c r="BY65" i="17"/>
  <c r="BZ64" i="17"/>
  <c r="CA76" i="17"/>
  <c r="CD73" i="17"/>
  <c r="CE86" i="17"/>
  <c r="CF85" i="17"/>
  <c r="CG84" i="17"/>
  <c r="BY84" i="17"/>
  <c r="BZ88" i="17"/>
  <c r="CA96" i="17"/>
  <c r="CD93" i="17"/>
  <c r="CE104" i="17"/>
  <c r="CF103" i="17"/>
  <c r="CG102" i="17"/>
  <c r="BY102" i="17"/>
  <c r="CP69" i="17"/>
  <c r="CS66" i="17"/>
  <c r="CT65" i="17"/>
  <c r="CU64" i="17"/>
  <c r="CV76" i="17"/>
  <c r="CW75" i="17"/>
  <c r="CO75" i="17"/>
  <c r="CP74" i="17"/>
  <c r="CS85" i="17"/>
  <c r="CT84" i="17"/>
  <c r="CU88" i="17"/>
  <c r="CV96" i="17"/>
  <c r="CW95" i="17"/>
  <c r="CO95" i="17"/>
  <c r="CP94" i="17"/>
  <c r="CS103" i="17"/>
  <c r="CT102" i="17"/>
  <c r="DK69" i="17"/>
  <c r="DL68" i="17"/>
  <c r="DM67" i="17"/>
  <c r="DE67" i="17"/>
  <c r="DH64" i="17"/>
  <c r="DI76" i="17"/>
  <c r="DJ75" i="17"/>
  <c r="DK74" i="17"/>
  <c r="DL73" i="17"/>
  <c r="DM86" i="17"/>
  <c r="DE86" i="17"/>
  <c r="DH88" i="17"/>
  <c r="DI96" i="17"/>
  <c r="DJ95" i="17"/>
  <c r="DK94" i="17"/>
  <c r="DL93" i="17"/>
  <c r="DM104" i="17"/>
  <c r="DE104" i="17"/>
  <c r="DX69" i="17"/>
  <c r="DY68" i="17"/>
  <c r="DZ67" i="17"/>
  <c r="EA66" i="17"/>
  <c r="EB65" i="17"/>
  <c r="EA75" i="17"/>
  <c r="DW74" i="17"/>
  <c r="DZ96" i="17"/>
  <c r="EB93" i="17"/>
  <c r="DZ103" i="17"/>
  <c r="EM75" i="17"/>
  <c r="EM96" i="17"/>
  <c r="EQ104" i="17"/>
  <c r="FB69" i="17"/>
  <c r="FF65" i="17"/>
  <c r="FA75" i="17"/>
  <c r="FE85" i="17"/>
  <c r="FI95" i="17"/>
  <c r="FD104" i="17"/>
  <c r="FX68" i="17"/>
  <c r="FS65" i="17"/>
  <c r="FQ104" i="17"/>
  <c r="GJ74" i="17"/>
  <c r="GN84" i="17"/>
  <c r="GI95" i="17"/>
  <c r="GM103" i="17"/>
  <c r="GX68" i="17"/>
  <c r="HB64" i="17"/>
  <c r="GW74" i="17"/>
  <c r="HE94" i="17"/>
  <c r="HT67" i="17"/>
  <c r="HQ85" i="17"/>
  <c r="HT93" i="17"/>
  <c r="IG96" i="17"/>
  <c r="DY93" i="17"/>
  <c r="DY73" i="17"/>
  <c r="DY94" i="17"/>
  <c r="DY74" i="17"/>
  <c r="DY102" i="17"/>
  <c r="DY84" i="17"/>
  <c r="DY103" i="17"/>
  <c r="EN103" i="17"/>
  <c r="EN85" i="17"/>
  <c r="EN66" i="17"/>
  <c r="EN104" i="17"/>
  <c r="EN86" i="17"/>
  <c r="EN67" i="17"/>
  <c r="EN93" i="17"/>
  <c r="EN73" i="17"/>
  <c r="EN68" i="17"/>
  <c r="EN94" i="17"/>
  <c r="EN74" i="17"/>
  <c r="EN96" i="17"/>
  <c r="EN76" i="17"/>
  <c r="EN88" i="17"/>
  <c r="EN64" i="17"/>
  <c r="FC88" i="17"/>
  <c r="FC64" i="17"/>
  <c r="FC102" i="17"/>
  <c r="FC84" i="17"/>
  <c r="FC65" i="17"/>
  <c r="FC103" i="17"/>
  <c r="FC85" i="17"/>
  <c r="FC66" i="17"/>
  <c r="FC104" i="17"/>
  <c r="FC86" i="17"/>
  <c r="FC67" i="17"/>
  <c r="FC94" i="17"/>
  <c r="FC74" i="17"/>
  <c r="FC69" i="17"/>
  <c r="FC95" i="17"/>
  <c r="FC75" i="17"/>
  <c r="FR95" i="17"/>
  <c r="FR75" i="17"/>
  <c r="FR96" i="17"/>
  <c r="FR76" i="17"/>
  <c r="FR88" i="17"/>
  <c r="FR64" i="17"/>
  <c r="FR102" i="17"/>
  <c r="FR84" i="17"/>
  <c r="FR65" i="17"/>
  <c r="FR104" i="17"/>
  <c r="FR86" i="17"/>
  <c r="FR67" i="17"/>
  <c r="FR93" i="17"/>
  <c r="FR73" i="17"/>
  <c r="FR68" i="17"/>
  <c r="GG93" i="17"/>
  <c r="GG73" i="17"/>
  <c r="GG68" i="17"/>
  <c r="GG94" i="17"/>
  <c r="GG74" i="17"/>
  <c r="GG69" i="17"/>
  <c r="GG95" i="17"/>
  <c r="GG75" i="17"/>
  <c r="GG96" i="17"/>
  <c r="GG76" i="17"/>
  <c r="GG102" i="17"/>
  <c r="GG84" i="17"/>
  <c r="GG65" i="17"/>
  <c r="GG103" i="17"/>
  <c r="GG85" i="17"/>
  <c r="GG66" i="17"/>
  <c r="GO93" i="17"/>
  <c r="GO73" i="17"/>
  <c r="GO68" i="17"/>
  <c r="GO94" i="17"/>
  <c r="GO74" i="17"/>
  <c r="GO69" i="17"/>
  <c r="GO95" i="17"/>
  <c r="GO75" i="17"/>
  <c r="GO96" i="17"/>
  <c r="GO76" i="17"/>
  <c r="GO102" i="17"/>
  <c r="GO84" i="17"/>
  <c r="GO65" i="17"/>
  <c r="GO103" i="17"/>
  <c r="GO85" i="17"/>
  <c r="GO66" i="17"/>
  <c r="HD103" i="17"/>
  <c r="HD85" i="17"/>
  <c r="HD66" i="17"/>
  <c r="HD104" i="17"/>
  <c r="HD86" i="17"/>
  <c r="HD67" i="17"/>
  <c r="HD93" i="17"/>
  <c r="HD73" i="17"/>
  <c r="HD68" i="17"/>
  <c r="HD94" i="17"/>
  <c r="HD74" i="17"/>
  <c r="HD69" i="17"/>
  <c r="HD96" i="17"/>
  <c r="HD76" i="17"/>
  <c r="HD88" i="17"/>
  <c r="HD64" i="17"/>
  <c r="HS102" i="17"/>
  <c r="HS84" i="17"/>
  <c r="HS65" i="17"/>
  <c r="HS93" i="17"/>
  <c r="HS73" i="17"/>
  <c r="HS95" i="17"/>
  <c r="HS94" i="17"/>
  <c r="HS75" i="17"/>
  <c r="HS88" i="17"/>
  <c r="HS74" i="17"/>
  <c r="HS103" i="17"/>
  <c r="HS96" i="17"/>
  <c r="HS66" i="17"/>
  <c r="HS67" i="17"/>
  <c r="HS85" i="17"/>
  <c r="HS69" i="17"/>
  <c r="HS64" i="17"/>
  <c r="IH96" i="17"/>
  <c r="IH76" i="17"/>
  <c r="IH84" i="17"/>
  <c r="IH85" i="17"/>
  <c r="IH66" i="17"/>
  <c r="IH86" i="17"/>
  <c r="IH67" i="17"/>
  <c r="IH73" i="17"/>
  <c r="IH68" i="17"/>
  <c r="IH102" i="17"/>
  <c r="IH103" i="17"/>
  <c r="IH104" i="17"/>
  <c r="IH93" i="17"/>
  <c r="IH94" i="17"/>
  <c r="IH74" i="17"/>
  <c r="IH69" i="17"/>
  <c r="IH64" i="17"/>
  <c r="IH88" i="17"/>
  <c r="IH75" i="17"/>
  <c r="IH95" i="17"/>
  <c r="IH65" i="17"/>
  <c r="IW104" i="17"/>
  <c r="IW86" i="17"/>
  <c r="IW67" i="17"/>
  <c r="IW93" i="17"/>
  <c r="IW73" i="17"/>
  <c r="IW96" i="17"/>
  <c r="IW74" i="17"/>
  <c r="IW103" i="17"/>
  <c r="IW94" i="17"/>
  <c r="IW102" i="17"/>
  <c r="IW85" i="17"/>
  <c r="IW68" i="17"/>
  <c r="IW69" i="17"/>
  <c r="IW84" i="17"/>
  <c r="IW76" i="17"/>
  <c r="IW64" i="17"/>
  <c r="IW65" i="17"/>
  <c r="IW66" i="17"/>
  <c r="IW88" i="17"/>
  <c r="IW75" i="17"/>
  <c r="IW95" i="17"/>
  <c r="JL102" i="17"/>
  <c r="JL84" i="17"/>
  <c r="JL65" i="17"/>
  <c r="JL103" i="17"/>
  <c r="JL85" i="17"/>
  <c r="JL66" i="17"/>
  <c r="JL93" i="17"/>
  <c r="JL73" i="17"/>
  <c r="JL68" i="17"/>
  <c r="JL94" i="17"/>
  <c r="JL74" i="17"/>
  <c r="JL69" i="17"/>
  <c r="JL75" i="17"/>
  <c r="JL64" i="17"/>
  <c r="JL86" i="17"/>
  <c r="JL95" i="17"/>
  <c r="JL76" i="17"/>
  <c r="JL88" i="17"/>
  <c r="JL104" i="17"/>
  <c r="JL67" i="17"/>
  <c r="JL96" i="17"/>
  <c r="KA93" i="17"/>
  <c r="KA73" i="17"/>
  <c r="KA94" i="17"/>
  <c r="KA95" i="17"/>
  <c r="KA104" i="17"/>
  <c r="KA76" i="17"/>
  <c r="KA84" i="17"/>
  <c r="KA64" i="17"/>
  <c r="KA103" i="17"/>
  <c r="KA88" i="17"/>
  <c r="KA66" i="17"/>
  <c r="KA102" i="17"/>
  <c r="KA67" i="17"/>
  <c r="KA75" i="17"/>
  <c r="KA96" i="17"/>
  <c r="KA85" i="17"/>
  <c r="KA68" i="17"/>
  <c r="KA74" i="17"/>
  <c r="KA86" i="17"/>
  <c r="KA65" i="17"/>
  <c r="KA69" i="17"/>
  <c r="KP95" i="17"/>
  <c r="KP96" i="17"/>
  <c r="KP102" i="17"/>
  <c r="KP66" i="17"/>
  <c r="KP67" i="17"/>
  <c r="KP68" i="17"/>
  <c r="KP74" i="17"/>
  <c r="KP65" i="17"/>
  <c r="KP93" i="17"/>
  <c r="KP64" i="17"/>
  <c r="KP103" i="17"/>
  <c r="KP88" i="17"/>
  <c r="KP85" i="17"/>
  <c r="KP73" i="17"/>
  <c r="KP76" i="17"/>
  <c r="KP86" i="17"/>
  <c r="KP104" i="17"/>
  <c r="KP69" i="17"/>
  <c r="KP84" i="17"/>
  <c r="KP75" i="17"/>
  <c r="KP94" i="17"/>
  <c r="LE93" i="17"/>
  <c r="LE73" i="17"/>
  <c r="LE68" i="17"/>
  <c r="LE94" i="17"/>
  <c r="LE74" i="17"/>
  <c r="LE69" i="17"/>
  <c r="LE104" i="17"/>
  <c r="LE84" i="17"/>
  <c r="LE76" i="17"/>
  <c r="LE103" i="17"/>
  <c r="LE88" i="17"/>
  <c r="LE75" i="17"/>
  <c r="LE102" i="17"/>
  <c r="LE96" i="17"/>
  <c r="LE95" i="17"/>
  <c r="LE66" i="17"/>
  <c r="LE86" i="17"/>
  <c r="LE64" i="17"/>
  <c r="LE67" i="17"/>
  <c r="LE85" i="17"/>
  <c r="LE65" i="17"/>
  <c r="LM93" i="17"/>
  <c r="LM73" i="17"/>
  <c r="LM68" i="17"/>
  <c r="LM94" i="17"/>
  <c r="LM74" i="17"/>
  <c r="LM69" i="17"/>
  <c r="LM102" i="17"/>
  <c r="LM96" i="17"/>
  <c r="LM95" i="17"/>
  <c r="LM67" i="17"/>
  <c r="LM66" i="17"/>
  <c r="LM65" i="17"/>
  <c r="LM85" i="17"/>
  <c r="LM104" i="17"/>
  <c r="LM76" i="17"/>
  <c r="LM88" i="17"/>
  <c r="LM86" i="17"/>
  <c r="LM75" i="17"/>
  <c r="LM103" i="17"/>
  <c r="LM84" i="17"/>
  <c r="LM64" i="17"/>
  <c r="MB102" i="17"/>
  <c r="MB103" i="17"/>
  <c r="MB85" i="17"/>
  <c r="MB66" i="17"/>
  <c r="MB104" i="17"/>
  <c r="MB86" i="17"/>
  <c r="MB67" i="17"/>
  <c r="MB93" i="17"/>
  <c r="MB84" i="17"/>
  <c r="MB76" i="17"/>
  <c r="MB69" i="17"/>
  <c r="MB88" i="17"/>
  <c r="MB75" i="17"/>
  <c r="MB68" i="17"/>
  <c r="MB96" i="17"/>
  <c r="MB74" i="17"/>
  <c r="MB73" i="17"/>
  <c r="MB94" i="17"/>
  <c r="MB65" i="17"/>
  <c r="MB95" i="17"/>
  <c r="MB64" i="17"/>
  <c r="MQ94" i="17"/>
  <c r="MQ95" i="17"/>
  <c r="MQ96" i="17"/>
  <c r="MQ88" i="17"/>
  <c r="MQ102" i="17"/>
  <c r="MQ84" i="17"/>
  <c r="MQ103" i="17"/>
  <c r="MQ85" i="17"/>
  <c r="MQ104" i="17"/>
  <c r="MQ76" i="17"/>
  <c r="MQ64" i="17"/>
  <c r="MQ65" i="17"/>
  <c r="MQ66" i="17"/>
  <c r="MQ86" i="17"/>
  <c r="MQ73" i="17"/>
  <c r="MQ69" i="17"/>
  <c r="MQ93" i="17"/>
  <c r="MQ75" i="17"/>
  <c r="MQ68" i="17"/>
  <c r="MQ67" i="17"/>
  <c r="MQ74" i="17"/>
  <c r="NF103" i="17"/>
  <c r="NF104" i="17"/>
  <c r="NF86" i="17"/>
  <c r="NF67" i="17"/>
  <c r="NF93" i="17"/>
  <c r="NF73" i="17"/>
  <c r="NF68" i="17"/>
  <c r="NF94" i="17"/>
  <c r="NF74" i="17"/>
  <c r="NF69" i="17"/>
  <c r="NF95" i="17"/>
  <c r="NF75" i="17"/>
  <c r="NF96" i="17"/>
  <c r="NF76" i="17"/>
  <c r="NF88" i="17"/>
  <c r="NF64" i="17"/>
  <c r="NF65" i="17"/>
  <c r="NF85" i="17"/>
  <c r="NF66" i="17"/>
  <c r="NF84" i="17"/>
  <c r="NF102" i="17"/>
  <c r="NU88" i="17"/>
  <c r="NU64" i="17"/>
  <c r="NU102" i="17"/>
  <c r="NU84" i="17"/>
  <c r="NU65" i="17"/>
  <c r="NU103" i="17"/>
  <c r="NU85" i="17"/>
  <c r="NU66" i="17"/>
  <c r="NU104" i="17"/>
  <c r="NU86" i="17"/>
  <c r="NU67" i="17"/>
  <c r="NU93" i="17"/>
  <c r="NU73" i="17"/>
  <c r="NU68" i="17"/>
  <c r="NU94" i="17"/>
  <c r="NU74" i="17"/>
  <c r="NU69" i="17"/>
  <c r="NU95" i="17"/>
  <c r="NU75" i="17"/>
  <c r="NU96" i="17"/>
  <c r="NU76" i="17"/>
  <c r="OJ95" i="17"/>
  <c r="OJ75" i="17"/>
  <c r="OJ96" i="17"/>
  <c r="OJ76" i="17"/>
  <c r="OJ88" i="17"/>
  <c r="OJ64" i="17"/>
  <c r="OJ102" i="17"/>
  <c r="OJ84" i="17"/>
  <c r="OJ65" i="17"/>
  <c r="OJ103" i="17"/>
  <c r="OJ85" i="17"/>
  <c r="OJ66" i="17"/>
  <c r="OJ104" i="17"/>
  <c r="OJ86" i="17"/>
  <c r="OJ67" i="17"/>
  <c r="OJ93" i="17"/>
  <c r="OJ73" i="17"/>
  <c r="OJ68" i="17"/>
  <c r="OJ94" i="17"/>
  <c r="OJ74" i="17"/>
  <c r="OJ69" i="17"/>
  <c r="BO69" i="17"/>
  <c r="BP68" i="17"/>
  <c r="BQ67" i="17"/>
  <c r="BI67" i="17"/>
  <c r="BJ66" i="17"/>
  <c r="BK65" i="17"/>
  <c r="BL64" i="17"/>
  <c r="BO74" i="17"/>
  <c r="BP73" i="17"/>
  <c r="BQ86" i="17"/>
  <c r="BI86" i="17"/>
  <c r="BJ85" i="17"/>
  <c r="BK84" i="17"/>
  <c r="BL88" i="17"/>
  <c r="BO94" i="17"/>
  <c r="BP93" i="17"/>
  <c r="BQ104" i="17"/>
  <c r="BI104" i="17"/>
  <c r="BJ103" i="17"/>
  <c r="BK102" i="17"/>
  <c r="CD67" i="17"/>
  <c r="CE66" i="17"/>
  <c r="CF65" i="17"/>
  <c r="CG64" i="17"/>
  <c r="BY64" i="17"/>
  <c r="BZ76" i="17"/>
  <c r="CA75" i="17"/>
  <c r="CD86" i="17"/>
  <c r="CE85" i="17"/>
  <c r="CF84" i="17"/>
  <c r="CG88" i="17"/>
  <c r="BY88" i="17"/>
  <c r="BZ96" i="17"/>
  <c r="CA95" i="17"/>
  <c r="CD104" i="17"/>
  <c r="CE103" i="17"/>
  <c r="CF102" i="17"/>
  <c r="CW69" i="17"/>
  <c r="CO69" i="17"/>
  <c r="CP68" i="17"/>
  <c r="CS65" i="17"/>
  <c r="CT64" i="17"/>
  <c r="CU76" i="17"/>
  <c r="CV75" i="17"/>
  <c r="CW74" i="17"/>
  <c r="CO74" i="17"/>
  <c r="CP73" i="17"/>
  <c r="CS84" i="17"/>
  <c r="CT88" i="17"/>
  <c r="CU96" i="17"/>
  <c r="CV95" i="17"/>
  <c r="CW94" i="17"/>
  <c r="CO94" i="17"/>
  <c r="CP93" i="17"/>
  <c r="CS102" i="17"/>
  <c r="DJ69" i="17"/>
  <c r="DK68" i="17"/>
  <c r="DL67" i="17"/>
  <c r="DM66" i="17"/>
  <c r="DE66" i="17"/>
  <c r="DH76" i="17"/>
  <c r="DI75" i="17"/>
  <c r="DJ74" i="17"/>
  <c r="DK73" i="17"/>
  <c r="DL86" i="17"/>
  <c r="DM85" i="17"/>
  <c r="DE85" i="17"/>
  <c r="DH96" i="17"/>
  <c r="DI95" i="17"/>
  <c r="DJ94" i="17"/>
  <c r="DK93" i="17"/>
  <c r="DL104" i="17"/>
  <c r="DM103" i="17"/>
  <c r="DE103" i="17"/>
  <c r="DW69" i="17"/>
  <c r="DX68" i="17"/>
  <c r="DY67" i="17"/>
  <c r="DZ66" i="17"/>
  <c r="EA65" i="17"/>
  <c r="EB64" i="17"/>
  <c r="EB86" i="17"/>
  <c r="DW85" i="17"/>
  <c r="EB88" i="17"/>
  <c r="DY96" i="17"/>
  <c r="EA93" i="17"/>
  <c r="DW103" i="17"/>
  <c r="EQ66" i="17"/>
  <c r="EL64" i="17"/>
  <c r="EM85" i="17"/>
  <c r="EL104" i="17"/>
  <c r="FF68" i="17"/>
  <c r="FA65" i="17"/>
  <c r="FE74" i="17"/>
  <c r="FI84" i="17"/>
  <c r="FR74" i="17"/>
  <c r="FQ95" i="17"/>
  <c r="GO67" i="17"/>
  <c r="GJ64" i="17"/>
  <c r="GN73" i="17"/>
  <c r="GM94" i="17"/>
  <c r="HB67" i="17"/>
  <c r="HD102" i="17"/>
  <c r="HR75" i="17"/>
  <c r="HS104" i="17"/>
  <c r="DZ104" i="17"/>
  <c r="DZ86" i="17"/>
  <c r="DZ93" i="17"/>
  <c r="DZ73" i="17"/>
  <c r="DZ88" i="17"/>
  <c r="DZ102" i="17"/>
  <c r="EO102" i="17"/>
  <c r="EO84" i="17"/>
  <c r="EO65" i="17"/>
  <c r="EO103" i="17"/>
  <c r="EO85" i="17"/>
  <c r="EO66" i="17"/>
  <c r="EO104" i="17"/>
  <c r="EO86" i="17"/>
  <c r="EO67" i="17"/>
  <c r="EO93" i="17"/>
  <c r="EO73" i="17"/>
  <c r="EO95" i="17"/>
  <c r="EO75" i="17"/>
  <c r="EO96" i="17"/>
  <c r="EO76" i="17"/>
  <c r="FD96" i="17"/>
  <c r="FD76" i="17"/>
  <c r="FD88" i="17"/>
  <c r="FD64" i="17"/>
  <c r="FD102" i="17"/>
  <c r="FD84" i="17"/>
  <c r="FD65" i="17"/>
  <c r="FD103" i="17"/>
  <c r="FD85" i="17"/>
  <c r="FD66" i="17"/>
  <c r="FD93" i="17"/>
  <c r="FD73" i="17"/>
  <c r="FD68" i="17"/>
  <c r="FD94" i="17"/>
  <c r="FD74" i="17"/>
  <c r="FD69" i="17"/>
  <c r="FS94" i="17"/>
  <c r="FS74" i="17"/>
  <c r="FS69" i="17"/>
  <c r="FS95" i="17"/>
  <c r="FS75" i="17"/>
  <c r="FS96" i="17"/>
  <c r="FS76" i="17"/>
  <c r="FS88" i="17"/>
  <c r="FS64" i="17"/>
  <c r="FS103" i="17"/>
  <c r="FS85" i="17"/>
  <c r="FS66" i="17"/>
  <c r="FS104" i="17"/>
  <c r="FS86" i="17"/>
  <c r="FS67" i="17"/>
  <c r="GH104" i="17"/>
  <c r="GH86" i="17"/>
  <c r="GH67" i="17"/>
  <c r="GH93" i="17"/>
  <c r="GH73" i="17"/>
  <c r="GH68" i="17"/>
  <c r="GH94" i="17"/>
  <c r="GH74" i="17"/>
  <c r="GH69" i="17"/>
  <c r="GH95" i="17"/>
  <c r="GH75" i="17"/>
  <c r="GH88" i="17"/>
  <c r="GH64" i="17"/>
  <c r="GH102" i="17"/>
  <c r="GH84" i="17"/>
  <c r="GH65" i="17"/>
  <c r="GW102" i="17"/>
  <c r="GW84" i="17"/>
  <c r="GW65" i="17"/>
  <c r="GW103" i="17"/>
  <c r="GW85" i="17"/>
  <c r="GW66" i="17"/>
  <c r="GW104" i="17"/>
  <c r="GW86" i="17"/>
  <c r="GW67" i="17"/>
  <c r="GW93" i="17"/>
  <c r="GW73" i="17"/>
  <c r="GW68" i="17"/>
  <c r="GW95" i="17"/>
  <c r="GW75" i="17"/>
  <c r="GW96" i="17"/>
  <c r="GW76" i="17"/>
  <c r="HE102" i="17"/>
  <c r="HE84" i="17"/>
  <c r="HE65" i="17"/>
  <c r="HE103" i="17"/>
  <c r="HE85" i="17"/>
  <c r="HE66" i="17"/>
  <c r="HE104" i="17"/>
  <c r="HE86" i="17"/>
  <c r="HE67" i="17"/>
  <c r="HE93" i="17"/>
  <c r="HE73" i="17"/>
  <c r="HE68" i="17"/>
  <c r="HE95" i="17"/>
  <c r="HE75" i="17"/>
  <c r="HE96" i="17"/>
  <c r="HE76" i="17"/>
  <c r="HT88" i="17"/>
  <c r="HT64" i="17"/>
  <c r="HT104" i="17"/>
  <c r="HT86" i="17"/>
  <c r="HT94" i="17"/>
  <c r="HT76" i="17"/>
  <c r="HT75" i="17"/>
  <c r="HT74" i="17"/>
  <c r="HT103" i="17"/>
  <c r="HT73" i="17"/>
  <c r="HT65" i="17"/>
  <c r="HT68" i="17"/>
  <c r="HT102" i="17"/>
  <c r="HT95" i="17"/>
  <c r="HT85" i="17"/>
  <c r="HT69" i="17"/>
  <c r="II93" i="17"/>
  <c r="II95" i="17"/>
  <c r="II75" i="17"/>
  <c r="II88" i="17"/>
  <c r="II84" i="17"/>
  <c r="II65" i="17"/>
  <c r="II85" i="17"/>
  <c r="II66" i="17"/>
  <c r="II86" i="17"/>
  <c r="II67" i="17"/>
  <c r="II73" i="17"/>
  <c r="II68" i="17"/>
  <c r="II96" i="17"/>
  <c r="II64" i="17"/>
  <c r="II69" i="17"/>
  <c r="II102" i="17"/>
  <c r="II94" i="17"/>
  <c r="II103" i="17"/>
  <c r="II76" i="17"/>
  <c r="IX103" i="17"/>
  <c r="IX85" i="17"/>
  <c r="IX66" i="17"/>
  <c r="IX104" i="17"/>
  <c r="IX86" i="17"/>
  <c r="IX88" i="17"/>
  <c r="IX75" i="17"/>
  <c r="IX95" i="17"/>
  <c r="IX73" i="17"/>
  <c r="IX94" i="17"/>
  <c r="IX93" i="17"/>
  <c r="IX102" i="17"/>
  <c r="IX67" i="17"/>
  <c r="IX68" i="17"/>
  <c r="IX69" i="17"/>
  <c r="IX96" i="17"/>
  <c r="IX65" i="17"/>
  <c r="IX74" i="17"/>
  <c r="IX84" i="17"/>
  <c r="IX76" i="17"/>
  <c r="JM88" i="17"/>
  <c r="JM64" i="17"/>
  <c r="JM102" i="17"/>
  <c r="JM84" i="17"/>
  <c r="JM65" i="17"/>
  <c r="JM104" i="17"/>
  <c r="JM86" i="17"/>
  <c r="JM67" i="17"/>
  <c r="JM93" i="17"/>
  <c r="JM73" i="17"/>
  <c r="JM68" i="17"/>
  <c r="JM94" i="17"/>
  <c r="JM69" i="17"/>
  <c r="JM96" i="17"/>
  <c r="JM103" i="17"/>
  <c r="JM66" i="17"/>
  <c r="JM74" i="17"/>
  <c r="JM95" i="17"/>
  <c r="JM76" i="17"/>
  <c r="JM85" i="17"/>
  <c r="JM75" i="17"/>
  <c r="KB104" i="17"/>
  <c r="KB86" i="17"/>
  <c r="KB93" i="17"/>
  <c r="KB94" i="17"/>
  <c r="KB95" i="17"/>
  <c r="KB85" i="17"/>
  <c r="KB75" i="17"/>
  <c r="KB76" i="17"/>
  <c r="KB84" i="17"/>
  <c r="KB103" i="17"/>
  <c r="KB65" i="17"/>
  <c r="KB88" i="17"/>
  <c r="KB66" i="17"/>
  <c r="KB67" i="17"/>
  <c r="KB73" i="17"/>
  <c r="KB69" i="17"/>
  <c r="KB64" i="17"/>
  <c r="KB96" i="17"/>
  <c r="KB68" i="17"/>
  <c r="KB74" i="17"/>
  <c r="KB102" i="17"/>
  <c r="KQ94" i="17"/>
  <c r="KQ95" i="17"/>
  <c r="KQ103" i="17"/>
  <c r="KQ88" i="17"/>
  <c r="KQ65" i="17"/>
  <c r="KQ102" i="17"/>
  <c r="KQ96" i="17"/>
  <c r="KQ66" i="17"/>
  <c r="KQ67" i="17"/>
  <c r="KQ84" i="17"/>
  <c r="KQ86" i="17"/>
  <c r="KQ68" i="17"/>
  <c r="KQ74" i="17"/>
  <c r="KQ93" i="17"/>
  <c r="KQ64" i="17"/>
  <c r="KQ85" i="17"/>
  <c r="KQ73" i="17"/>
  <c r="KQ76" i="17"/>
  <c r="KQ104" i="17"/>
  <c r="KQ69" i="17"/>
  <c r="KQ75" i="17"/>
  <c r="LF104" i="17"/>
  <c r="LF86" i="17"/>
  <c r="LF67" i="17"/>
  <c r="LF93" i="17"/>
  <c r="LF73" i="17"/>
  <c r="LF68" i="17"/>
  <c r="LF85" i="17"/>
  <c r="LF64" i="17"/>
  <c r="LF84" i="17"/>
  <c r="LF76" i="17"/>
  <c r="LF69" i="17"/>
  <c r="LF103" i="17"/>
  <c r="LF88" i="17"/>
  <c r="LF75" i="17"/>
  <c r="LF102" i="17"/>
  <c r="LF96" i="17"/>
  <c r="LF74" i="17"/>
  <c r="LF95" i="17"/>
  <c r="LF66" i="17"/>
  <c r="LF94" i="17"/>
  <c r="LF65" i="17"/>
  <c r="LU102" i="17"/>
  <c r="LU84" i="17"/>
  <c r="LU65" i="17"/>
  <c r="LU103" i="17"/>
  <c r="LU85" i="17"/>
  <c r="LU66" i="17"/>
  <c r="LU95" i="17"/>
  <c r="LU94" i="17"/>
  <c r="LU64" i="17"/>
  <c r="LU76" i="17"/>
  <c r="LU69" i="17"/>
  <c r="LU88" i="17"/>
  <c r="LU68" i="17"/>
  <c r="LU74" i="17"/>
  <c r="LU104" i="17"/>
  <c r="LU86" i="17"/>
  <c r="LU93" i="17"/>
  <c r="LU75" i="17"/>
  <c r="LU73" i="17"/>
  <c r="LU67" i="17"/>
  <c r="LU96" i="17"/>
  <c r="MC102" i="17"/>
  <c r="MC84" i="17"/>
  <c r="MC65" i="17"/>
  <c r="MC103" i="17"/>
  <c r="MC85" i="17"/>
  <c r="MC66" i="17"/>
  <c r="MC64" i="17"/>
  <c r="MC93" i="17"/>
  <c r="MC76" i="17"/>
  <c r="MC69" i="17"/>
  <c r="MC88" i="17"/>
  <c r="MC75" i="17"/>
  <c r="MC68" i="17"/>
  <c r="MC104" i="17"/>
  <c r="MC96" i="17"/>
  <c r="MC74" i="17"/>
  <c r="MC67" i="17"/>
  <c r="MC73" i="17"/>
  <c r="MC94" i="17"/>
  <c r="MC86" i="17"/>
  <c r="MC95" i="17"/>
  <c r="MR93" i="17"/>
  <c r="MR94" i="17"/>
  <c r="MR95" i="17"/>
  <c r="MR96" i="17"/>
  <c r="MR88" i="17"/>
  <c r="MR102" i="17"/>
  <c r="MR84" i="17"/>
  <c r="MR86" i="17"/>
  <c r="MR74" i="17"/>
  <c r="MR75" i="17"/>
  <c r="MR104" i="17"/>
  <c r="MR76" i="17"/>
  <c r="MR64" i="17"/>
  <c r="MR103" i="17"/>
  <c r="MR66" i="17"/>
  <c r="MR73" i="17"/>
  <c r="MR65" i="17"/>
  <c r="MR69" i="17"/>
  <c r="MR68" i="17"/>
  <c r="MR85" i="17"/>
  <c r="MR67" i="17"/>
  <c r="NG102" i="17"/>
  <c r="NG103" i="17"/>
  <c r="NG85" i="17"/>
  <c r="NG66" i="17"/>
  <c r="NG104" i="17"/>
  <c r="NG86" i="17"/>
  <c r="NG67" i="17"/>
  <c r="NG93" i="17"/>
  <c r="NG73" i="17"/>
  <c r="NG68" i="17"/>
  <c r="NG94" i="17"/>
  <c r="NG74" i="17"/>
  <c r="NG69" i="17"/>
  <c r="NG95" i="17"/>
  <c r="NG75" i="17"/>
  <c r="NG96" i="17"/>
  <c r="NG76" i="17"/>
  <c r="NG65" i="17"/>
  <c r="NG88" i="17"/>
  <c r="NG84" i="17"/>
  <c r="NG64" i="17"/>
  <c r="NV96" i="17"/>
  <c r="NV76" i="17"/>
  <c r="NV88" i="17"/>
  <c r="NV64" i="17"/>
  <c r="NV102" i="17"/>
  <c r="NV84" i="17"/>
  <c r="NV65" i="17"/>
  <c r="NV103" i="17"/>
  <c r="NV85" i="17"/>
  <c r="NV66" i="17"/>
  <c r="NV104" i="17"/>
  <c r="NV86" i="17"/>
  <c r="NV67" i="17"/>
  <c r="NV93" i="17"/>
  <c r="NV73" i="17"/>
  <c r="NV68" i="17"/>
  <c r="NV94" i="17"/>
  <c r="NV74" i="17"/>
  <c r="NV69" i="17"/>
  <c r="NV95" i="17"/>
  <c r="NV75" i="17"/>
  <c r="OK94" i="17"/>
  <c r="OK74" i="17"/>
  <c r="OK69" i="17"/>
  <c r="OK95" i="17"/>
  <c r="OK75" i="17"/>
  <c r="OK96" i="17"/>
  <c r="OK76" i="17"/>
  <c r="OK88" i="17"/>
  <c r="OK64" i="17"/>
  <c r="OK102" i="17"/>
  <c r="OK84" i="17"/>
  <c r="OK65" i="17"/>
  <c r="OK103" i="17"/>
  <c r="OK85" i="17"/>
  <c r="OK66" i="17"/>
  <c r="OK104" i="17"/>
  <c r="OK86" i="17"/>
  <c r="OK67" i="17"/>
  <c r="OK93" i="17"/>
  <c r="OK68" i="17"/>
  <c r="OK73" i="17"/>
  <c r="BO68" i="17"/>
  <c r="BP67" i="17"/>
  <c r="BQ66" i="17"/>
  <c r="BI66" i="17"/>
  <c r="BJ65" i="17"/>
  <c r="BK64" i="17"/>
  <c r="BL76" i="17"/>
  <c r="BO73" i="17"/>
  <c r="BP86" i="17"/>
  <c r="BQ85" i="17"/>
  <c r="BI85" i="17"/>
  <c r="BJ84" i="17"/>
  <c r="BK88" i="17"/>
  <c r="BL96" i="17"/>
  <c r="BO93" i="17"/>
  <c r="BP104" i="17"/>
  <c r="BQ103" i="17"/>
  <c r="BI103" i="17"/>
  <c r="BJ102" i="17"/>
  <c r="CA69" i="17"/>
  <c r="CD66" i="17"/>
  <c r="CE65" i="17"/>
  <c r="CF64" i="17"/>
  <c r="CG76" i="17"/>
  <c r="BY76" i="17"/>
  <c r="BZ75" i="17"/>
  <c r="CA74" i="17"/>
  <c r="CD85" i="17"/>
  <c r="CE84" i="17"/>
  <c r="CF88" i="17"/>
  <c r="CG96" i="17"/>
  <c r="BY96" i="17"/>
  <c r="BZ95" i="17"/>
  <c r="CA94" i="17"/>
  <c r="CD103" i="17"/>
  <c r="CE102" i="17"/>
  <c r="CV69" i="17"/>
  <c r="CW68" i="17"/>
  <c r="CO68" i="17"/>
  <c r="CP67" i="17"/>
  <c r="CS64" i="17"/>
  <c r="CT76" i="17"/>
  <c r="CU75" i="17"/>
  <c r="CV74" i="17"/>
  <c r="CW73" i="17"/>
  <c r="CO73" i="17"/>
  <c r="CP86" i="17"/>
  <c r="CS88" i="17"/>
  <c r="CT96" i="17"/>
  <c r="CU95" i="17"/>
  <c r="CV94" i="17"/>
  <c r="CW93" i="17"/>
  <c r="CO93" i="17"/>
  <c r="CP104" i="17"/>
  <c r="DI69" i="17"/>
  <c r="DJ68" i="17"/>
  <c r="DK67" i="17"/>
  <c r="DL66" i="17"/>
  <c r="DM65" i="17"/>
  <c r="DE65" i="17"/>
  <c r="DH75" i="17"/>
  <c r="DI74" i="17"/>
  <c r="DJ73" i="17"/>
  <c r="DK86" i="17"/>
  <c r="DL85" i="17"/>
  <c r="DM84" i="17"/>
  <c r="DE84" i="17"/>
  <c r="DH95" i="17"/>
  <c r="DI94" i="17"/>
  <c r="DJ93" i="17"/>
  <c r="DK104" i="17"/>
  <c r="DL103" i="17"/>
  <c r="DM102" i="17"/>
  <c r="DE102" i="17"/>
  <c r="DW68" i="17"/>
  <c r="DX67" i="17"/>
  <c r="DY66" i="17"/>
  <c r="DZ65" i="17"/>
  <c r="EA64" i="17"/>
  <c r="EB76" i="17"/>
  <c r="DY75" i="17"/>
  <c r="DY86" i="17"/>
  <c r="DX96" i="17"/>
  <c r="EB94" i="17"/>
  <c r="DX93" i="17"/>
  <c r="EM66" i="17"/>
  <c r="EO74" i="17"/>
  <c r="EN95" i="17"/>
  <c r="FC68" i="17"/>
  <c r="FB74" i="17"/>
  <c r="FF84" i="17"/>
  <c r="FA95" i="17"/>
  <c r="FY67" i="17"/>
  <c r="FX73" i="17"/>
  <c r="FS84" i="17"/>
  <c r="FR103" i="17"/>
  <c r="GG64" i="17"/>
  <c r="GO88" i="17"/>
  <c r="GJ94" i="17"/>
  <c r="GN102" i="17"/>
  <c r="HC76" i="17"/>
  <c r="HB88" i="17"/>
  <c r="GW94" i="17"/>
  <c r="HT66" i="17"/>
  <c r="EA103" i="17"/>
  <c r="EA85" i="17"/>
  <c r="EA104" i="17"/>
  <c r="EA86" i="17"/>
  <c r="EA96" i="17"/>
  <c r="EA76" i="17"/>
  <c r="EP88" i="17"/>
  <c r="EP64" i="17"/>
  <c r="EP102" i="17"/>
  <c r="EP84" i="17"/>
  <c r="EP65" i="17"/>
  <c r="EP103" i="17"/>
  <c r="EP85" i="17"/>
  <c r="EP66" i="17"/>
  <c r="EP104" i="17"/>
  <c r="EP86" i="17"/>
  <c r="EP94" i="17"/>
  <c r="EP74" i="17"/>
  <c r="EP69" i="17"/>
  <c r="EP95" i="17"/>
  <c r="EP75" i="17"/>
  <c r="FE95" i="17"/>
  <c r="FE75" i="17"/>
  <c r="FE96" i="17"/>
  <c r="FE76" i="17"/>
  <c r="FE88" i="17"/>
  <c r="FE64" i="17"/>
  <c r="FE102" i="17"/>
  <c r="FE84" i="17"/>
  <c r="FE65" i="17"/>
  <c r="FE104" i="17"/>
  <c r="FE86" i="17"/>
  <c r="FE67" i="17"/>
  <c r="FE93" i="17"/>
  <c r="FE73" i="17"/>
  <c r="FE68" i="17"/>
  <c r="FT93" i="17"/>
  <c r="FT73" i="17"/>
  <c r="FT68" i="17"/>
  <c r="FT94" i="17"/>
  <c r="FT74" i="17"/>
  <c r="FT69" i="17"/>
  <c r="FT95" i="17"/>
  <c r="FT75" i="17"/>
  <c r="FT96" i="17"/>
  <c r="FT76" i="17"/>
  <c r="FT102" i="17"/>
  <c r="FT84" i="17"/>
  <c r="FT65" i="17"/>
  <c r="FT103" i="17"/>
  <c r="FT85" i="17"/>
  <c r="FT66" i="17"/>
  <c r="GI103" i="17"/>
  <c r="GI85" i="17"/>
  <c r="GI66" i="17"/>
  <c r="GI104" i="17"/>
  <c r="GI86" i="17"/>
  <c r="GI67" i="17"/>
  <c r="GI93" i="17"/>
  <c r="GI73" i="17"/>
  <c r="GI68" i="17"/>
  <c r="GI94" i="17"/>
  <c r="GI74" i="17"/>
  <c r="GI69" i="17"/>
  <c r="GI96" i="17"/>
  <c r="GI76" i="17"/>
  <c r="GI88" i="17"/>
  <c r="GI64" i="17"/>
  <c r="GX88" i="17"/>
  <c r="GX64" i="17"/>
  <c r="GX102" i="17"/>
  <c r="GX84" i="17"/>
  <c r="GX65" i="17"/>
  <c r="GX103" i="17"/>
  <c r="GX85" i="17"/>
  <c r="GX66" i="17"/>
  <c r="GX104" i="17"/>
  <c r="GX86" i="17"/>
  <c r="GX67" i="17"/>
  <c r="GX94" i="17"/>
  <c r="GX74" i="17"/>
  <c r="GX69" i="17"/>
  <c r="GX95" i="17"/>
  <c r="GX75" i="17"/>
  <c r="HM96" i="17"/>
  <c r="HM76" i="17"/>
  <c r="HM103" i="17"/>
  <c r="HM85" i="17"/>
  <c r="HM66" i="17"/>
  <c r="HM93" i="17"/>
  <c r="HM94" i="17"/>
  <c r="HM65" i="17"/>
  <c r="HM64" i="17"/>
  <c r="HM95" i="17"/>
  <c r="HM84" i="17"/>
  <c r="HM102" i="17"/>
  <c r="HM104" i="17"/>
  <c r="HM88" i="17"/>
  <c r="HM74" i="17"/>
  <c r="HM67" i="17"/>
  <c r="HM73" i="17"/>
  <c r="HM68" i="17"/>
  <c r="HU96" i="17"/>
  <c r="HU76" i="17"/>
  <c r="HU103" i="17"/>
  <c r="HU85" i="17"/>
  <c r="HU66" i="17"/>
  <c r="HU93" i="17"/>
  <c r="HU104" i="17"/>
  <c r="HU84" i="17"/>
  <c r="HU94" i="17"/>
  <c r="HU88" i="17"/>
  <c r="HU75" i="17"/>
  <c r="HU74" i="17"/>
  <c r="HU86" i="17"/>
  <c r="HU67" i="17"/>
  <c r="HU65" i="17"/>
  <c r="HU68" i="17"/>
  <c r="IJ104" i="17"/>
  <c r="IJ102" i="17"/>
  <c r="IJ103" i="17"/>
  <c r="IJ94" i="17"/>
  <c r="IJ74" i="17"/>
  <c r="IJ69" i="17"/>
  <c r="IJ96" i="17"/>
  <c r="IJ88" i="17"/>
  <c r="IJ64" i="17"/>
  <c r="IJ84" i="17"/>
  <c r="IJ65" i="17"/>
  <c r="IJ85" i="17"/>
  <c r="IJ66" i="17"/>
  <c r="IJ86" i="17"/>
  <c r="IJ67" i="17"/>
  <c r="IJ93" i="17"/>
  <c r="IJ75" i="17"/>
  <c r="IJ73" i="17"/>
  <c r="IJ95" i="17"/>
  <c r="IY102" i="17"/>
  <c r="IY84" i="17"/>
  <c r="IY65" i="17"/>
  <c r="IY103" i="17"/>
  <c r="IY85" i="17"/>
  <c r="IY93" i="17"/>
  <c r="IY104" i="17"/>
  <c r="IY76" i="17"/>
  <c r="IY64" i="17"/>
  <c r="IY96" i="17"/>
  <c r="IY74" i="17"/>
  <c r="IY95" i="17"/>
  <c r="IY73" i="17"/>
  <c r="IY94" i="17"/>
  <c r="IY86" i="17"/>
  <c r="IY69" i="17"/>
  <c r="IY88" i="17"/>
  <c r="IY66" i="17"/>
  <c r="IY75" i="17"/>
  <c r="IY67" i="17"/>
  <c r="JN96" i="17"/>
  <c r="JN76" i="17"/>
  <c r="JN88" i="17"/>
  <c r="JN64" i="17"/>
  <c r="JN103" i="17"/>
  <c r="JN85" i="17"/>
  <c r="JN66" i="17"/>
  <c r="JN104" i="17"/>
  <c r="JN86" i="17"/>
  <c r="JN67" i="17"/>
  <c r="JN73" i="17"/>
  <c r="JN75" i="17"/>
  <c r="JN84" i="17"/>
  <c r="JN93" i="17"/>
  <c r="JN68" i="17"/>
  <c r="JN74" i="17"/>
  <c r="JN95" i="17"/>
  <c r="JN65" i="17"/>
  <c r="JN94" i="17"/>
  <c r="JN69" i="17"/>
  <c r="KC103" i="17"/>
  <c r="KC85" i="17"/>
  <c r="KC104" i="17"/>
  <c r="KC93" i="17"/>
  <c r="KC86" i="17"/>
  <c r="KC73" i="17"/>
  <c r="KC74" i="17"/>
  <c r="KC69" i="17"/>
  <c r="KC95" i="17"/>
  <c r="KC75" i="17"/>
  <c r="KC94" i="17"/>
  <c r="KC84" i="17"/>
  <c r="KC64" i="17"/>
  <c r="KC65" i="17"/>
  <c r="KC102" i="17"/>
  <c r="KC66" i="17"/>
  <c r="KC96" i="17"/>
  <c r="KC88" i="17"/>
  <c r="KC68" i="17"/>
  <c r="KC67" i="17"/>
  <c r="KR93" i="17"/>
  <c r="KR94" i="17"/>
  <c r="KR104" i="17"/>
  <c r="KR84" i="17"/>
  <c r="KR64" i="17"/>
  <c r="KR103" i="17"/>
  <c r="KR88" i="17"/>
  <c r="KR65" i="17"/>
  <c r="KR102" i="17"/>
  <c r="KR96" i="17"/>
  <c r="KR66" i="17"/>
  <c r="KR75" i="17"/>
  <c r="KR86" i="17"/>
  <c r="KR68" i="17"/>
  <c r="KR95" i="17"/>
  <c r="KR74" i="17"/>
  <c r="KR67" i="17"/>
  <c r="KR76" i="17"/>
  <c r="KR73" i="17"/>
  <c r="KR69" i="17"/>
  <c r="KR85" i="17"/>
  <c r="LG103" i="17"/>
  <c r="LG85" i="17"/>
  <c r="LG66" i="17"/>
  <c r="LG104" i="17"/>
  <c r="LG86" i="17"/>
  <c r="LG67" i="17"/>
  <c r="LG65" i="17"/>
  <c r="LG64" i="17"/>
  <c r="LG84" i="17"/>
  <c r="LG76" i="17"/>
  <c r="LG69" i="17"/>
  <c r="LG88" i="17"/>
  <c r="LG75" i="17"/>
  <c r="LG68" i="17"/>
  <c r="LG102" i="17"/>
  <c r="LG74" i="17"/>
  <c r="LG95" i="17"/>
  <c r="LG93" i="17"/>
  <c r="LG96" i="17"/>
  <c r="LG94" i="17"/>
  <c r="LG73" i="17"/>
  <c r="LV96" i="17"/>
  <c r="LV88" i="17"/>
  <c r="LV64" i="17"/>
  <c r="LV102" i="17"/>
  <c r="LV84" i="17"/>
  <c r="LV65" i="17"/>
  <c r="LV86" i="17"/>
  <c r="LV103" i="17"/>
  <c r="LV95" i="17"/>
  <c r="LV85" i="17"/>
  <c r="LV94" i="17"/>
  <c r="LV76" i="17"/>
  <c r="LV68" i="17"/>
  <c r="LV74" i="17"/>
  <c r="LV104" i="17"/>
  <c r="LV66" i="17"/>
  <c r="LV69" i="17"/>
  <c r="LV93" i="17"/>
  <c r="LV73" i="17"/>
  <c r="LV67" i="17"/>
  <c r="LV75" i="17"/>
  <c r="MK104" i="17"/>
  <c r="MK93" i="17"/>
  <c r="MK73" i="17"/>
  <c r="MK94" i="17"/>
  <c r="MK74" i="17"/>
  <c r="MK95" i="17"/>
  <c r="MK75" i="17"/>
  <c r="MK96" i="17"/>
  <c r="MK88" i="17"/>
  <c r="MK69" i="17"/>
  <c r="MK102" i="17"/>
  <c r="MK85" i="17"/>
  <c r="MK76" i="17"/>
  <c r="MK103" i="17"/>
  <c r="MK86" i="17"/>
  <c r="MK64" i="17"/>
  <c r="MK68" i="17"/>
  <c r="MK84" i="17"/>
  <c r="MK67" i="17"/>
  <c r="MK66" i="17"/>
  <c r="MK65" i="17"/>
  <c r="MS104" i="17"/>
  <c r="MS93" i="17"/>
  <c r="MS73" i="17"/>
  <c r="MS94" i="17"/>
  <c r="MS95" i="17"/>
  <c r="MS96" i="17"/>
  <c r="MS88" i="17"/>
  <c r="MS69" i="17"/>
  <c r="MS84" i="17"/>
  <c r="MS86" i="17"/>
  <c r="MS74" i="17"/>
  <c r="MS75" i="17"/>
  <c r="MS76" i="17"/>
  <c r="MS67" i="17"/>
  <c r="MS103" i="17"/>
  <c r="MS66" i="17"/>
  <c r="MS65" i="17"/>
  <c r="MS68" i="17"/>
  <c r="MS102" i="17"/>
  <c r="MS85" i="17"/>
  <c r="MS64" i="17"/>
  <c r="NH102" i="17"/>
  <c r="NH84" i="17"/>
  <c r="NH65" i="17"/>
  <c r="NH103" i="17"/>
  <c r="NH85" i="17"/>
  <c r="NH66" i="17"/>
  <c r="NH104" i="17"/>
  <c r="NH86" i="17"/>
  <c r="NH67" i="17"/>
  <c r="NH93" i="17"/>
  <c r="NH73" i="17"/>
  <c r="NH68" i="17"/>
  <c r="NH94" i="17"/>
  <c r="NH74" i="17"/>
  <c r="NH69" i="17"/>
  <c r="NH95" i="17"/>
  <c r="NH75" i="17"/>
  <c r="NH96" i="17"/>
  <c r="NH64" i="17"/>
  <c r="NH88" i="17"/>
  <c r="NH76" i="17"/>
  <c r="NW95" i="17"/>
  <c r="NW75" i="17"/>
  <c r="NW96" i="17"/>
  <c r="NW76" i="17"/>
  <c r="NW88" i="17"/>
  <c r="NW64" i="17"/>
  <c r="NW102" i="17"/>
  <c r="NW84" i="17"/>
  <c r="NW65" i="17"/>
  <c r="NW103" i="17"/>
  <c r="NW85" i="17"/>
  <c r="NW66" i="17"/>
  <c r="NW104" i="17"/>
  <c r="NW86" i="17"/>
  <c r="NW67" i="17"/>
  <c r="NW93" i="17"/>
  <c r="NW73" i="17"/>
  <c r="NW68" i="17"/>
  <c r="NW69" i="17"/>
  <c r="NW74" i="17"/>
  <c r="NW94" i="17"/>
  <c r="OL93" i="17"/>
  <c r="OL73" i="17"/>
  <c r="OL68" i="17"/>
  <c r="OL94" i="17"/>
  <c r="OL74" i="17"/>
  <c r="OL69" i="17"/>
  <c r="OL95" i="17"/>
  <c r="OL75" i="17"/>
  <c r="OL96" i="17"/>
  <c r="OL76" i="17"/>
  <c r="OL88" i="17"/>
  <c r="OL64" i="17"/>
  <c r="OL102" i="17"/>
  <c r="OL84" i="17"/>
  <c r="OL65" i="17"/>
  <c r="OL103" i="17"/>
  <c r="OL85" i="17"/>
  <c r="OL66" i="17"/>
  <c r="OL104" i="17"/>
  <c r="OL67" i="17"/>
  <c r="OL86" i="17"/>
  <c r="BO67" i="17"/>
  <c r="BP66" i="17"/>
  <c r="BQ65" i="17"/>
  <c r="BI65" i="17"/>
  <c r="BJ64" i="17"/>
  <c r="BK76" i="17"/>
  <c r="BL75" i="17"/>
  <c r="BO86" i="17"/>
  <c r="BP85" i="17"/>
  <c r="BQ84" i="17"/>
  <c r="BI84" i="17"/>
  <c r="BJ88" i="17"/>
  <c r="BK96" i="17"/>
  <c r="BL95" i="17"/>
  <c r="BO104" i="17"/>
  <c r="BP103" i="17"/>
  <c r="BQ102" i="17"/>
  <c r="BI102" i="17"/>
  <c r="BZ69" i="17"/>
  <c r="CA68" i="17"/>
  <c r="CD65" i="17"/>
  <c r="CE64" i="17"/>
  <c r="CF76" i="17"/>
  <c r="CG75" i="17"/>
  <c r="BY75" i="17"/>
  <c r="BZ74" i="17"/>
  <c r="CA73" i="17"/>
  <c r="CD84" i="17"/>
  <c r="CE88" i="17"/>
  <c r="CF96" i="17"/>
  <c r="CG95" i="17"/>
  <c r="BY95" i="17"/>
  <c r="BZ94" i="17"/>
  <c r="CA93" i="17"/>
  <c r="CD102" i="17"/>
  <c r="CU69" i="17"/>
  <c r="CV68" i="17"/>
  <c r="CW67" i="17"/>
  <c r="CO67" i="17"/>
  <c r="CP66" i="17"/>
  <c r="CS76" i="17"/>
  <c r="CT75" i="17"/>
  <c r="CU74" i="17"/>
  <c r="CV73" i="17"/>
  <c r="CW86" i="17"/>
  <c r="CO86" i="17"/>
  <c r="CP85" i="17"/>
  <c r="CS96" i="17"/>
  <c r="CT95" i="17"/>
  <c r="CU94" i="17"/>
  <c r="CV93" i="17"/>
  <c r="CW104" i="17"/>
  <c r="CO104" i="17"/>
  <c r="CP103" i="17"/>
  <c r="DH69" i="17"/>
  <c r="DI68" i="17"/>
  <c r="DJ67" i="17"/>
  <c r="DK66" i="17"/>
  <c r="DL65" i="17"/>
  <c r="DM64" i="17"/>
  <c r="DE64" i="17"/>
  <c r="DH74" i="17"/>
  <c r="DI73" i="17"/>
  <c r="DJ86" i="17"/>
  <c r="DK85" i="17"/>
  <c r="DL84" i="17"/>
  <c r="DM88" i="17"/>
  <c r="DE88" i="17"/>
  <c r="DH94" i="17"/>
  <c r="DI93" i="17"/>
  <c r="DJ104" i="17"/>
  <c r="DK103" i="17"/>
  <c r="DL102" i="17"/>
  <c r="DW67" i="17"/>
  <c r="DX66" i="17"/>
  <c r="DY65" i="17"/>
  <c r="DZ64" i="17"/>
  <c r="DZ76" i="17"/>
  <c r="DX86" i="17"/>
  <c r="DY88" i="17"/>
  <c r="EA94" i="17"/>
  <c r="EA102" i="17"/>
  <c r="EO68" i="17"/>
  <c r="EP76" i="17"/>
  <c r="EN84" i="17"/>
  <c r="EM103" i="17"/>
  <c r="FB64" i="17"/>
  <c r="FA84" i="17"/>
  <c r="FE94" i="17"/>
  <c r="FI102" i="17"/>
  <c r="FT67" i="17"/>
  <c r="FX76" i="17"/>
  <c r="FS73" i="17"/>
  <c r="FR94" i="17"/>
  <c r="GG67" i="17"/>
  <c r="GO86" i="17"/>
  <c r="GN93" i="17"/>
  <c r="GI102" i="17"/>
  <c r="HC66" i="17"/>
  <c r="GX76" i="17"/>
  <c r="HB86" i="17"/>
  <c r="GW88" i="17"/>
  <c r="HU69" i="17"/>
  <c r="IJ68" i="17"/>
  <c r="IX64" i="17"/>
  <c r="EB102" i="17"/>
  <c r="EB84" i="17"/>
  <c r="EB103" i="17"/>
  <c r="EB85" i="17"/>
  <c r="EB104" i="17"/>
  <c r="EB95" i="17"/>
  <c r="EB75" i="17"/>
  <c r="EQ96" i="17"/>
  <c r="EQ76" i="17"/>
  <c r="EQ88" i="17"/>
  <c r="EQ64" i="17"/>
  <c r="EQ102" i="17"/>
  <c r="EQ84" i="17"/>
  <c r="EQ65" i="17"/>
  <c r="EQ103" i="17"/>
  <c r="EQ85" i="17"/>
  <c r="EQ93" i="17"/>
  <c r="EQ73" i="17"/>
  <c r="EQ68" i="17"/>
  <c r="EQ94" i="17"/>
  <c r="EQ74" i="17"/>
  <c r="EQ69" i="17"/>
  <c r="FF94" i="17"/>
  <c r="FF74" i="17"/>
  <c r="FF69" i="17"/>
  <c r="FF95" i="17"/>
  <c r="FF75" i="17"/>
  <c r="FF96" i="17"/>
  <c r="FF76" i="17"/>
  <c r="FF88" i="17"/>
  <c r="FF64" i="17"/>
  <c r="FF103" i="17"/>
  <c r="FF85" i="17"/>
  <c r="FF66" i="17"/>
  <c r="FF104" i="17"/>
  <c r="FF86" i="17"/>
  <c r="FF67" i="17"/>
  <c r="FU104" i="17"/>
  <c r="FU86" i="17"/>
  <c r="FU67" i="17"/>
  <c r="FU93" i="17"/>
  <c r="FU73" i="17"/>
  <c r="FU68" i="17"/>
  <c r="FU94" i="17"/>
  <c r="FU74" i="17"/>
  <c r="FU69" i="17"/>
  <c r="FU95" i="17"/>
  <c r="FU75" i="17"/>
  <c r="FU88" i="17"/>
  <c r="FU64" i="17"/>
  <c r="FU102" i="17"/>
  <c r="FU84" i="17"/>
  <c r="FU65" i="17"/>
  <c r="GJ102" i="17"/>
  <c r="GJ84" i="17"/>
  <c r="GJ65" i="17"/>
  <c r="GJ103" i="17"/>
  <c r="GJ85" i="17"/>
  <c r="GJ66" i="17"/>
  <c r="GJ104" i="17"/>
  <c r="GJ86" i="17"/>
  <c r="GJ67" i="17"/>
  <c r="GJ93" i="17"/>
  <c r="GJ73" i="17"/>
  <c r="GJ68" i="17"/>
  <c r="GJ95" i="17"/>
  <c r="GJ75" i="17"/>
  <c r="GJ96" i="17"/>
  <c r="GJ76" i="17"/>
  <c r="GY96" i="17"/>
  <c r="GY76" i="17"/>
  <c r="GY88" i="17"/>
  <c r="GY64" i="17"/>
  <c r="GY102" i="17"/>
  <c r="GY84" i="17"/>
  <c r="GY65" i="17"/>
  <c r="GY103" i="17"/>
  <c r="GY85" i="17"/>
  <c r="GY66" i="17"/>
  <c r="GY93" i="17"/>
  <c r="GY73" i="17"/>
  <c r="GY68" i="17"/>
  <c r="GY94" i="17"/>
  <c r="GY74" i="17"/>
  <c r="GY69" i="17"/>
  <c r="HN95" i="17"/>
  <c r="HN75" i="17"/>
  <c r="HN102" i="17"/>
  <c r="HN84" i="17"/>
  <c r="HN65" i="17"/>
  <c r="HN104" i="17"/>
  <c r="HN93" i="17"/>
  <c r="HN103" i="17"/>
  <c r="HN96" i="17"/>
  <c r="HN86" i="17"/>
  <c r="HN69" i="17"/>
  <c r="HN85" i="17"/>
  <c r="HN64" i="17"/>
  <c r="HN76" i="17"/>
  <c r="HN94" i="17"/>
  <c r="HN88" i="17"/>
  <c r="HN74" i="17"/>
  <c r="HN67" i="17"/>
  <c r="IC103" i="17"/>
  <c r="IC73" i="17"/>
  <c r="IC68" i="17"/>
  <c r="IC102" i="17"/>
  <c r="IC95" i="17"/>
  <c r="IC96" i="17"/>
  <c r="IC76" i="17"/>
  <c r="IC88" i="17"/>
  <c r="IC64" i="17"/>
  <c r="IC84" i="17"/>
  <c r="IC65" i="17"/>
  <c r="IC85" i="17"/>
  <c r="IC66" i="17"/>
  <c r="IC93" i="17"/>
  <c r="IC69" i="17"/>
  <c r="IC75" i="17"/>
  <c r="IC67" i="17"/>
  <c r="IC94" i="17"/>
  <c r="IC74" i="17"/>
  <c r="IC104" i="17"/>
  <c r="IK103" i="17"/>
  <c r="IK104" i="17"/>
  <c r="IK93" i="17"/>
  <c r="IK73" i="17"/>
  <c r="IK68" i="17"/>
  <c r="IK95" i="17"/>
  <c r="IK96" i="17"/>
  <c r="IK76" i="17"/>
  <c r="IK88" i="17"/>
  <c r="IK64" i="17"/>
  <c r="IK84" i="17"/>
  <c r="IK65" i="17"/>
  <c r="IK85" i="17"/>
  <c r="IK66" i="17"/>
  <c r="IK74" i="17"/>
  <c r="IK86" i="17"/>
  <c r="IK69" i="17"/>
  <c r="IK102" i="17"/>
  <c r="IK94" i="17"/>
  <c r="IK75" i="17"/>
  <c r="IK67" i="17"/>
  <c r="IZ88" i="17"/>
  <c r="IZ64" i="17"/>
  <c r="IZ102" i="17"/>
  <c r="IZ84" i="17"/>
  <c r="IZ104" i="17"/>
  <c r="IZ65" i="17"/>
  <c r="IZ66" i="17"/>
  <c r="IZ67" i="17"/>
  <c r="IZ68" i="17"/>
  <c r="IZ69" i="17"/>
  <c r="IZ75" i="17"/>
  <c r="IZ103" i="17"/>
  <c r="IZ96" i="17"/>
  <c r="IZ74" i="17"/>
  <c r="IZ95" i="17"/>
  <c r="IZ73" i="17"/>
  <c r="IZ94" i="17"/>
  <c r="IZ86" i="17"/>
  <c r="IZ93" i="17"/>
  <c r="IZ85" i="17"/>
  <c r="IZ76" i="17"/>
  <c r="JO95" i="17"/>
  <c r="JO75" i="17"/>
  <c r="JO96" i="17"/>
  <c r="JO76" i="17"/>
  <c r="JO102" i="17"/>
  <c r="JO84" i="17"/>
  <c r="JO65" i="17"/>
  <c r="JO103" i="17"/>
  <c r="JO85" i="17"/>
  <c r="JO66" i="17"/>
  <c r="JO104" i="17"/>
  <c r="JO67" i="17"/>
  <c r="JO94" i="17"/>
  <c r="JO69" i="17"/>
  <c r="JO64" i="17"/>
  <c r="JO86" i="17"/>
  <c r="JO93" i="17"/>
  <c r="JO68" i="17"/>
  <c r="JO74" i="17"/>
  <c r="JO73" i="17"/>
  <c r="KD102" i="17"/>
  <c r="KD84" i="17"/>
  <c r="KD103" i="17"/>
  <c r="KD104" i="17"/>
  <c r="KD96" i="17"/>
  <c r="KD68" i="17"/>
  <c r="KD85" i="17"/>
  <c r="KD86" i="17"/>
  <c r="KD73" i="17"/>
  <c r="KD74" i="17"/>
  <c r="KD69" i="17"/>
  <c r="KD95" i="17"/>
  <c r="KD76" i="17"/>
  <c r="KD94" i="17"/>
  <c r="KD64" i="17"/>
  <c r="KD65" i="17"/>
  <c r="KD67" i="17"/>
  <c r="KD75" i="17"/>
  <c r="KD66" i="17"/>
  <c r="KD93" i="17"/>
  <c r="KD88" i="17"/>
  <c r="KS104" i="17"/>
  <c r="KS86" i="17"/>
  <c r="KS93" i="17"/>
  <c r="KS73" i="17"/>
  <c r="KS85" i="17"/>
  <c r="KS76" i="17"/>
  <c r="KS84" i="17"/>
  <c r="KS64" i="17"/>
  <c r="KS103" i="17"/>
  <c r="KS88" i="17"/>
  <c r="KS65" i="17"/>
  <c r="KS102" i="17"/>
  <c r="KS69" i="17"/>
  <c r="KS75" i="17"/>
  <c r="KS68" i="17"/>
  <c r="KS95" i="17"/>
  <c r="KS74" i="17"/>
  <c r="KS67" i="17"/>
  <c r="KS94" i="17"/>
  <c r="KS96" i="17"/>
  <c r="KS66" i="17"/>
  <c r="LH102" i="17"/>
  <c r="LH84" i="17"/>
  <c r="LH65" i="17"/>
  <c r="LH103" i="17"/>
  <c r="LH85" i="17"/>
  <c r="LH66" i="17"/>
  <c r="LH93" i="17"/>
  <c r="LH104" i="17"/>
  <c r="LH64" i="17"/>
  <c r="LH76" i="17"/>
  <c r="LH69" i="17"/>
  <c r="LH88" i="17"/>
  <c r="LH68" i="17"/>
  <c r="LH74" i="17"/>
  <c r="LH95" i="17"/>
  <c r="LH86" i="17"/>
  <c r="LH75" i="17"/>
  <c r="LH94" i="17"/>
  <c r="LH73" i="17"/>
  <c r="LH67" i="17"/>
  <c r="LH96" i="17"/>
  <c r="LW95" i="17"/>
  <c r="LW96" i="17"/>
  <c r="LW76" i="17"/>
  <c r="LW88" i="17"/>
  <c r="LW64" i="17"/>
  <c r="LW104" i="17"/>
  <c r="LW73" i="17"/>
  <c r="LW66" i="17"/>
  <c r="LW86" i="17"/>
  <c r="LW65" i="17"/>
  <c r="LW103" i="17"/>
  <c r="LW85" i="17"/>
  <c r="LW84" i="17"/>
  <c r="LW94" i="17"/>
  <c r="LW68" i="17"/>
  <c r="LW74" i="17"/>
  <c r="LW102" i="17"/>
  <c r="LW93" i="17"/>
  <c r="LW67" i="17"/>
  <c r="LW75" i="17"/>
  <c r="LW69" i="17"/>
  <c r="ML103" i="17"/>
  <c r="ML104" i="17"/>
  <c r="ML86" i="17"/>
  <c r="ML93" i="17"/>
  <c r="ML73" i="17"/>
  <c r="ML94" i="17"/>
  <c r="ML74" i="17"/>
  <c r="ML95" i="17"/>
  <c r="ML96" i="17"/>
  <c r="ML68" i="17"/>
  <c r="ML69" i="17"/>
  <c r="ML75" i="17"/>
  <c r="ML88" i="17"/>
  <c r="ML65" i="17"/>
  <c r="ML64" i="17"/>
  <c r="ML84" i="17"/>
  <c r="ML76" i="17"/>
  <c r="ML85" i="17"/>
  <c r="ML102" i="17"/>
  <c r="ML66" i="17"/>
  <c r="ML67" i="17"/>
  <c r="NA88" i="17"/>
  <c r="NA64" i="17"/>
  <c r="NA102" i="17"/>
  <c r="NA84" i="17"/>
  <c r="NA65" i="17"/>
  <c r="NA103" i="17"/>
  <c r="NA85" i="17"/>
  <c r="NA66" i="17"/>
  <c r="NA104" i="17"/>
  <c r="NA86" i="17"/>
  <c r="NA67" i="17"/>
  <c r="NA93" i="17"/>
  <c r="NA73" i="17"/>
  <c r="NA68" i="17"/>
  <c r="NA94" i="17"/>
  <c r="NA74" i="17"/>
  <c r="NA69" i="17"/>
  <c r="NA75" i="17"/>
  <c r="NA96" i="17"/>
  <c r="NA95" i="17"/>
  <c r="NA76" i="17"/>
  <c r="NI88" i="17"/>
  <c r="NI64" i="17"/>
  <c r="NI102" i="17"/>
  <c r="NI84" i="17"/>
  <c r="NI65" i="17"/>
  <c r="NI103" i="17"/>
  <c r="NI85" i="17"/>
  <c r="NI66" i="17"/>
  <c r="NI104" i="17"/>
  <c r="NI86" i="17"/>
  <c r="NI67" i="17"/>
  <c r="NI93" i="17"/>
  <c r="NI73" i="17"/>
  <c r="NI68" i="17"/>
  <c r="NI94" i="17"/>
  <c r="NI74" i="17"/>
  <c r="NI69" i="17"/>
  <c r="NI95" i="17"/>
  <c r="NI75" i="17"/>
  <c r="NI96" i="17"/>
  <c r="NI76" i="17"/>
  <c r="NX94" i="17"/>
  <c r="NX74" i="17"/>
  <c r="NX69" i="17"/>
  <c r="NX95" i="17"/>
  <c r="NX75" i="17"/>
  <c r="NX96" i="17"/>
  <c r="NX76" i="17"/>
  <c r="NX88" i="17"/>
  <c r="NX64" i="17"/>
  <c r="NX102" i="17"/>
  <c r="NX84" i="17"/>
  <c r="NX65" i="17"/>
  <c r="NX103" i="17"/>
  <c r="NX85" i="17"/>
  <c r="NX66" i="17"/>
  <c r="NX104" i="17"/>
  <c r="NX86" i="17"/>
  <c r="NX67" i="17"/>
  <c r="NX68" i="17"/>
  <c r="NX73" i="17"/>
  <c r="NX93" i="17"/>
  <c r="OM104" i="17"/>
  <c r="OM86" i="17"/>
  <c r="OM67" i="17"/>
  <c r="OM93" i="17"/>
  <c r="OM73" i="17"/>
  <c r="OM68" i="17"/>
  <c r="OM94" i="17"/>
  <c r="OM74" i="17"/>
  <c r="OM69" i="17"/>
  <c r="OM95" i="17"/>
  <c r="OM75" i="17"/>
  <c r="OM96" i="17"/>
  <c r="OM76" i="17"/>
  <c r="OM88" i="17"/>
  <c r="OM64" i="17"/>
  <c r="OM102" i="17"/>
  <c r="OM84" i="17"/>
  <c r="OM65" i="17"/>
  <c r="OM103" i="17"/>
  <c r="OM85" i="17"/>
  <c r="OM66" i="17"/>
  <c r="BL69" i="17"/>
  <c r="BO66" i="17"/>
  <c r="BP65" i="17"/>
  <c r="BQ64" i="17"/>
  <c r="BI64" i="17"/>
  <c r="BJ76" i="17"/>
  <c r="BK75" i="17"/>
  <c r="BL74" i="17"/>
  <c r="BO85" i="17"/>
  <c r="BP84" i="17"/>
  <c r="CG69" i="17"/>
  <c r="BY69" i="17"/>
  <c r="BZ68" i="17"/>
  <c r="CA67" i="17"/>
  <c r="CD64" i="17"/>
  <c r="CE76" i="17"/>
  <c r="CF75" i="17"/>
  <c r="CG74" i="17"/>
  <c r="BY74" i="17"/>
  <c r="BZ73" i="17"/>
  <c r="CA86" i="17"/>
  <c r="CT69" i="17"/>
  <c r="CU68" i="17"/>
  <c r="CV67" i="17"/>
  <c r="CW66" i="17"/>
  <c r="CO66" i="17"/>
  <c r="CP65" i="17"/>
  <c r="CS75" i="17"/>
  <c r="CT74" i="17"/>
  <c r="CU73" i="17"/>
  <c r="CV86" i="17"/>
  <c r="CW85" i="17"/>
  <c r="CO85" i="17"/>
  <c r="CP84" i="17"/>
  <c r="DH68" i="17"/>
  <c r="DI67" i="17"/>
  <c r="DJ66" i="17"/>
  <c r="DK65" i="17"/>
  <c r="DL64" i="17"/>
  <c r="DM76" i="17"/>
  <c r="DE76" i="17"/>
  <c r="DH73" i="17"/>
  <c r="DI86" i="17"/>
  <c r="DJ85" i="17"/>
  <c r="DK84" i="17"/>
  <c r="EB69" i="17"/>
  <c r="DW66" i="17"/>
  <c r="DX65" i="17"/>
  <c r="DY64" i="17"/>
  <c r="DY76" i="17"/>
  <c r="EA73" i="17"/>
  <c r="EA84" i="17"/>
  <c r="DX88" i="17"/>
  <c r="DZ94" i="17"/>
  <c r="DX102" i="17"/>
  <c r="EM76" i="17"/>
  <c r="EP73" i="17"/>
  <c r="EO94" i="17"/>
  <c r="FD67" i="17"/>
  <c r="FC73" i="17"/>
  <c r="FB94" i="17"/>
  <c r="FF102" i="17"/>
  <c r="FQ67" i="17"/>
  <c r="FU76" i="17"/>
  <c r="FY86" i="17"/>
  <c r="FT88" i="17"/>
  <c r="FX93" i="17"/>
  <c r="FS102" i="17"/>
  <c r="GM66" i="17"/>
  <c r="GH76" i="17"/>
  <c r="GG88" i="17"/>
  <c r="HE69" i="17"/>
  <c r="HD75" i="17"/>
  <c r="GY86" i="17"/>
  <c r="HC96" i="17"/>
  <c r="GX93" i="17"/>
  <c r="HR69" i="17"/>
  <c r="HR65" i="17"/>
  <c r="HU73" i="17"/>
  <c r="HT96" i="17"/>
  <c r="IF66" i="17"/>
  <c r="CD102" i="13"/>
  <c r="CD84" i="13"/>
  <c r="CD65" i="13"/>
  <c r="CD103" i="13"/>
  <c r="CD85" i="13"/>
  <c r="CD66" i="13"/>
  <c r="CD104" i="13"/>
  <c r="CD86" i="13"/>
  <c r="CD67" i="13"/>
  <c r="CD93" i="13"/>
  <c r="CD73" i="13"/>
  <c r="CD68" i="13"/>
  <c r="CD94" i="13"/>
  <c r="CD74" i="13"/>
  <c r="CD95" i="13"/>
  <c r="DH94" i="13"/>
  <c r="DH74" i="13"/>
  <c r="DH69" i="13"/>
  <c r="DH95" i="13"/>
  <c r="DH75" i="13"/>
  <c r="DH96" i="13"/>
  <c r="DH76" i="13"/>
  <c r="DH88" i="13"/>
  <c r="DH64" i="13"/>
  <c r="DH102" i="13"/>
  <c r="DH84" i="13"/>
  <c r="DH65" i="13"/>
  <c r="DH103" i="13"/>
  <c r="DH85" i="13"/>
  <c r="DH66" i="13"/>
  <c r="DH104" i="13"/>
  <c r="DH86" i="13"/>
  <c r="DH67" i="13"/>
  <c r="DH93" i="13"/>
  <c r="DH73" i="13"/>
  <c r="DH68" i="13"/>
  <c r="DW103" i="13"/>
  <c r="DW104" i="13"/>
  <c r="DW93" i="13"/>
  <c r="DW94" i="13"/>
  <c r="DW86" i="13"/>
  <c r="DW67" i="13"/>
  <c r="DW95" i="13"/>
  <c r="DW84" i="13"/>
  <c r="DW73" i="13"/>
  <c r="DW68" i="13"/>
  <c r="DW74" i="13"/>
  <c r="DW69" i="13"/>
  <c r="DW88" i="13"/>
  <c r="DW75" i="13"/>
  <c r="DW76" i="13"/>
  <c r="DW102" i="13"/>
  <c r="DW64" i="13"/>
  <c r="DW96" i="13"/>
  <c r="DW65" i="13"/>
  <c r="DW85" i="13"/>
  <c r="DW66" i="13"/>
  <c r="EL88" i="13"/>
  <c r="EL64" i="13"/>
  <c r="EL102" i="13"/>
  <c r="EL84" i="13"/>
  <c r="EL65" i="13"/>
  <c r="EL103" i="13"/>
  <c r="EL85" i="13"/>
  <c r="EL66" i="13"/>
  <c r="EL104" i="13"/>
  <c r="EL86" i="13"/>
  <c r="EL67" i="13"/>
  <c r="EL93" i="13"/>
  <c r="EL73" i="13"/>
  <c r="EL68" i="13"/>
  <c r="EL95" i="13"/>
  <c r="EL75" i="13"/>
  <c r="EL96" i="13"/>
  <c r="EL74" i="13"/>
  <c r="EL69" i="13"/>
  <c r="EL94" i="13"/>
  <c r="EL76" i="13"/>
  <c r="FA95" i="13"/>
  <c r="FA75" i="13"/>
  <c r="FA96" i="13"/>
  <c r="FA76" i="13"/>
  <c r="FA88" i="13"/>
  <c r="FA64" i="13"/>
  <c r="FA102" i="13"/>
  <c r="FA84" i="13"/>
  <c r="FA65" i="13"/>
  <c r="FA103" i="13"/>
  <c r="FA85" i="13"/>
  <c r="FA66" i="13"/>
  <c r="FA104" i="13"/>
  <c r="FA86" i="13"/>
  <c r="FA67" i="13"/>
  <c r="FA93" i="13"/>
  <c r="FA73" i="13"/>
  <c r="FA68" i="13"/>
  <c r="FA94" i="13"/>
  <c r="FA74" i="13"/>
  <c r="FA69" i="13"/>
  <c r="FI95" i="13"/>
  <c r="FI75" i="13"/>
  <c r="FI96" i="13"/>
  <c r="FI76" i="13"/>
  <c r="FI88" i="13"/>
  <c r="FI64" i="13"/>
  <c r="FI102" i="13"/>
  <c r="FI84" i="13"/>
  <c r="FI65" i="13"/>
  <c r="FI103" i="13"/>
  <c r="FI85" i="13"/>
  <c r="FI66" i="13"/>
  <c r="FI104" i="13"/>
  <c r="FI86" i="13"/>
  <c r="FI67" i="13"/>
  <c r="FI93" i="13"/>
  <c r="FI73" i="13"/>
  <c r="FI68" i="13"/>
  <c r="FI94" i="13"/>
  <c r="FI74" i="13"/>
  <c r="FI69" i="13"/>
  <c r="FX93" i="13"/>
  <c r="FX73" i="13"/>
  <c r="FX68" i="13"/>
  <c r="FX94" i="13"/>
  <c r="FX74" i="13"/>
  <c r="FX69" i="13"/>
  <c r="FX95" i="13"/>
  <c r="FX75" i="13"/>
  <c r="FX96" i="13"/>
  <c r="FX76" i="13"/>
  <c r="FX88" i="13"/>
  <c r="FX64" i="13"/>
  <c r="FX102" i="13"/>
  <c r="FX84" i="13"/>
  <c r="FX65" i="13"/>
  <c r="FX103" i="13"/>
  <c r="FX85" i="13"/>
  <c r="FX66" i="13"/>
  <c r="FX104" i="13"/>
  <c r="FX86" i="13"/>
  <c r="FX67" i="13"/>
  <c r="GM94" i="13"/>
  <c r="GM74" i="13"/>
  <c r="GM95" i="13"/>
  <c r="GM102" i="13"/>
  <c r="GM75" i="13"/>
  <c r="GM76" i="13"/>
  <c r="GM64" i="13"/>
  <c r="GM65" i="13"/>
  <c r="GM66" i="13"/>
  <c r="GM67" i="13"/>
  <c r="GM86" i="13"/>
  <c r="GM73" i="13"/>
  <c r="GM68" i="13"/>
  <c r="GM104" i="13"/>
  <c r="GM85" i="13"/>
  <c r="GM69" i="13"/>
  <c r="GM84" i="13"/>
  <c r="GM88" i="13"/>
  <c r="GM96" i="13"/>
  <c r="GM103" i="13"/>
  <c r="GM93" i="13"/>
  <c r="HB104" i="13"/>
  <c r="HB86" i="13"/>
  <c r="HB67" i="13"/>
  <c r="HB93" i="13"/>
  <c r="HB73" i="13"/>
  <c r="HB68" i="13"/>
  <c r="HB94" i="13"/>
  <c r="HB74" i="13"/>
  <c r="HB69" i="13"/>
  <c r="HB95" i="13"/>
  <c r="HB75" i="13"/>
  <c r="HB96" i="13"/>
  <c r="HB76" i="13"/>
  <c r="HB102" i="13"/>
  <c r="HB84" i="13"/>
  <c r="HB103" i="13"/>
  <c r="HB85" i="13"/>
  <c r="HB88" i="13"/>
  <c r="HB64" i="13"/>
  <c r="HB65" i="13"/>
  <c r="HB66" i="13"/>
  <c r="HQ102" i="13"/>
  <c r="HQ84" i="13"/>
  <c r="HQ65" i="13"/>
  <c r="HQ103" i="13"/>
  <c r="HQ85" i="13"/>
  <c r="HQ66" i="13"/>
  <c r="HQ104" i="13"/>
  <c r="HQ86" i="13"/>
  <c r="HQ67" i="13"/>
  <c r="HQ93" i="13"/>
  <c r="HQ73" i="13"/>
  <c r="HQ68" i="13"/>
  <c r="HQ94" i="13"/>
  <c r="HQ74" i="13"/>
  <c r="HQ69" i="13"/>
  <c r="HQ95" i="13"/>
  <c r="HQ75" i="13"/>
  <c r="HQ96" i="13"/>
  <c r="HQ76" i="13"/>
  <c r="HQ88" i="13"/>
  <c r="HQ64" i="13"/>
  <c r="IF96" i="13"/>
  <c r="IF76" i="13"/>
  <c r="IF88" i="13"/>
  <c r="IF64" i="13"/>
  <c r="IF102" i="13"/>
  <c r="IF84" i="13"/>
  <c r="IF65" i="13"/>
  <c r="IF103" i="13"/>
  <c r="IF85" i="13"/>
  <c r="IF66" i="13"/>
  <c r="IF104" i="13"/>
  <c r="IF86" i="13"/>
  <c r="IF67" i="13"/>
  <c r="IF93" i="13"/>
  <c r="IF73" i="13"/>
  <c r="IF68" i="13"/>
  <c r="IF94" i="13"/>
  <c r="IF74" i="13"/>
  <c r="IF69" i="13"/>
  <c r="IF95" i="13"/>
  <c r="IF75" i="13"/>
  <c r="IU95" i="13"/>
  <c r="IU96" i="13"/>
  <c r="IU88" i="13"/>
  <c r="IU102" i="13"/>
  <c r="IU84" i="13"/>
  <c r="IU104" i="13"/>
  <c r="IU86" i="13"/>
  <c r="IU74" i="13"/>
  <c r="IU69" i="13"/>
  <c r="IU75" i="13"/>
  <c r="IU93" i="13"/>
  <c r="IU76" i="13"/>
  <c r="IU103" i="13"/>
  <c r="IU85" i="13"/>
  <c r="IU64" i="13"/>
  <c r="IU65" i="13"/>
  <c r="IU66" i="13"/>
  <c r="IU94" i="13"/>
  <c r="IU67" i="13"/>
  <c r="IU73" i="13"/>
  <c r="IU68" i="13"/>
  <c r="JJ93" i="13"/>
  <c r="JJ73" i="13"/>
  <c r="JJ68" i="13"/>
  <c r="JJ94" i="13"/>
  <c r="JJ74" i="13"/>
  <c r="JJ69" i="13"/>
  <c r="JJ95" i="13"/>
  <c r="JJ75" i="13"/>
  <c r="JJ96" i="13"/>
  <c r="JJ76" i="13"/>
  <c r="JJ88" i="13"/>
  <c r="JJ102" i="13"/>
  <c r="JJ84" i="13"/>
  <c r="JJ65" i="13"/>
  <c r="JJ103" i="13"/>
  <c r="JJ85" i="13"/>
  <c r="JJ66" i="13"/>
  <c r="JJ104" i="13"/>
  <c r="JJ86" i="13"/>
  <c r="JJ64" i="13"/>
  <c r="JJ67" i="13"/>
  <c r="JY103" i="13"/>
  <c r="JY85" i="13"/>
  <c r="JY66" i="13"/>
  <c r="JY104" i="13"/>
  <c r="JY86" i="13"/>
  <c r="JY67" i="13"/>
  <c r="JY93" i="13"/>
  <c r="JY73" i="13"/>
  <c r="JY68" i="13"/>
  <c r="JY94" i="13"/>
  <c r="JY74" i="13"/>
  <c r="JY69" i="13"/>
  <c r="JY95" i="13"/>
  <c r="JY75" i="13"/>
  <c r="JY96" i="13"/>
  <c r="JY76" i="13"/>
  <c r="JY88" i="13"/>
  <c r="JY64" i="13"/>
  <c r="JY102" i="13"/>
  <c r="JY84" i="13"/>
  <c r="JY65" i="13"/>
  <c r="KG103" i="13"/>
  <c r="KG85" i="13"/>
  <c r="KG66" i="13"/>
  <c r="KG104" i="13"/>
  <c r="KG86" i="13"/>
  <c r="KG67" i="13"/>
  <c r="KG93" i="13"/>
  <c r="KG73" i="13"/>
  <c r="KG68" i="13"/>
  <c r="KG94" i="13"/>
  <c r="KG74" i="13"/>
  <c r="KG69" i="13"/>
  <c r="KG95" i="13"/>
  <c r="KG75" i="13"/>
  <c r="KG96" i="13"/>
  <c r="KG76" i="13"/>
  <c r="KG88" i="13"/>
  <c r="KG64" i="13"/>
  <c r="KG102" i="13"/>
  <c r="KG84" i="13"/>
  <c r="KG65" i="13"/>
  <c r="KV95" i="13"/>
  <c r="KV96" i="13"/>
  <c r="KV102" i="13"/>
  <c r="KV84" i="13"/>
  <c r="KV93" i="13"/>
  <c r="KV85" i="13"/>
  <c r="KV64" i="13"/>
  <c r="KV65" i="13"/>
  <c r="KV66" i="13"/>
  <c r="KV104" i="13"/>
  <c r="KV67" i="13"/>
  <c r="KV88" i="13"/>
  <c r="KV68" i="13"/>
  <c r="KV94" i="13"/>
  <c r="KV69" i="13"/>
  <c r="KV103" i="13"/>
  <c r="KV73" i="13"/>
  <c r="KV74" i="13"/>
  <c r="KV75" i="13"/>
  <c r="KV86" i="13"/>
  <c r="KV76" i="13"/>
  <c r="LK93" i="13"/>
  <c r="LK73" i="13"/>
  <c r="LK68" i="13"/>
  <c r="LK94" i="13"/>
  <c r="LK74" i="13"/>
  <c r="LK69" i="13"/>
  <c r="LK95" i="13"/>
  <c r="LK75" i="13"/>
  <c r="LK96" i="13"/>
  <c r="LK76" i="13"/>
  <c r="LK88" i="13"/>
  <c r="LK64" i="13"/>
  <c r="LK102" i="13"/>
  <c r="LK103" i="13"/>
  <c r="LK104" i="13"/>
  <c r="LK66" i="13"/>
  <c r="LK84" i="13"/>
  <c r="LK86" i="13"/>
  <c r="LK65" i="13"/>
  <c r="LK67" i="13"/>
  <c r="LK85" i="13"/>
  <c r="LZ93" i="13"/>
  <c r="LZ94" i="13"/>
  <c r="LZ102" i="13"/>
  <c r="LZ95" i="13"/>
  <c r="LZ85" i="13"/>
  <c r="LZ66" i="13"/>
  <c r="LZ86" i="13"/>
  <c r="LZ67" i="13"/>
  <c r="LZ73" i="13"/>
  <c r="LZ68" i="13"/>
  <c r="LZ74" i="13"/>
  <c r="LZ69" i="13"/>
  <c r="LZ75" i="13"/>
  <c r="LZ104" i="13"/>
  <c r="LZ76" i="13"/>
  <c r="LZ103" i="13"/>
  <c r="LZ88" i="13"/>
  <c r="LZ64" i="13"/>
  <c r="LZ96" i="13"/>
  <c r="LZ84" i="13"/>
  <c r="LZ65" i="13"/>
  <c r="MO103" i="13"/>
  <c r="MO85" i="13"/>
  <c r="MO65" i="13"/>
  <c r="MO66" i="13"/>
  <c r="MO67" i="13"/>
  <c r="MO76" i="13"/>
  <c r="MO73" i="13"/>
  <c r="MO69" i="13"/>
  <c r="MO93" i="13"/>
  <c r="MO95" i="13"/>
  <c r="MO88" i="13"/>
  <c r="MO75" i="13"/>
  <c r="MO68" i="13"/>
  <c r="MO86" i="13"/>
  <c r="MO74" i="13"/>
  <c r="MO104" i="13"/>
  <c r="MO94" i="13"/>
  <c r="MO96" i="13"/>
  <c r="MO84" i="13"/>
  <c r="MO64" i="13"/>
  <c r="MO102" i="13"/>
  <c r="ND88" i="13"/>
  <c r="ND64" i="13"/>
  <c r="ND102" i="13"/>
  <c r="ND103" i="13"/>
  <c r="ND104" i="13"/>
  <c r="ND93" i="13"/>
  <c r="ND94" i="13"/>
  <c r="ND95" i="13"/>
  <c r="ND96" i="13"/>
  <c r="ND86" i="13"/>
  <c r="ND75" i="13"/>
  <c r="ND65" i="13"/>
  <c r="ND67" i="13"/>
  <c r="ND69" i="13"/>
  <c r="ND84" i="13"/>
  <c r="ND73" i="13"/>
  <c r="ND76" i="13"/>
  <c r="ND85" i="13"/>
  <c r="ND74" i="13"/>
  <c r="ND66" i="13"/>
  <c r="ND68" i="13"/>
  <c r="NS93" i="13"/>
  <c r="NS73" i="13"/>
  <c r="NS95" i="13"/>
  <c r="NS75" i="13"/>
  <c r="NS67" i="13"/>
  <c r="NS68" i="13"/>
  <c r="NS69" i="13"/>
  <c r="NS94" i="13"/>
  <c r="NS66" i="13"/>
  <c r="NS86" i="13"/>
  <c r="NS65" i="13"/>
  <c r="NS85" i="13"/>
  <c r="NS64" i="13"/>
  <c r="NS104" i="13"/>
  <c r="NS84" i="13"/>
  <c r="NS76" i="13"/>
  <c r="NS103" i="13"/>
  <c r="NS88" i="13"/>
  <c r="NS102" i="13"/>
  <c r="NS96" i="13"/>
  <c r="NS74" i="13"/>
  <c r="OH102" i="13"/>
  <c r="OH103" i="13"/>
  <c r="OH85" i="13"/>
  <c r="OH66" i="13"/>
  <c r="OH93" i="13"/>
  <c r="OH73" i="13"/>
  <c r="OH68" i="13"/>
  <c r="OH95" i="13"/>
  <c r="OH74" i="13"/>
  <c r="OH84" i="13"/>
  <c r="OH67" i="13"/>
  <c r="OH94" i="13"/>
  <c r="OH88" i="13"/>
  <c r="OH86" i="13"/>
  <c r="OH65" i="13"/>
  <c r="OH96" i="13"/>
  <c r="OH64" i="13"/>
  <c r="OH76" i="13"/>
  <c r="OH69" i="13"/>
  <c r="OH104" i="13"/>
  <c r="OH75" i="13"/>
  <c r="CG69" i="13"/>
  <c r="BZ68" i="13"/>
  <c r="CB66" i="13"/>
  <c r="CB64" i="13"/>
  <c r="CF74" i="13"/>
  <c r="CB85" i="13"/>
  <c r="CF95" i="13"/>
  <c r="CE88" i="13"/>
  <c r="CE64" i="13"/>
  <c r="CE102" i="13"/>
  <c r="CE84" i="13"/>
  <c r="CE65" i="13"/>
  <c r="CE103" i="13"/>
  <c r="CE85" i="13"/>
  <c r="CE66" i="13"/>
  <c r="CE104" i="13"/>
  <c r="CE86" i="13"/>
  <c r="CE67" i="13"/>
  <c r="CE93" i="13"/>
  <c r="CE73" i="13"/>
  <c r="CE94" i="13"/>
  <c r="CE95" i="13"/>
  <c r="DI93" i="13"/>
  <c r="DI73" i="13"/>
  <c r="DI68" i="13"/>
  <c r="DI94" i="13"/>
  <c r="DI74" i="13"/>
  <c r="DI69" i="13"/>
  <c r="DI95" i="13"/>
  <c r="DI75" i="13"/>
  <c r="DI96" i="13"/>
  <c r="DI76" i="13"/>
  <c r="DI88" i="13"/>
  <c r="DI64" i="13"/>
  <c r="DI102" i="13"/>
  <c r="DI84" i="13"/>
  <c r="DI65" i="13"/>
  <c r="DI103" i="13"/>
  <c r="DI85" i="13"/>
  <c r="DI66" i="13"/>
  <c r="DI104" i="13"/>
  <c r="DI86" i="13"/>
  <c r="DI67" i="13"/>
  <c r="DX102" i="13"/>
  <c r="DX84" i="13"/>
  <c r="DX103" i="13"/>
  <c r="DX104" i="13"/>
  <c r="DX93" i="13"/>
  <c r="DX85" i="13"/>
  <c r="DX66" i="13"/>
  <c r="DX86" i="13"/>
  <c r="DX67" i="13"/>
  <c r="DX95" i="13"/>
  <c r="DX73" i="13"/>
  <c r="DX68" i="13"/>
  <c r="DX74" i="13"/>
  <c r="DX69" i="13"/>
  <c r="DX88" i="13"/>
  <c r="DX75" i="13"/>
  <c r="DX94" i="13"/>
  <c r="DX76" i="13"/>
  <c r="DX64" i="13"/>
  <c r="DX96" i="13"/>
  <c r="DX65" i="13"/>
  <c r="EM96" i="13"/>
  <c r="EM76" i="13"/>
  <c r="EM88" i="13"/>
  <c r="EM64" i="13"/>
  <c r="EM102" i="13"/>
  <c r="EM84" i="13"/>
  <c r="EM65" i="13"/>
  <c r="EM103" i="13"/>
  <c r="EM85" i="13"/>
  <c r="EM66" i="13"/>
  <c r="EM104" i="13"/>
  <c r="EM86" i="13"/>
  <c r="EM67" i="13"/>
  <c r="EM94" i="13"/>
  <c r="EM74" i="13"/>
  <c r="EM95" i="13"/>
  <c r="EM93" i="13"/>
  <c r="EM69" i="13"/>
  <c r="EM75" i="13"/>
  <c r="EM68" i="13"/>
  <c r="EM73" i="13"/>
  <c r="FB94" i="13"/>
  <c r="FB74" i="13"/>
  <c r="FB69" i="13"/>
  <c r="FB95" i="13"/>
  <c r="FB75" i="13"/>
  <c r="FB96" i="13"/>
  <c r="FB76" i="13"/>
  <c r="FB88" i="13"/>
  <c r="FB64" i="13"/>
  <c r="FB102" i="13"/>
  <c r="FB84" i="13"/>
  <c r="FB65" i="13"/>
  <c r="FB103" i="13"/>
  <c r="FB85" i="13"/>
  <c r="FB66" i="13"/>
  <c r="FB104" i="13"/>
  <c r="FB86" i="13"/>
  <c r="FB67" i="13"/>
  <c r="FB93" i="13"/>
  <c r="FB73" i="13"/>
  <c r="FB68" i="13"/>
  <c r="FQ104" i="13"/>
  <c r="FQ86" i="13"/>
  <c r="FQ67" i="13"/>
  <c r="FQ93" i="13"/>
  <c r="FQ73" i="13"/>
  <c r="FQ68" i="13"/>
  <c r="FQ94" i="13"/>
  <c r="FQ74" i="13"/>
  <c r="FQ69" i="13"/>
  <c r="FQ95" i="13"/>
  <c r="FQ75" i="13"/>
  <c r="FQ96" i="13"/>
  <c r="FQ76" i="13"/>
  <c r="FQ88" i="13"/>
  <c r="FQ64" i="13"/>
  <c r="FQ102" i="13"/>
  <c r="FQ84" i="13"/>
  <c r="FQ65" i="13"/>
  <c r="FQ103" i="13"/>
  <c r="FQ85" i="13"/>
  <c r="FQ66" i="13"/>
  <c r="FY104" i="13"/>
  <c r="FY86" i="13"/>
  <c r="FY67" i="13"/>
  <c r="FY93" i="13"/>
  <c r="FY73" i="13"/>
  <c r="FY68" i="13"/>
  <c r="FY94" i="13"/>
  <c r="FY74" i="13"/>
  <c r="FY69" i="13"/>
  <c r="FY95" i="13"/>
  <c r="FY75" i="13"/>
  <c r="FY96" i="13"/>
  <c r="FY76" i="13"/>
  <c r="FY88" i="13"/>
  <c r="FY64" i="13"/>
  <c r="FY102" i="13"/>
  <c r="FY84" i="13"/>
  <c r="FY65" i="13"/>
  <c r="FY103" i="13"/>
  <c r="FY85" i="13"/>
  <c r="FY66" i="13"/>
  <c r="GN93" i="13"/>
  <c r="GN73" i="13"/>
  <c r="GN94" i="13"/>
  <c r="GN103" i="13"/>
  <c r="GN95" i="13"/>
  <c r="GN74" i="13"/>
  <c r="GN75" i="13"/>
  <c r="GN76" i="13"/>
  <c r="GN64" i="13"/>
  <c r="GN65" i="13"/>
  <c r="GN66" i="13"/>
  <c r="GN67" i="13"/>
  <c r="GN86" i="13"/>
  <c r="GN68" i="13"/>
  <c r="GN102" i="13"/>
  <c r="GN104" i="13"/>
  <c r="GN85" i="13"/>
  <c r="GN69" i="13"/>
  <c r="GN84" i="13"/>
  <c r="GN88" i="13"/>
  <c r="GN96" i="13"/>
  <c r="HC103" i="13"/>
  <c r="HC85" i="13"/>
  <c r="HC66" i="13"/>
  <c r="HC104" i="13"/>
  <c r="HC86" i="13"/>
  <c r="HC67" i="13"/>
  <c r="HC93" i="13"/>
  <c r="HC73" i="13"/>
  <c r="HC68" i="13"/>
  <c r="HC94" i="13"/>
  <c r="HC74" i="13"/>
  <c r="HC69" i="13"/>
  <c r="HC95" i="13"/>
  <c r="HC75" i="13"/>
  <c r="HC88" i="13"/>
  <c r="HC64" i="13"/>
  <c r="HC102" i="13"/>
  <c r="HC84" i="13"/>
  <c r="HC76" i="13"/>
  <c r="HC65" i="13"/>
  <c r="HC96" i="13"/>
  <c r="HR88" i="13"/>
  <c r="HR64" i="13"/>
  <c r="HR102" i="13"/>
  <c r="HR84" i="13"/>
  <c r="HR65" i="13"/>
  <c r="HR103" i="13"/>
  <c r="HR85" i="13"/>
  <c r="HR66" i="13"/>
  <c r="HR104" i="13"/>
  <c r="HR86" i="13"/>
  <c r="HR67" i="13"/>
  <c r="HR93" i="13"/>
  <c r="HR73" i="13"/>
  <c r="HR68" i="13"/>
  <c r="HR94" i="13"/>
  <c r="HR74" i="13"/>
  <c r="HR69" i="13"/>
  <c r="HR95" i="13"/>
  <c r="HR75" i="13"/>
  <c r="HR96" i="13"/>
  <c r="HR76" i="13"/>
  <c r="IG95" i="13"/>
  <c r="IG75" i="13"/>
  <c r="IG96" i="13"/>
  <c r="IG76" i="13"/>
  <c r="IG88" i="13"/>
  <c r="IG64" i="13"/>
  <c r="IG102" i="13"/>
  <c r="IG84" i="13"/>
  <c r="IG65" i="13"/>
  <c r="IG103" i="13"/>
  <c r="IG85" i="13"/>
  <c r="IG66" i="13"/>
  <c r="IG104" i="13"/>
  <c r="IG86" i="13"/>
  <c r="IG67" i="13"/>
  <c r="IG93" i="13"/>
  <c r="IG73" i="13"/>
  <c r="IG68" i="13"/>
  <c r="IG94" i="13"/>
  <c r="IG74" i="13"/>
  <c r="IG69" i="13"/>
  <c r="IV94" i="13"/>
  <c r="IV95" i="13"/>
  <c r="IV96" i="13"/>
  <c r="IV88" i="13"/>
  <c r="IV103" i="13"/>
  <c r="IV102" i="13"/>
  <c r="IV73" i="13"/>
  <c r="IV68" i="13"/>
  <c r="IV86" i="13"/>
  <c r="IV74" i="13"/>
  <c r="IV69" i="13"/>
  <c r="IV75" i="13"/>
  <c r="IV93" i="13"/>
  <c r="IV76" i="13"/>
  <c r="IV85" i="13"/>
  <c r="IV64" i="13"/>
  <c r="IV65" i="13"/>
  <c r="IV66" i="13"/>
  <c r="IV104" i="13"/>
  <c r="IV84" i="13"/>
  <c r="IV67" i="13"/>
  <c r="JK104" i="13"/>
  <c r="JK86" i="13"/>
  <c r="JK67" i="13"/>
  <c r="JK93" i="13"/>
  <c r="JK73" i="13"/>
  <c r="JK68" i="13"/>
  <c r="JK94" i="13"/>
  <c r="JK74" i="13"/>
  <c r="JK69" i="13"/>
  <c r="JK95" i="13"/>
  <c r="JK75" i="13"/>
  <c r="JK96" i="13"/>
  <c r="JK88" i="13"/>
  <c r="JK64" i="13"/>
  <c r="JK102" i="13"/>
  <c r="JK84" i="13"/>
  <c r="JK65" i="13"/>
  <c r="JK103" i="13"/>
  <c r="JK85" i="13"/>
  <c r="JK66" i="13"/>
  <c r="JK76" i="13"/>
  <c r="JZ102" i="13"/>
  <c r="JZ84" i="13"/>
  <c r="JZ65" i="13"/>
  <c r="JZ103" i="13"/>
  <c r="JZ85" i="13"/>
  <c r="JZ66" i="13"/>
  <c r="JZ104" i="13"/>
  <c r="JZ86" i="13"/>
  <c r="JZ67" i="13"/>
  <c r="JZ93" i="13"/>
  <c r="JZ73" i="13"/>
  <c r="JZ68" i="13"/>
  <c r="JZ94" i="13"/>
  <c r="JZ74" i="13"/>
  <c r="JZ69" i="13"/>
  <c r="JZ95" i="13"/>
  <c r="JZ75" i="13"/>
  <c r="JZ96" i="13"/>
  <c r="JZ76" i="13"/>
  <c r="JZ88" i="13"/>
  <c r="JZ64" i="13"/>
  <c r="KO94" i="13"/>
  <c r="KO74" i="13"/>
  <c r="KO95" i="13"/>
  <c r="KO88" i="13"/>
  <c r="KO104" i="13"/>
  <c r="KO76" i="13"/>
  <c r="KO73" i="13"/>
  <c r="KO64" i="13"/>
  <c r="KO96" i="13"/>
  <c r="KO86" i="13"/>
  <c r="KO65" i="13"/>
  <c r="KO103" i="13"/>
  <c r="KO85" i="13"/>
  <c r="KO66" i="13"/>
  <c r="KO67" i="13"/>
  <c r="KO93" i="13"/>
  <c r="KO84" i="13"/>
  <c r="KO68" i="13"/>
  <c r="KO102" i="13"/>
  <c r="KO69" i="13"/>
  <c r="KO75" i="13"/>
  <c r="KW94" i="13"/>
  <c r="KW74" i="13"/>
  <c r="KW95" i="13"/>
  <c r="KW88" i="13"/>
  <c r="KW86" i="13"/>
  <c r="KW76" i="13"/>
  <c r="KW93" i="13"/>
  <c r="KW85" i="13"/>
  <c r="KW64" i="13"/>
  <c r="KW102" i="13"/>
  <c r="KW84" i="13"/>
  <c r="KW65" i="13"/>
  <c r="KW66" i="13"/>
  <c r="KW104" i="13"/>
  <c r="KW67" i="13"/>
  <c r="KW68" i="13"/>
  <c r="KW69" i="13"/>
  <c r="KW103" i="13"/>
  <c r="KW96" i="13"/>
  <c r="KW73" i="13"/>
  <c r="KW75" i="13"/>
  <c r="LL104" i="13"/>
  <c r="LL86" i="13"/>
  <c r="LL67" i="13"/>
  <c r="LL93" i="13"/>
  <c r="LL73" i="13"/>
  <c r="LL68" i="13"/>
  <c r="LL94" i="13"/>
  <c r="LL74" i="13"/>
  <c r="LL69" i="13"/>
  <c r="LL95" i="13"/>
  <c r="LL75" i="13"/>
  <c r="LL96" i="13"/>
  <c r="LL76" i="13"/>
  <c r="LL102" i="13"/>
  <c r="LL103" i="13"/>
  <c r="LL88" i="13"/>
  <c r="LL85" i="13"/>
  <c r="LL64" i="13"/>
  <c r="LL66" i="13"/>
  <c r="LL84" i="13"/>
  <c r="LL65" i="13"/>
  <c r="MA104" i="13"/>
  <c r="MA93" i="13"/>
  <c r="MA96" i="13"/>
  <c r="MA84" i="13"/>
  <c r="MA65" i="13"/>
  <c r="MA102" i="13"/>
  <c r="MA95" i="13"/>
  <c r="MA85" i="13"/>
  <c r="MA66" i="13"/>
  <c r="MA94" i="13"/>
  <c r="MA86" i="13"/>
  <c r="MA67" i="13"/>
  <c r="MA73" i="13"/>
  <c r="MA68" i="13"/>
  <c r="MA74" i="13"/>
  <c r="MA69" i="13"/>
  <c r="MA75" i="13"/>
  <c r="MA76" i="13"/>
  <c r="MA103" i="13"/>
  <c r="MA88" i="13"/>
  <c r="MA64" i="13"/>
  <c r="MP102" i="13"/>
  <c r="MP84" i="13"/>
  <c r="MP64" i="13"/>
  <c r="MP65" i="13"/>
  <c r="MP66" i="13"/>
  <c r="MP76" i="13"/>
  <c r="MP85" i="13"/>
  <c r="MP73" i="13"/>
  <c r="MP69" i="13"/>
  <c r="MP103" i="13"/>
  <c r="MP93" i="13"/>
  <c r="MP95" i="13"/>
  <c r="MP88" i="13"/>
  <c r="MP75" i="13"/>
  <c r="MP68" i="13"/>
  <c r="MP86" i="13"/>
  <c r="MP74" i="13"/>
  <c r="MP67" i="13"/>
  <c r="MP104" i="13"/>
  <c r="MP94" i="13"/>
  <c r="MP96" i="13"/>
  <c r="NE96" i="13"/>
  <c r="NE76" i="13"/>
  <c r="NE88" i="13"/>
  <c r="NE84" i="13"/>
  <c r="NE85" i="13"/>
  <c r="NE86" i="13"/>
  <c r="NE73" i="13"/>
  <c r="NE74" i="13"/>
  <c r="NE75" i="13"/>
  <c r="NE102" i="13"/>
  <c r="NE103" i="13"/>
  <c r="NE104" i="13"/>
  <c r="NE93" i="13"/>
  <c r="NE94" i="13"/>
  <c r="NE95" i="13"/>
  <c r="NE65" i="13"/>
  <c r="NE67" i="13"/>
  <c r="NE69" i="13"/>
  <c r="NE64" i="13"/>
  <c r="NE66" i="13"/>
  <c r="NE68" i="13"/>
  <c r="NT104" i="13"/>
  <c r="NT86" i="13"/>
  <c r="NT94" i="13"/>
  <c r="NT74" i="13"/>
  <c r="NT69" i="13"/>
  <c r="NT95" i="13"/>
  <c r="NT73" i="13"/>
  <c r="NT67" i="13"/>
  <c r="NT68" i="13"/>
  <c r="NT66" i="13"/>
  <c r="NT93" i="13"/>
  <c r="NT65" i="13"/>
  <c r="NT85" i="13"/>
  <c r="NT64" i="13"/>
  <c r="NT84" i="13"/>
  <c r="NT76" i="13"/>
  <c r="NT103" i="13"/>
  <c r="NT88" i="13"/>
  <c r="NT96" i="13"/>
  <c r="NT75" i="13"/>
  <c r="NT102" i="13"/>
  <c r="OI102" i="13"/>
  <c r="OI84" i="13"/>
  <c r="OI65" i="13"/>
  <c r="OI104" i="13"/>
  <c r="OI86" i="13"/>
  <c r="OI67" i="13"/>
  <c r="OI94" i="13"/>
  <c r="OI95" i="13"/>
  <c r="OI75" i="13"/>
  <c r="OI68" i="13"/>
  <c r="OI74" i="13"/>
  <c r="OI103" i="13"/>
  <c r="OI73" i="13"/>
  <c r="OI66" i="13"/>
  <c r="OI88" i="13"/>
  <c r="OI93" i="13"/>
  <c r="OI96" i="13"/>
  <c r="OI64" i="13"/>
  <c r="OI76" i="13"/>
  <c r="OI85" i="13"/>
  <c r="OI69" i="13"/>
  <c r="BY68" i="13"/>
  <c r="CA66" i="13"/>
  <c r="CE76" i="13"/>
  <c r="CE74" i="13"/>
  <c r="CA85" i="13"/>
  <c r="CG94" i="13"/>
  <c r="CF96" i="13"/>
  <c r="CF76" i="13"/>
  <c r="CF88" i="13"/>
  <c r="CF64" i="13"/>
  <c r="CF102" i="13"/>
  <c r="CF84" i="13"/>
  <c r="CF65" i="13"/>
  <c r="CF103" i="13"/>
  <c r="CF85" i="13"/>
  <c r="CF66" i="13"/>
  <c r="CF104" i="13"/>
  <c r="CF86" i="13"/>
  <c r="CF93" i="13"/>
  <c r="CF73" i="13"/>
  <c r="CF94" i="13"/>
  <c r="DJ104" i="13"/>
  <c r="DJ86" i="13"/>
  <c r="DJ67" i="13"/>
  <c r="DJ93" i="13"/>
  <c r="DJ73" i="13"/>
  <c r="DJ68" i="13"/>
  <c r="DJ94" i="13"/>
  <c r="DJ74" i="13"/>
  <c r="DJ69" i="13"/>
  <c r="DJ95" i="13"/>
  <c r="DJ75" i="13"/>
  <c r="DJ96" i="13"/>
  <c r="DJ76" i="13"/>
  <c r="DJ88" i="13"/>
  <c r="DJ64" i="13"/>
  <c r="DJ102" i="13"/>
  <c r="DJ84" i="13"/>
  <c r="DJ65" i="13"/>
  <c r="DJ103" i="13"/>
  <c r="DJ85" i="13"/>
  <c r="DJ66" i="13"/>
  <c r="DY88" i="13"/>
  <c r="DY102" i="13"/>
  <c r="DY84" i="13"/>
  <c r="DY103" i="13"/>
  <c r="DY104" i="13"/>
  <c r="DY96" i="13"/>
  <c r="DY65" i="13"/>
  <c r="DY93" i="13"/>
  <c r="DY85" i="13"/>
  <c r="DY66" i="13"/>
  <c r="DY86" i="13"/>
  <c r="DY67" i="13"/>
  <c r="DY95" i="13"/>
  <c r="DY73" i="13"/>
  <c r="DY68" i="13"/>
  <c r="DY74" i="13"/>
  <c r="DY69" i="13"/>
  <c r="DY75" i="13"/>
  <c r="DY94" i="13"/>
  <c r="DY76" i="13"/>
  <c r="DY64" i="13"/>
  <c r="EN95" i="13"/>
  <c r="EN75" i="13"/>
  <c r="EN96" i="13"/>
  <c r="EN76" i="13"/>
  <c r="EN88" i="13"/>
  <c r="EN64" i="13"/>
  <c r="EN102" i="13"/>
  <c r="EN84" i="13"/>
  <c r="EN65" i="13"/>
  <c r="EN103" i="13"/>
  <c r="EN85" i="13"/>
  <c r="EN66" i="13"/>
  <c r="EN93" i="13"/>
  <c r="EN73" i="13"/>
  <c r="EN94" i="13"/>
  <c r="EN104" i="13"/>
  <c r="EN74" i="13"/>
  <c r="EN67" i="13"/>
  <c r="EN69" i="13"/>
  <c r="EN86" i="13"/>
  <c r="EN68" i="13"/>
  <c r="FC93" i="13"/>
  <c r="FC73" i="13"/>
  <c r="FC68" i="13"/>
  <c r="FC94" i="13"/>
  <c r="FC74" i="13"/>
  <c r="FC69" i="13"/>
  <c r="FC95" i="13"/>
  <c r="FC75" i="13"/>
  <c r="FC96" i="13"/>
  <c r="FC76" i="13"/>
  <c r="FC88" i="13"/>
  <c r="FC64" i="13"/>
  <c r="FC102" i="13"/>
  <c r="FC84" i="13"/>
  <c r="FC65" i="13"/>
  <c r="FC103" i="13"/>
  <c r="FC85" i="13"/>
  <c r="FC66" i="13"/>
  <c r="FC104" i="13"/>
  <c r="FC86" i="13"/>
  <c r="FC67" i="13"/>
  <c r="FR103" i="13"/>
  <c r="FR85" i="13"/>
  <c r="FR66" i="13"/>
  <c r="FR104" i="13"/>
  <c r="FR86" i="13"/>
  <c r="FR67" i="13"/>
  <c r="FR93" i="13"/>
  <c r="FR73" i="13"/>
  <c r="FR68" i="13"/>
  <c r="FR94" i="13"/>
  <c r="FR74" i="13"/>
  <c r="FR69" i="13"/>
  <c r="FR95" i="13"/>
  <c r="FR75" i="13"/>
  <c r="FR96" i="13"/>
  <c r="FR76" i="13"/>
  <c r="FR88" i="13"/>
  <c r="FR64" i="13"/>
  <c r="FR102" i="13"/>
  <c r="FR84" i="13"/>
  <c r="FR65" i="13"/>
  <c r="GG104" i="13"/>
  <c r="GG86" i="13"/>
  <c r="GG67" i="13"/>
  <c r="GG93" i="13"/>
  <c r="GG94" i="13"/>
  <c r="GG95" i="13"/>
  <c r="GG84" i="13"/>
  <c r="GG88" i="13"/>
  <c r="GG102" i="13"/>
  <c r="GG96" i="13"/>
  <c r="GG73" i="13"/>
  <c r="GG74" i="13"/>
  <c r="GG75" i="13"/>
  <c r="GG76" i="13"/>
  <c r="GG64" i="13"/>
  <c r="GG65" i="13"/>
  <c r="GG66" i="13"/>
  <c r="GG68" i="13"/>
  <c r="GG69" i="13"/>
  <c r="GG103" i="13"/>
  <c r="GG85" i="13"/>
  <c r="GO104" i="13"/>
  <c r="GO86" i="13"/>
  <c r="GO93" i="13"/>
  <c r="GO96" i="13"/>
  <c r="GO103" i="13"/>
  <c r="GO95" i="13"/>
  <c r="GO94" i="13"/>
  <c r="GO73" i="13"/>
  <c r="GO74" i="13"/>
  <c r="GO75" i="13"/>
  <c r="GO76" i="13"/>
  <c r="GO64" i="13"/>
  <c r="GO65" i="13"/>
  <c r="GO66" i="13"/>
  <c r="GO67" i="13"/>
  <c r="GO68" i="13"/>
  <c r="GO102" i="13"/>
  <c r="GO85" i="13"/>
  <c r="GO69" i="13"/>
  <c r="GO84" i="13"/>
  <c r="GO88" i="13"/>
  <c r="HD102" i="13"/>
  <c r="HD84" i="13"/>
  <c r="HD65" i="13"/>
  <c r="HD103" i="13"/>
  <c r="HD85" i="13"/>
  <c r="HD66" i="13"/>
  <c r="HD104" i="13"/>
  <c r="HD86" i="13"/>
  <c r="HD67" i="13"/>
  <c r="HD93" i="13"/>
  <c r="HD73" i="13"/>
  <c r="HD68" i="13"/>
  <c r="HD94" i="13"/>
  <c r="HD74" i="13"/>
  <c r="HD69" i="13"/>
  <c r="HD96" i="13"/>
  <c r="HD76" i="13"/>
  <c r="HD88" i="13"/>
  <c r="HD64" i="13"/>
  <c r="HD95" i="13"/>
  <c r="HD75" i="13"/>
  <c r="HS96" i="13"/>
  <c r="HS76" i="13"/>
  <c r="HS88" i="13"/>
  <c r="HS64" i="13"/>
  <c r="HS102" i="13"/>
  <c r="HS84" i="13"/>
  <c r="HS65" i="13"/>
  <c r="HS103" i="13"/>
  <c r="HS85" i="13"/>
  <c r="HS66" i="13"/>
  <c r="HS104" i="13"/>
  <c r="HS86" i="13"/>
  <c r="HS67" i="13"/>
  <c r="HS93" i="13"/>
  <c r="HS73" i="13"/>
  <c r="HS68" i="13"/>
  <c r="HS94" i="13"/>
  <c r="HS74" i="13"/>
  <c r="HS69" i="13"/>
  <c r="HS95" i="13"/>
  <c r="HS75" i="13"/>
  <c r="IH94" i="13"/>
  <c r="IH74" i="13"/>
  <c r="IH69" i="13"/>
  <c r="IH95" i="13"/>
  <c r="IH75" i="13"/>
  <c r="IH96" i="13"/>
  <c r="IH76" i="13"/>
  <c r="IH88" i="13"/>
  <c r="IH64" i="13"/>
  <c r="IH102" i="13"/>
  <c r="IH84" i="13"/>
  <c r="IH65" i="13"/>
  <c r="IH103" i="13"/>
  <c r="IH85" i="13"/>
  <c r="IH66" i="13"/>
  <c r="IH104" i="13"/>
  <c r="IH86" i="13"/>
  <c r="IH67" i="13"/>
  <c r="IH93" i="13"/>
  <c r="IH73" i="13"/>
  <c r="IH68" i="13"/>
  <c r="IW93" i="13"/>
  <c r="IW94" i="13"/>
  <c r="IW95" i="13"/>
  <c r="IW96" i="13"/>
  <c r="IW102" i="13"/>
  <c r="IW104" i="13"/>
  <c r="IW84" i="13"/>
  <c r="IW67" i="13"/>
  <c r="IW73" i="13"/>
  <c r="IW68" i="13"/>
  <c r="IW86" i="13"/>
  <c r="IW74" i="13"/>
  <c r="IW69" i="13"/>
  <c r="IW88" i="13"/>
  <c r="IW75" i="13"/>
  <c r="IW103" i="13"/>
  <c r="IW76" i="13"/>
  <c r="IW85" i="13"/>
  <c r="IW64" i="13"/>
  <c r="IW65" i="13"/>
  <c r="IW66" i="13"/>
  <c r="JL103" i="13"/>
  <c r="JL85" i="13"/>
  <c r="JL66" i="13"/>
  <c r="JL104" i="13"/>
  <c r="JL86" i="13"/>
  <c r="JL67" i="13"/>
  <c r="JL93" i="13"/>
  <c r="JL73" i="13"/>
  <c r="JL68" i="13"/>
  <c r="JL94" i="13"/>
  <c r="JL74" i="13"/>
  <c r="JL69" i="13"/>
  <c r="JL95" i="13"/>
  <c r="JL96" i="13"/>
  <c r="JL76" i="13"/>
  <c r="JL88" i="13"/>
  <c r="JL64" i="13"/>
  <c r="JL102" i="13"/>
  <c r="JL84" i="13"/>
  <c r="JL65" i="13"/>
  <c r="JL75" i="13"/>
  <c r="KA88" i="13"/>
  <c r="KA64" i="13"/>
  <c r="KA102" i="13"/>
  <c r="KA84" i="13"/>
  <c r="KA65" i="13"/>
  <c r="KA103" i="13"/>
  <c r="KA85" i="13"/>
  <c r="KA66" i="13"/>
  <c r="KA104" i="13"/>
  <c r="KA86" i="13"/>
  <c r="KA67" i="13"/>
  <c r="KA93" i="13"/>
  <c r="KA73" i="13"/>
  <c r="KA68" i="13"/>
  <c r="KA94" i="13"/>
  <c r="KA74" i="13"/>
  <c r="KA69" i="13"/>
  <c r="KA95" i="13"/>
  <c r="KA75" i="13"/>
  <c r="KA96" i="13"/>
  <c r="KA76" i="13"/>
  <c r="KP93" i="13"/>
  <c r="KP73" i="13"/>
  <c r="KP94" i="13"/>
  <c r="KP95" i="13"/>
  <c r="KP96" i="13"/>
  <c r="KP88" i="13"/>
  <c r="KP74" i="13"/>
  <c r="KP75" i="13"/>
  <c r="KP104" i="13"/>
  <c r="KP76" i="13"/>
  <c r="KP64" i="13"/>
  <c r="KP86" i="13"/>
  <c r="KP65" i="13"/>
  <c r="KP103" i="13"/>
  <c r="KP85" i="13"/>
  <c r="KP66" i="13"/>
  <c r="KP67" i="13"/>
  <c r="KP84" i="13"/>
  <c r="KP68" i="13"/>
  <c r="KP102" i="13"/>
  <c r="KP69" i="13"/>
  <c r="LE103" i="13"/>
  <c r="LE85" i="13"/>
  <c r="LE66" i="13"/>
  <c r="LE104" i="13"/>
  <c r="LE86" i="13"/>
  <c r="LE67" i="13"/>
  <c r="LE93" i="13"/>
  <c r="LE73" i="13"/>
  <c r="LE68" i="13"/>
  <c r="LE94" i="13"/>
  <c r="LE74" i="13"/>
  <c r="LE69" i="13"/>
  <c r="LE95" i="13"/>
  <c r="LE75" i="13"/>
  <c r="LE102" i="13"/>
  <c r="LE64" i="13"/>
  <c r="LE96" i="13"/>
  <c r="LE84" i="13"/>
  <c r="LE76" i="13"/>
  <c r="LE65" i="13"/>
  <c r="LE88" i="13"/>
  <c r="LM103" i="13"/>
  <c r="LM85" i="13"/>
  <c r="LM66" i="13"/>
  <c r="LM104" i="13"/>
  <c r="LM86" i="13"/>
  <c r="LM67" i="13"/>
  <c r="LM93" i="13"/>
  <c r="LM73" i="13"/>
  <c r="LM68" i="13"/>
  <c r="LM94" i="13"/>
  <c r="LM74" i="13"/>
  <c r="LM69" i="13"/>
  <c r="LM95" i="13"/>
  <c r="LM75" i="13"/>
  <c r="LM102" i="13"/>
  <c r="LM76" i="13"/>
  <c r="LM65" i="13"/>
  <c r="LM88" i="13"/>
  <c r="LM64" i="13"/>
  <c r="LM96" i="13"/>
  <c r="LM84" i="13"/>
  <c r="MB102" i="13"/>
  <c r="MB103" i="13"/>
  <c r="MB104" i="13"/>
  <c r="MB88" i="13"/>
  <c r="MB64" i="13"/>
  <c r="MB96" i="13"/>
  <c r="MB84" i="13"/>
  <c r="MB65" i="13"/>
  <c r="MB95" i="13"/>
  <c r="MB85" i="13"/>
  <c r="MB66" i="13"/>
  <c r="MB94" i="13"/>
  <c r="MB86" i="13"/>
  <c r="MB67" i="13"/>
  <c r="MB93" i="13"/>
  <c r="MB73" i="13"/>
  <c r="MB68" i="13"/>
  <c r="MB74" i="13"/>
  <c r="MB69" i="13"/>
  <c r="MB75" i="13"/>
  <c r="MB76" i="13"/>
  <c r="MQ88" i="13"/>
  <c r="MQ102" i="13"/>
  <c r="MQ103" i="13"/>
  <c r="MQ104" i="13"/>
  <c r="MQ93" i="13"/>
  <c r="MQ94" i="13"/>
  <c r="MQ95" i="13"/>
  <c r="MQ96" i="13"/>
  <c r="MQ76" i="13"/>
  <c r="MQ64" i="13"/>
  <c r="MQ65" i="13"/>
  <c r="MQ66" i="13"/>
  <c r="MQ85" i="13"/>
  <c r="MQ73" i="13"/>
  <c r="MQ69" i="13"/>
  <c r="MQ75" i="13"/>
  <c r="MQ68" i="13"/>
  <c r="MQ84" i="13"/>
  <c r="MQ86" i="13"/>
  <c r="MQ74" i="13"/>
  <c r="MQ67" i="13"/>
  <c r="NF95" i="13"/>
  <c r="NF75" i="13"/>
  <c r="NF76" i="13"/>
  <c r="NF64" i="13"/>
  <c r="NF65" i="13"/>
  <c r="NF66" i="13"/>
  <c r="NF67" i="13"/>
  <c r="NF68" i="13"/>
  <c r="NF69" i="13"/>
  <c r="NF96" i="13"/>
  <c r="NF88" i="13"/>
  <c r="NF84" i="13"/>
  <c r="NF85" i="13"/>
  <c r="NF86" i="13"/>
  <c r="NF73" i="13"/>
  <c r="NF74" i="13"/>
  <c r="NF102" i="13"/>
  <c r="NF103" i="13"/>
  <c r="NF104" i="13"/>
  <c r="NF93" i="13"/>
  <c r="NF94" i="13"/>
  <c r="NU103" i="13"/>
  <c r="NU85" i="13"/>
  <c r="NU66" i="13"/>
  <c r="NU93" i="13"/>
  <c r="NU73" i="13"/>
  <c r="NU68" i="13"/>
  <c r="NU102" i="13"/>
  <c r="NU96" i="13"/>
  <c r="NU74" i="13"/>
  <c r="NU95" i="13"/>
  <c r="NU69" i="13"/>
  <c r="NU94" i="13"/>
  <c r="NU67" i="13"/>
  <c r="NU86" i="13"/>
  <c r="NU65" i="13"/>
  <c r="NU104" i="13"/>
  <c r="NU64" i="13"/>
  <c r="NU84" i="13"/>
  <c r="NU88" i="13"/>
  <c r="NU75" i="13"/>
  <c r="NU76" i="13"/>
  <c r="OJ88" i="13"/>
  <c r="OJ64" i="13"/>
  <c r="OJ102" i="13"/>
  <c r="OJ103" i="13"/>
  <c r="OJ85" i="13"/>
  <c r="OJ66" i="13"/>
  <c r="OJ93" i="13"/>
  <c r="OJ104" i="13"/>
  <c r="OJ76" i="13"/>
  <c r="OJ69" i="13"/>
  <c r="OJ95" i="13"/>
  <c r="OJ75" i="13"/>
  <c r="OJ68" i="13"/>
  <c r="OJ84" i="13"/>
  <c r="OJ74" i="13"/>
  <c r="OJ67" i="13"/>
  <c r="OJ94" i="13"/>
  <c r="OJ73" i="13"/>
  <c r="OJ86" i="13"/>
  <c r="OJ65" i="13"/>
  <c r="OJ96" i="13"/>
  <c r="CE69" i="13"/>
  <c r="BZ66" i="13"/>
  <c r="CD76" i="13"/>
  <c r="BY74" i="13"/>
  <c r="CC84" i="13"/>
  <c r="BY95" i="13"/>
  <c r="BY75" i="13"/>
  <c r="BY96" i="13"/>
  <c r="BY76" i="13"/>
  <c r="BY88" i="13"/>
  <c r="BY64" i="13"/>
  <c r="BY102" i="13"/>
  <c r="BY84" i="13"/>
  <c r="BY65" i="13"/>
  <c r="BY103" i="13"/>
  <c r="BY85" i="13"/>
  <c r="BY66" i="13"/>
  <c r="BY104" i="13"/>
  <c r="BY86" i="13"/>
  <c r="BY93" i="13"/>
  <c r="CG95" i="13"/>
  <c r="CG75" i="13"/>
  <c r="CG96" i="13"/>
  <c r="CG76" i="13"/>
  <c r="CG88" i="13"/>
  <c r="CG64" i="13"/>
  <c r="CG102" i="13"/>
  <c r="CG84" i="13"/>
  <c r="CG65" i="13"/>
  <c r="CG103" i="13"/>
  <c r="CG85" i="13"/>
  <c r="CG104" i="13"/>
  <c r="CG86" i="13"/>
  <c r="CG93" i="13"/>
  <c r="DK103" i="13"/>
  <c r="DK85" i="13"/>
  <c r="DK66" i="13"/>
  <c r="DK104" i="13"/>
  <c r="DK86" i="13"/>
  <c r="DK67" i="13"/>
  <c r="DK93" i="13"/>
  <c r="DK73" i="13"/>
  <c r="DK68" i="13"/>
  <c r="DK94" i="13"/>
  <c r="DK74" i="13"/>
  <c r="DK69" i="13"/>
  <c r="DK95" i="13"/>
  <c r="DK75" i="13"/>
  <c r="DK96" i="13"/>
  <c r="DK76" i="13"/>
  <c r="DK88" i="13"/>
  <c r="DK64" i="13"/>
  <c r="DK102" i="13"/>
  <c r="DK84" i="13"/>
  <c r="DK65" i="13"/>
  <c r="DZ96" i="13"/>
  <c r="DZ88" i="13"/>
  <c r="DZ102" i="13"/>
  <c r="DZ84" i="13"/>
  <c r="DZ103" i="13"/>
  <c r="DZ64" i="13"/>
  <c r="DZ65" i="13"/>
  <c r="DZ93" i="13"/>
  <c r="DZ85" i="13"/>
  <c r="DZ66" i="13"/>
  <c r="DZ86" i="13"/>
  <c r="DZ67" i="13"/>
  <c r="DZ95" i="13"/>
  <c r="DZ73" i="13"/>
  <c r="DZ68" i="13"/>
  <c r="DZ104" i="13"/>
  <c r="DZ74" i="13"/>
  <c r="DZ69" i="13"/>
  <c r="DZ75" i="13"/>
  <c r="DZ94" i="13"/>
  <c r="DZ76" i="13"/>
  <c r="EO94" i="13"/>
  <c r="EO74" i="13"/>
  <c r="EO69" i="13"/>
  <c r="EO95" i="13"/>
  <c r="EO75" i="13"/>
  <c r="EO96" i="13"/>
  <c r="EO76" i="13"/>
  <c r="EO88" i="13"/>
  <c r="EO64" i="13"/>
  <c r="EO102" i="13"/>
  <c r="EO84" i="13"/>
  <c r="EO65" i="13"/>
  <c r="EO103" i="13"/>
  <c r="EO104" i="13"/>
  <c r="EO86" i="13"/>
  <c r="EO93" i="13"/>
  <c r="EO85" i="13"/>
  <c r="EO67" i="13"/>
  <c r="EO73" i="13"/>
  <c r="EO66" i="13"/>
  <c r="EO68" i="13"/>
  <c r="FD104" i="13"/>
  <c r="FD86" i="13"/>
  <c r="FD67" i="13"/>
  <c r="FD93" i="13"/>
  <c r="FD73" i="13"/>
  <c r="FD68" i="13"/>
  <c r="FD94" i="13"/>
  <c r="FD74" i="13"/>
  <c r="FD69" i="13"/>
  <c r="FD95" i="13"/>
  <c r="FD75" i="13"/>
  <c r="FD96" i="13"/>
  <c r="FD76" i="13"/>
  <c r="FD88" i="13"/>
  <c r="FD64" i="13"/>
  <c r="FD102" i="13"/>
  <c r="FD84" i="13"/>
  <c r="FD65" i="13"/>
  <c r="FD103" i="13"/>
  <c r="FD85" i="13"/>
  <c r="FD66" i="13"/>
  <c r="FS102" i="13"/>
  <c r="FS84" i="13"/>
  <c r="FS65" i="13"/>
  <c r="FS103" i="13"/>
  <c r="FS85" i="13"/>
  <c r="FS66" i="13"/>
  <c r="FS104" i="13"/>
  <c r="FS86" i="13"/>
  <c r="FS67" i="13"/>
  <c r="FS93" i="13"/>
  <c r="FS73" i="13"/>
  <c r="FS68" i="13"/>
  <c r="FS94" i="13"/>
  <c r="FS74" i="13"/>
  <c r="FS69" i="13"/>
  <c r="FS95" i="13"/>
  <c r="FS75" i="13"/>
  <c r="FS96" i="13"/>
  <c r="FS76" i="13"/>
  <c r="FS88" i="13"/>
  <c r="FS64" i="13"/>
  <c r="GH103" i="13"/>
  <c r="GH85" i="13"/>
  <c r="GH66" i="13"/>
  <c r="GH104" i="13"/>
  <c r="GH86" i="13"/>
  <c r="GH93" i="13"/>
  <c r="GH94" i="13"/>
  <c r="GH84" i="13"/>
  <c r="GH88" i="13"/>
  <c r="GH102" i="13"/>
  <c r="GH96" i="13"/>
  <c r="GH95" i="13"/>
  <c r="GH67" i="13"/>
  <c r="GH73" i="13"/>
  <c r="GH74" i="13"/>
  <c r="GH75" i="13"/>
  <c r="GH76" i="13"/>
  <c r="GH64" i="13"/>
  <c r="GH65" i="13"/>
  <c r="GH68" i="13"/>
  <c r="GH69" i="13"/>
  <c r="GW88" i="13"/>
  <c r="GW64" i="13"/>
  <c r="GW102" i="13"/>
  <c r="GW84" i="13"/>
  <c r="GW65" i="13"/>
  <c r="GW103" i="13"/>
  <c r="GW85" i="13"/>
  <c r="GW66" i="13"/>
  <c r="GW104" i="13"/>
  <c r="GW86" i="13"/>
  <c r="GW67" i="13"/>
  <c r="GW93" i="13"/>
  <c r="GW73" i="13"/>
  <c r="GW68" i="13"/>
  <c r="GW95" i="13"/>
  <c r="GW75" i="13"/>
  <c r="GW96" i="13"/>
  <c r="GW76" i="13"/>
  <c r="GW94" i="13"/>
  <c r="GW74" i="13"/>
  <c r="GW69" i="13"/>
  <c r="HE88" i="13"/>
  <c r="HE64" i="13"/>
  <c r="HE102" i="13"/>
  <c r="HE84" i="13"/>
  <c r="HE65" i="13"/>
  <c r="HE103" i="13"/>
  <c r="HE85" i="13"/>
  <c r="HE66" i="13"/>
  <c r="HE104" i="13"/>
  <c r="HE86" i="13"/>
  <c r="HE67" i="13"/>
  <c r="HE93" i="13"/>
  <c r="HE73" i="13"/>
  <c r="HE68" i="13"/>
  <c r="HE95" i="13"/>
  <c r="HE75" i="13"/>
  <c r="HE96" i="13"/>
  <c r="HE76" i="13"/>
  <c r="HE69" i="13"/>
  <c r="HE94" i="13"/>
  <c r="HE74" i="13"/>
  <c r="HT95" i="13"/>
  <c r="HT75" i="13"/>
  <c r="HT96" i="13"/>
  <c r="HT76" i="13"/>
  <c r="HT88" i="13"/>
  <c r="HT64" i="13"/>
  <c r="HT102" i="13"/>
  <c r="HT84" i="13"/>
  <c r="HT65" i="13"/>
  <c r="HT103" i="13"/>
  <c r="HT85" i="13"/>
  <c r="HT66" i="13"/>
  <c r="HT104" i="13"/>
  <c r="HT86" i="13"/>
  <c r="HT67" i="13"/>
  <c r="HT93" i="13"/>
  <c r="HT73" i="13"/>
  <c r="HT68" i="13"/>
  <c r="HT94" i="13"/>
  <c r="HT74" i="13"/>
  <c r="HT69" i="13"/>
  <c r="II93" i="13"/>
  <c r="II73" i="13"/>
  <c r="II68" i="13"/>
  <c r="II94" i="13"/>
  <c r="II74" i="13"/>
  <c r="II69" i="13"/>
  <c r="II95" i="13"/>
  <c r="II75" i="13"/>
  <c r="II96" i="13"/>
  <c r="II76" i="13"/>
  <c r="II88" i="13"/>
  <c r="II64" i="13"/>
  <c r="II102" i="13"/>
  <c r="II84" i="13"/>
  <c r="II65" i="13"/>
  <c r="II103" i="13"/>
  <c r="II85" i="13"/>
  <c r="II66" i="13"/>
  <c r="II104" i="13"/>
  <c r="II86" i="13"/>
  <c r="II67" i="13"/>
  <c r="IX104" i="13"/>
  <c r="IX86" i="13"/>
  <c r="IX93" i="13"/>
  <c r="IX94" i="13"/>
  <c r="IX95" i="13"/>
  <c r="IX66" i="13"/>
  <c r="IX102" i="13"/>
  <c r="IX84" i="13"/>
  <c r="IX67" i="13"/>
  <c r="IX73" i="13"/>
  <c r="IX68" i="13"/>
  <c r="IX74" i="13"/>
  <c r="IX69" i="13"/>
  <c r="IX88" i="13"/>
  <c r="IX75" i="13"/>
  <c r="IX103" i="13"/>
  <c r="IX76" i="13"/>
  <c r="IX85" i="13"/>
  <c r="IX64" i="13"/>
  <c r="IX96" i="13"/>
  <c r="IX65" i="13"/>
  <c r="JM102" i="13"/>
  <c r="JM84" i="13"/>
  <c r="JM65" i="13"/>
  <c r="JM103" i="13"/>
  <c r="JM85" i="13"/>
  <c r="JM66" i="13"/>
  <c r="JM104" i="13"/>
  <c r="JM86" i="13"/>
  <c r="JM67" i="13"/>
  <c r="JM93" i="13"/>
  <c r="JM73" i="13"/>
  <c r="JM68" i="13"/>
  <c r="JM94" i="13"/>
  <c r="JM95" i="13"/>
  <c r="JM75" i="13"/>
  <c r="JM96" i="13"/>
  <c r="JM76" i="13"/>
  <c r="JM88" i="13"/>
  <c r="JM64" i="13"/>
  <c r="JM74" i="13"/>
  <c r="JM69" i="13"/>
  <c r="KB96" i="13"/>
  <c r="KB76" i="13"/>
  <c r="KB88" i="13"/>
  <c r="KB64" i="13"/>
  <c r="KB102" i="13"/>
  <c r="KB84" i="13"/>
  <c r="KB65" i="13"/>
  <c r="KB103" i="13"/>
  <c r="KB85" i="13"/>
  <c r="KB66" i="13"/>
  <c r="KB104" i="13"/>
  <c r="KB86" i="13"/>
  <c r="KB67" i="13"/>
  <c r="KB93" i="13"/>
  <c r="KB73" i="13"/>
  <c r="KB68" i="13"/>
  <c r="KB94" i="13"/>
  <c r="KB74" i="13"/>
  <c r="KB69" i="13"/>
  <c r="KB95" i="13"/>
  <c r="KB75" i="13"/>
  <c r="KQ104" i="13"/>
  <c r="KQ86" i="13"/>
  <c r="KQ93" i="13"/>
  <c r="KQ73" i="13"/>
  <c r="KQ94" i="13"/>
  <c r="KQ95" i="13"/>
  <c r="KQ102" i="13"/>
  <c r="KQ69" i="13"/>
  <c r="KQ88" i="13"/>
  <c r="KQ74" i="13"/>
  <c r="KQ75" i="13"/>
  <c r="KQ76" i="13"/>
  <c r="KQ96" i="13"/>
  <c r="KQ64" i="13"/>
  <c r="KQ65" i="13"/>
  <c r="KQ103" i="13"/>
  <c r="KQ85" i="13"/>
  <c r="KQ66" i="13"/>
  <c r="KQ67" i="13"/>
  <c r="KQ84" i="13"/>
  <c r="KQ68" i="13"/>
  <c r="LF102" i="13"/>
  <c r="LF84" i="13"/>
  <c r="LF65" i="13"/>
  <c r="LF103" i="13"/>
  <c r="LF85" i="13"/>
  <c r="LF66" i="13"/>
  <c r="LF104" i="13"/>
  <c r="LF86" i="13"/>
  <c r="LF67" i="13"/>
  <c r="LF93" i="13"/>
  <c r="LF73" i="13"/>
  <c r="LF68" i="13"/>
  <c r="LF94" i="13"/>
  <c r="LF74" i="13"/>
  <c r="LF75" i="13"/>
  <c r="LF64" i="13"/>
  <c r="LF69" i="13"/>
  <c r="LF96" i="13"/>
  <c r="LF76" i="13"/>
  <c r="LF95" i="13"/>
  <c r="LF88" i="13"/>
  <c r="LU102" i="13"/>
  <c r="LU103" i="13"/>
  <c r="LU104" i="13"/>
  <c r="LU76" i="13"/>
  <c r="LU64" i="13"/>
  <c r="LU84" i="13"/>
  <c r="LU65" i="13"/>
  <c r="LU88" i="13"/>
  <c r="LU85" i="13"/>
  <c r="LU66" i="13"/>
  <c r="LU96" i="13"/>
  <c r="LU86" i="13"/>
  <c r="LU67" i="13"/>
  <c r="LU95" i="13"/>
  <c r="LU73" i="13"/>
  <c r="LU68" i="13"/>
  <c r="LU94" i="13"/>
  <c r="LU74" i="13"/>
  <c r="LU69" i="13"/>
  <c r="LU93" i="13"/>
  <c r="LU75" i="13"/>
  <c r="MC102" i="13"/>
  <c r="MC103" i="13"/>
  <c r="MC76" i="13"/>
  <c r="MC88" i="13"/>
  <c r="MC64" i="13"/>
  <c r="MC96" i="13"/>
  <c r="MC84" i="13"/>
  <c r="MC65" i="13"/>
  <c r="MC95" i="13"/>
  <c r="MC85" i="13"/>
  <c r="MC66" i="13"/>
  <c r="MC94" i="13"/>
  <c r="MC86" i="13"/>
  <c r="MC67" i="13"/>
  <c r="MC93" i="13"/>
  <c r="MC73" i="13"/>
  <c r="MC68" i="13"/>
  <c r="MC104" i="13"/>
  <c r="MC74" i="13"/>
  <c r="MC69" i="13"/>
  <c r="MC75" i="13"/>
  <c r="MR96" i="13"/>
  <c r="MR88" i="13"/>
  <c r="MR84" i="13"/>
  <c r="MR85" i="13"/>
  <c r="MR86" i="13"/>
  <c r="MR73" i="13"/>
  <c r="MR74" i="13"/>
  <c r="MR102" i="13"/>
  <c r="MR103" i="13"/>
  <c r="MR104" i="13"/>
  <c r="MR93" i="13"/>
  <c r="MR94" i="13"/>
  <c r="MR95" i="13"/>
  <c r="MR75" i="13"/>
  <c r="MR76" i="13"/>
  <c r="MR64" i="13"/>
  <c r="MR67" i="13"/>
  <c r="MR66" i="13"/>
  <c r="MR65" i="13"/>
  <c r="MR69" i="13"/>
  <c r="MR68" i="13"/>
  <c r="NG94" i="13"/>
  <c r="NG74" i="13"/>
  <c r="NG69" i="13"/>
  <c r="NG75" i="13"/>
  <c r="NG76" i="13"/>
  <c r="NG64" i="13"/>
  <c r="NG65" i="13"/>
  <c r="NG66" i="13"/>
  <c r="NG67" i="13"/>
  <c r="NG68" i="13"/>
  <c r="NG95" i="13"/>
  <c r="NG96" i="13"/>
  <c r="NG88" i="13"/>
  <c r="NG84" i="13"/>
  <c r="NG85" i="13"/>
  <c r="NG86" i="13"/>
  <c r="NG73" i="13"/>
  <c r="NG102" i="13"/>
  <c r="NG103" i="13"/>
  <c r="NG104" i="13"/>
  <c r="NG93" i="13"/>
  <c r="NV102" i="13"/>
  <c r="NV84" i="13"/>
  <c r="NV65" i="13"/>
  <c r="NV104" i="13"/>
  <c r="NV86" i="13"/>
  <c r="NV67" i="13"/>
  <c r="NV88" i="13"/>
  <c r="NV75" i="13"/>
  <c r="NV96" i="13"/>
  <c r="NV74" i="13"/>
  <c r="NV95" i="13"/>
  <c r="NV73" i="13"/>
  <c r="NV68" i="13"/>
  <c r="NV69" i="13"/>
  <c r="NV94" i="13"/>
  <c r="NV66" i="13"/>
  <c r="NV93" i="13"/>
  <c r="NV85" i="13"/>
  <c r="NV103" i="13"/>
  <c r="NV64" i="13"/>
  <c r="NV76" i="13"/>
  <c r="OK96" i="13"/>
  <c r="OK76" i="13"/>
  <c r="OK102" i="13"/>
  <c r="OK84" i="13"/>
  <c r="OK65" i="13"/>
  <c r="OK104" i="13"/>
  <c r="OK86" i="13"/>
  <c r="OK85" i="13"/>
  <c r="OK69" i="13"/>
  <c r="OK95" i="13"/>
  <c r="OK75" i="13"/>
  <c r="OK68" i="13"/>
  <c r="OK103" i="13"/>
  <c r="OK74" i="13"/>
  <c r="OK67" i="13"/>
  <c r="OK94" i="13"/>
  <c r="OK73" i="13"/>
  <c r="OK66" i="13"/>
  <c r="OK88" i="13"/>
  <c r="OK93" i="13"/>
  <c r="OK64" i="13"/>
  <c r="CD69" i="13"/>
  <c r="CF67" i="13"/>
  <c r="CC65" i="13"/>
  <c r="CC76" i="13"/>
  <c r="CG73" i="13"/>
  <c r="CB84" i="13"/>
  <c r="BZ94" i="13"/>
  <c r="BZ74" i="13"/>
  <c r="BZ69" i="13"/>
  <c r="BZ95" i="13"/>
  <c r="BZ75" i="13"/>
  <c r="BZ96" i="13"/>
  <c r="BZ76" i="13"/>
  <c r="BZ88" i="13"/>
  <c r="BZ64" i="13"/>
  <c r="BZ102" i="13"/>
  <c r="BZ84" i="13"/>
  <c r="BZ65" i="13"/>
  <c r="BZ103" i="13"/>
  <c r="BZ85" i="13"/>
  <c r="BZ104" i="13"/>
  <c r="CO104" i="13"/>
  <c r="CO86" i="13"/>
  <c r="CO67" i="13"/>
  <c r="CO93" i="13"/>
  <c r="CO73" i="13"/>
  <c r="CO68" i="13"/>
  <c r="CO94" i="13"/>
  <c r="CO74" i="13"/>
  <c r="CO69" i="13"/>
  <c r="CO95" i="13"/>
  <c r="CO75" i="13"/>
  <c r="CO96" i="13"/>
  <c r="CO76" i="13"/>
  <c r="CO88" i="13"/>
  <c r="CO64" i="13"/>
  <c r="CO102" i="13"/>
  <c r="CO84" i="13"/>
  <c r="CO65" i="13"/>
  <c r="CO103" i="13"/>
  <c r="CO85" i="13"/>
  <c r="CO66" i="13"/>
  <c r="DL102" i="13"/>
  <c r="DL84" i="13"/>
  <c r="DL65" i="13"/>
  <c r="DL103" i="13"/>
  <c r="DL85" i="13"/>
  <c r="DL66" i="13"/>
  <c r="DL104" i="13"/>
  <c r="DL86" i="13"/>
  <c r="DL67" i="13"/>
  <c r="DL93" i="13"/>
  <c r="DL73" i="13"/>
  <c r="DL68" i="13"/>
  <c r="DL94" i="13"/>
  <c r="DL74" i="13"/>
  <c r="DL69" i="13"/>
  <c r="DL95" i="13"/>
  <c r="DL75" i="13"/>
  <c r="DL96" i="13"/>
  <c r="DL76" i="13"/>
  <c r="DL88" i="13"/>
  <c r="DL64" i="13"/>
  <c r="EA95" i="13"/>
  <c r="EA96" i="13"/>
  <c r="EA88" i="13"/>
  <c r="EA102" i="13"/>
  <c r="EA94" i="13"/>
  <c r="EA76" i="13"/>
  <c r="EA103" i="13"/>
  <c r="EA64" i="13"/>
  <c r="EA84" i="13"/>
  <c r="EA65" i="13"/>
  <c r="EA93" i="13"/>
  <c r="EA85" i="13"/>
  <c r="EA66" i="13"/>
  <c r="EA86" i="13"/>
  <c r="EA67" i="13"/>
  <c r="EA73" i="13"/>
  <c r="EA68" i="13"/>
  <c r="EA104" i="13"/>
  <c r="EA74" i="13"/>
  <c r="EA69" i="13"/>
  <c r="EA75" i="13"/>
  <c r="EP93" i="13"/>
  <c r="EP73" i="13"/>
  <c r="EP68" i="13"/>
  <c r="EP94" i="13"/>
  <c r="EP74" i="13"/>
  <c r="EP69" i="13"/>
  <c r="EP95" i="13"/>
  <c r="EP75" i="13"/>
  <c r="EP96" i="13"/>
  <c r="EP76" i="13"/>
  <c r="EP88" i="13"/>
  <c r="EP64" i="13"/>
  <c r="EP102" i="13"/>
  <c r="EP103" i="13"/>
  <c r="EP85" i="13"/>
  <c r="EP104" i="13"/>
  <c r="EP84" i="13"/>
  <c r="EP66" i="13"/>
  <c r="EP65" i="13"/>
  <c r="EP67" i="13"/>
  <c r="EP86" i="13"/>
  <c r="FE103" i="13"/>
  <c r="FE85" i="13"/>
  <c r="FE66" i="13"/>
  <c r="FE104" i="13"/>
  <c r="FE86" i="13"/>
  <c r="FE67" i="13"/>
  <c r="FE93" i="13"/>
  <c r="FE73" i="13"/>
  <c r="FE68" i="13"/>
  <c r="FE94" i="13"/>
  <c r="FE74" i="13"/>
  <c r="FE69" i="13"/>
  <c r="FE95" i="13"/>
  <c r="FE75" i="13"/>
  <c r="FE96" i="13"/>
  <c r="FE76" i="13"/>
  <c r="FE88" i="13"/>
  <c r="FE64" i="13"/>
  <c r="FE102" i="13"/>
  <c r="FE84" i="13"/>
  <c r="FE65" i="13"/>
  <c r="FT88" i="13"/>
  <c r="FT64" i="13"/>
  <c r="FT102" i="13"/>
  <c r="FT84" i="13"/>
  <c r="FT65" i="13"/>
  <c r="FT103" i="13"/>
  <c r="FT85" i="13"/>
  <c r="FT66" i="13"/>
  <c r="FT104" i="13"/>
  <c r="FT86" i="13"/>
  <c r="FT67" i="13"/>
  <c r="FT93" i="13"/>
  <c r="FT73" i="13"/>
  <c r="FT68" i="13"/>
  <c r="FT94" i="13"/>
  <c r="FT74" i="13"/>
  <c r="FT69" i="13"/>
  <c r="FT95" i="13"/>
  <c r="FT75" i="13"/>
  <c r="FT96" i="13"/>
  <c r="FT76" i="13"/>
  <c r="GI102" i="13"/>
  <c r="GI84" i="13"/>
  <c r="GI65" i="13"/>
  <c r="GI103" i="13"/>
  <c r="GI85" i="13"/>
  <c r="GI104" i="13"/>
  <c r="GI93" i="13"/>
  <c r="GI94" i="13"/>
  <c r="GI88" i="13"/>
  <c r="GI96" i="13"/>
  <c r="GI95" i="13"/>
  <c r="GI66" i="13"/>
  <c r="GI67" i="13"/>
  <c r="GI86" i="13"/>
  <c r="GI73" i="13"/>
  <c r="GI74" i="13"/>
  <c r="GI75" i="13"/>
  <c r="GI76" i="13"/>
  <c r="GI64" i="13"/>
  <c r="GI68" i="13"/>
  <c r="GI69" i="13"/>
  <c r="GX96" i="13"/>
  <c r="GX76" i="13"/>
  <c r="GX88" i="13"/>
  <c r="GX64" i="13"/>
  <c r="GX102" i="13"/>
  <c r="GX84" i="13"/>
  <c r="GX65" i="13"/>
  <c r="GX103" i="13"/>
  <c r="GX85" i="13"/>
  <c r="GX66" i="13"/>
  <c r="GX104" i="13"/>
  <c r="GX86" i="13"/>
  <c r="GX67" i="13"/>
  <c r="GX94" i="13"/>
  <c r="GX74" i="13"/>
  <c r="GX95" i="13"/>
  <c r="GX75" i="13"/>
  <c r="GX93" i="13"/>
  <c r="GX68" i="13"/>
  <c r="GX73" i="13"/>
  <c r="GX69" i="13"/>
  <c r="HM94" i="13"/>
  <c r="HM74" i="13"/>
  <c r="HM69" i="13"/>
  <c r="HM95" i="13"/>
  <c r="HM75" i="13"/>
  <c r="HM96" i="13"/>
  <c r="HM76" i="13"/>
  <c r="HM88" i="13"/>
  <c r="HM64" i="13"/>
  <c r="HM102" i="13"/>
  <c r="HM84" i="13"/>
  <c r="HM65" i="13"/>
  <c r="HM103" i="13"/>
  <c r="HM85" i="13"/>
  <c r="HM66" i="13"/>
  <c r="HM104" i="13"/>
  <c r="HM86" i="13"/>
  <c r="HM67" i="13"/>
  <c r="HM93" i="13"/>
  <c r="HM73" i="13"/>
  <c r="HM68" i="13"/>
  <c r="HU94" i="13"/>
  <c r="HU74" i="13"/>
  <c r="HU69" i="13"/>
  <c r="HU95" i="13"/>
  <c r="HU75" i="13"/>
  <c r="HU96" i="13"/>
  <c r="HU76" i="13"/>
  <c r="HU88" i="13"/>
  <c r="HU64" i="13"/>
  <c r="HU102" i="13"/>
  <c r="HU84" i="13"/>
  <c r="HU65" i="13"/>
  <c r="HU103" i="13"/>
  <c r="HU85" i="13"/>
  <c r="HU66" i="13"/>
  <c r="HU104" i="13"/>
  <c r="HU86" i="13"/>
  <c r="HU67" i="13"/>
  <c r="HU93" i="13"/>
  <c r="HU73" i="13"/>
  <c r="HU68" i="13"/>
  <c r="IJ104" i="13"/>
  <c r="IJ86" i="13"/>
  <c r="IJ67" i="13"/>
  <c r="IJ93" i="13"/>
  <c r="IJ73" i="13"/>
  <c r="IJ68" i="13"/>
  <c r="IJ94" i="13"/>
  <c r="IJ74" i="13"/>
  <c r="IJ69" i="13"/>
  <c r="IJ95" i="13"/>
  <c r="IJ75" i="13"/>
  <c r="IJ96" i="13"/>
  <c r="IJ76" i="13"/>
  <c r="IJ88" i="13"/>
  <c r="IJ64" i="13"/>
  <c r="IJ102" i="13"/>
  <c r="IJ84" i="13"/>
  <c r="IJ65" i="13"/>
  <c r="IJ103" i="13"/>
  <c r="IJ85" i="13"/>
  <c r="IJ66" i="13"/>
  <c r="IY103" i="13"/>
  <c r="IY85" i="13"/>
  <c r="IY104" i="13"/>
  <c r="IY93" i="13"/>
  <c r="IY94" i="13"/>
  <c r="IY96" i="13"/>
  <c r="IY65" i="13"/>
  <c r="IY66" i="13"/>
  <c r="IY102" i="13"/>
  <c r="IY84" i="13"/>
  <c r="IY67" i="13"/>
  <c r="IY95" i="13"/>
  <c r="IY86" i="13"/>
  <c r="IY73" i="13"/>
  <c r="IY68" i="13"/>
  <c r="IY74" i="13"/>
  <c r="IY69" i="13"/>
  <c r="IY88" i="13"/>
  <c r="IY75" i="13"/>
  <c r="IY76" i="13"/>
  <c r="IY64" i="13"/>
  <c r="JN88" i="13"/>
  <c r="JN64" i="13"/>
  <c r="JN102" i="13"/>
  <c r="JN84" i="13"/>
  <c r="JN65" i="13"/>
  <c r="JN103" i="13"/>
  <c r="JN85" i="13"/>
  <c r="JN66" i="13"/>
  <c r="JN104" i="13"/>
  <c r="JN86" i="13"/>
  <c r="JN67" i="13"/>
  <c r="JN93" i="13"/>
  <c r="JN94" i="13"/>
  <c r="JN74" i="13"/>
  <c r="JN69" i="13"/>
  <c r="JN95" i="13"/>
  <c r="JN75" i="13"/>
  <c r="JN96" i="13"/>
  <c r="JN73" i="13"/>
  <c r="JN68" i="13"/>
  <c r="JN76" i="13"/>
  <c r="KC95" i="13"/>
  <c r="KC75" i="13"/>
  <c r="KC96" i="13"/>
  <c r="KC76" i="13"/>
  <c r="KC88" i="13"/>
  <c r="KC64" i="13"/>
  <c r="KC102" i="13"/>
  <c r="KC84" i="13"/>
  <c r="KC65" i="13"/>
  <c r="KC103" i="13"/>
  <c r="KC85" i="13"/>
  <c r="KC66" i="13"/>
  <c r="KC104" i="13"/>
  <c r="KC86" i="13"/>
  <c r="KC67" i="13"/>
  <c r="KC93" i="13"/>
  <c r="KC73" i="13"/>
  <c r="KC68" i="13"/>
  <c r="KC94" i="13"/>
  <c r="KC74" i="13"/>
  <c r="KC69" i="13"/>
  <c r="KR103" i="13"/>
  <c r="KR85" i="13"/>
  <c r="KR104" i="13"/>
  <c r="KR86" i="13"/>
  <c r="KR93" i="13"/>
  <c r="KR94" i="13"/>
  <c r="KR84" i="13"/>
  <c r="KR68" i="13"/>
  <c r="KR102" i="13"/>
  <c r="KR69" i="13"/>
  <c r="KR88" i="13"/>
  <c r="KR73" i="13"/>
  <c r="KR74" i="13"/>
  <c r="KR75" i="13"/>
  <c r="KR76" i="13"/>
  <c r="KR96" i="13"/>
  <c r="KR64" i="13"/>
  <c r="KR65" i="13"/>
  <c r="KR95" i="13"/>
  <c r="KR66" i="13"/>
  <c r="KR67" i="13"/>
  <c r="LG88" i="13"/>
  <c r="LG64" i="13"/>
  <c r="LG102" i="13"/>
  <c r="LG84" i="13"/>
  <c r="LG65" i="13"/>
  <c r="LG103" i="13"/>
  <c r="LG85" i="13"/>
  <c r="LG66" i="13"/>
  <c r="LG104" i="13"/>
  <c r="LG86" i="13"/>
  <c r="LG67" i="13"/>
  <c r="LG93" i="13"/>
  <c r="LG73" i="13"/>
  <c r="LG68" i="13"/>
  <c r="LG95" i="13"/>
  <c r="LG75" i="13"/>
  <c r="LG69" i="13"/>
  <c r="LG94" i="13"/>
  <c r="LG96" i="13"/>
  <c r="LG74" i="13"/>
  <c r="LG76" i="13"/>
  <c r="LV88" i="13"/>
  <c r="LV102" i="13"/>
  <c r="LV93" i="13"/>
  <c r="LV75" i="13"/>
  <c r="LV104" i="13"/>
  <c r="LV76" i="13"/>
  <c r="LV103" i="13"/>
  <c r="LV64" i="13"/>
  <c r="LV84" i="13"/>
  <c r="LV65" i="13"/>
  <c r="LV85" i="13"/>
  <c r="LV66" i="13"/>
  <c r="LV96" i="13"/>
  <c r="LV86" i="13"/>
  <c r="LV67" i="13"/>
  <c r="LV95" i="13"/>
  <c r="LV73" i="13"/>
  <c r="LV68" i="13"/>
  <c r="LV94" i="13"/>
  <c r="LV74" i="13"/>
  <c r="LV69" i="13"/>
  <c r="MK95" i="13"/>
  <c r="MK69" i="13"/>
  <c r="MK96" i="13"/>
  <c r="MK88" i="13"/>
  <c r="MK84" i="13"/>
  <c r="MK85" i="13"/>
  <c r="MK86" i="13"/>
  <c r="MK73" i="13"/>
  <c r="MK74" i="13"/>
  <c r="MK75" i="13"/>
  <c r="MK102" i="13"/>
  <c r="MK103" i="13"/>
  <c r="MK104" i="13"/>
  <c r="MK93" i="13"/>
  <c r="MK94" i="13"/>
  <c r="MK76" i="13"/>
  <c r="MK65" i="13"/>
  <c r="MK64" i="13"/>
  <c r="MK68" i="13"/>
  <c r="MK67" i="13"/>
  <c r="MK66" i="13"/>
  <c r="MS95" i="13"/>
  <c r="MS96" i="13"/>
  <c r="MS88" i="13"/>
  <c r="MS84" i="13"/>
  <c r="MS85" i="13"/>
  <c r="MS86" i="13"/>
  <c r="MS73" i="13"/>
  <c r="MS74" i="13"/>
  <c r="MS69" i="13"/>
  <c r="MS102" i="13"/>
  <c r="MS103" i="13"/>
  <c r="MS104" i="13"/>
  <c r="MS93" i="13"/>
  <c r="MS94" i="13"/>
  <c r="MS75" i="13"/>
  <c r="MS76" i="13"/>
  <c r="MS67" i="13"/>
  <c r="MS66" i="13"/>
  <c r="MS65" i="13"/>
  <c r="MS64" i="13"/>
  <c r="MS68" i="13"/>
  <c r="NH93" i="13"/>
  <c r="NH73" i="13"/>
  <c r="NH68" i="13"/>
  <c r="NH69" i="13"/>
  <c r="NH74" i="13"/>
  <c r="NH75" i="13"/>
  <c r="NH76" i="13"/>
  <c r="NH64" i="13"/>
  <c r="NH65" i="13"/>
  <c r="NH66" i="13"/>
  <c r="NH67" i="13"/>
  <c r="NH94" i="13"/>
  <c r="NH95" i="13"/>
  <c r="NH96" i="13"/>
  <c r="NH88" i="13"/>
  <c r="NH84" i="13"/>
  <c r="NH85" i="13"/>
  <c r="NH86" i="13"/>
  <c r="NH102" i="13"/>
  <c r="NH103" i="13"/>
  <c r="NH104" i="13"/>
  <c r="NW88" i="13"/>
  <c r="NW64" i="13"/>
  <c r="NW103" i="13"/>
  <c r="NW85" i="13"/>
  <c r="NW66" i="13"/>
  <c r="NW76" i="13"/>
  <c r="NW102" i="13"/>
  <c r="NW75" i="13"/>
  <c r="NW96" i="13"/>
  <c r="NW74" i="13"/>
  <c r="NW95" i="13"/>
  <c r="NW73" i="13"/>
  <c r="NW67" i="13"/>
  <c r="NW68" i="13"/>
  <c r="NW69" i="13"/>
  <c r="NW94" i="13"/>
  <c r="NW86" i="13"/>
  <c r="NW93" i="13"/>
  <c r="NW65" i="13"/>
  <c r="NW104" i="13"/>
  <c r="NW84" i="13"/>
  <c r="BY69" i="13"/>
  <c r="CA67" i="13"/>
  <c r="CB65" i="13"/>
  <c r="CF75" i="13"/>
  <c r="BZ73" i="13"/>
  <c r="CD88" i="13"/>
  <c r="CA93" i="13"/>
  <c r="CA73" i="13"/>
  <c r="CA68" i="13"/>
  <c r="CA94" i="13"/>
  <c r="CA74" i="13"/>
  <c r="CA69" i="13"/>
  <c r="CA95" i="13"/>
  <c r="CA75" i="13"/>
  <c r="CA96" i="13"/>
  <c r="CA76" i="13"/>
  <c r="CA88" i="13"/>
  <c r="CA64" i="13"/>
  <c r="CA102" i="13"/>
  <c r="CA84" i="13"/>
  <c r="CA103" i="13"/>
  <c r="DE88" i="13"/>
  <c r="DE64" i="13"/>
  <c r="DE102" i="13"/>
  <c r="DE84" i="13"/>
  <c r="DE65" i="13"/>
  <c r="DE103" i="13"/>
  <c r="DE85" i="13"/>
  <c r="DE66" i="13"/>
  <c r="DE104" i="13"/>
  <c r="DE86" i="13"/>
  <c r="DE67" i="13"/>
  <c r="DE93" i="13"/>
  <c r="DE73" i="13"/>
  <c r="DE68" i="13"/>
  <c r="DE94" i="13"/>
  <c r="DE74" i="13"/>
  <c r="DE69" i="13"/>
  <c r="DE95" i="13"/>
  <c r="DE75" i="13"/>
  <c r="DE96" i="13"/>
  <c r="DE76" i="13"/>
  <c r="DM88" i="13"/>
  <c r="DM64" i="13"/>
  <c r="DM102" i="13"/>
  <c r="DM84" i="13"/>
  <c r="DM65" i="13"/>
  <c r="DM103" i="13"/>
  <c r="DM85" i="13"/>
  <c r="DM66" i="13"/>
  <c r="DM104" i="13"/>
  <c r="DM86" i="13"/>
  <c r="DM67" i="13"/>
  <c r="DM93" i="13"/>
  <c r="DM73" i="13"/>
  <c r="DM68" i="13"/>
  <c r="DM94" i="13"/>
  <c r="DM74" i="13"/>
  <c r="DM69" i="13"/>
  <c r="DM95" i="13"/>
  <c r="DM75" i="13"/>
  <c r="DM96" i="13"/>
  <c r="DM76" i="13"/>
  <c r="EB94" i="13"/>
  <c r="EB95" i="13"/>
  <c r="EB96" i="13"/>
  <c r="EB102" i="13"/>
  <c r="EB75" i="13"/>
  <c r="EB76" i="13"/>
  <c r="EB103" i="13"/>
  <c r="EB64" i="13"/>
  <c r="EB84" i="13"/>
  <c r="EB65" i="13"/>
  <c r="EB93" i="13"/>
  <c r="EB85" i="13"/>
  <c r="EB66" i="13"/>
  <c r="EB88" i="13"/>
  <c r="EB86" i="13"/>
  <c r="EB67" i="13"/>
  <c r="EB73" i="13"/>
  <c r="EB68" i="13"/>
  <c r="EB104" i="13"/>
  <c r="EB74" i="13"/>
  <c r="EB69" i="13"/>
  <c r="EQ104" i="13"/>
  <c r="EQ86" i="13"/>
  <c r="EQ67" i="13"/>
  <c r="EQ93" i="13"/>
  <c r="EQ73" i="13"/>
  <c r="EQ68" i="13"/>
  <c r="EQ94" i="13"/>
  <c r="EQ74" i="13"/>
  <c r="EQ69" i="13"/>
  <c r="EQ95" i="13"/>
  <c r="EQ75" i="13"/>
  <c r="EQ96" i="13"/>
  <c r="EQ76" i="13"/>
  <c r="EQ102" i="13"/>
  <c r="EQ84" i="13"/>
  <c r="EQ103" i="13"/>
  <c r="EQ64" i="13"/>
  <c r="EQ66" i="13"/>
  <c r="EQ85" i="13"/>
  <c r="EQ65" i="13"/>
  <c r="EQ88" i="13"/>
  <c r="FF102" i="13"/>
  <c r="FF84" i="13"/>
  <c r="FF65" i="13"/>
  <c r="FF103" i="13"/>
  <c r="FF85" i="13"/>
  <c r="FF66" i="13"/>
  <c r="FF104" i="13"/>
  <c r="FF86" i="13"/>
  <c r="FF67" i="13"/>
  <c r="FF93" i="13"/>
  <c r="FF73" i="13"/>
  <c r="FF68" i="13"/>
  <c r="FF94" i="13"/>
  <c r="FF74" i="13"/>
  <c r="FF69" i="13"/>
  <c r="FF95" i="13"/>
  <c r="FF75" i="13"/>
  <c r="FF96" i="13"/>
  <c r="FF76" i="13"/>
  <c r="FF88" i="13"/>
  <c r="FF64" i="13"/>
  <c r="FU96" i="13"/>
  <c r="FU76" i="13"/>
  <c r="FU88" i="13"/>
  <c r="FU64" i="13"/>
  <c r="FU102" i="13"/>
  <c r="FU84" i="13"/>
  <c r="FU65" i="13"/>
  <c r="FU103" i="13"/>
  <c r="FU85" i="13"/>
  <c r="FU66" i="13"/>
  <c r="FU104" i="13"/>
  <c r="FU86" i="13"/>
  <c r="FU67" i="13"/>
  <c r="FU93" i="13"/>
  <c r="FU73" i="13"/>
  <c r="FU68" i="13"/>
  <c r="FU94" i="13"/>
  <c r="FU74" i="13"/>
  <c r="FU69" i="13"/>
  <c r="FU95" i="13"/>
  <c r="FU75" i="13"/>
  <c r="GJ88" i="13"/>
  <c r="GJ64" i="13"/>
  <c r="GJ102" i="13"/>
  <c r="GJ84" i="13"/>
  <c r="GJ103" i="13"/>
  <c r="GJ104" i="13"/>
  <c r="GJ93" i="13"/>
  <c r="GJ94" i="13"/>
  <c r="GJ85" i="13"/>
  <c r="GJ69" i="13"/>
  <c r="GJ96" i="13"/>
  <c r="GJ95" i="13"/>
  <c r="GJ65" i="13"/>
  <c r="GJ66" i="13"/>
  <c r="GJ67" i="13"/>
  <c r="GJ86" i="13"/>
  <c r="GJ73" i="13"/>
  <c r="GJ74" i="13"/>
  <c r="GJ75" i="13"/>
  <c r="GJ76" i="13"/>
  <c r="GJ68" i="13"/>
  <c r="GY95" i="13"/>
  <c r="GY75" i="13"/>
  <c r="GY96" i="13"/>
  <c r="GY76" i="13"/>
  <c r="GY88" i="13"/>
  <c r="GY64" i="13"/>
  <c r="GY102" i="13"/>
  <c r="GY84" i="13"/>
  <c r="GY65" i="13"/>
  <c r="GY103" i="13"/>
  <c r="GY85" i="13"/>
  <c r="GY66" i="13"/>
  <c r="GY93" i="13"/>
  <c r="GY73" i="13"/>
  <c r="GY94" i="13"/>
  <c r="GY74" i="13"/>
  <c r="GY67" i="13"/>
  <c r="GY69" i="13"/>
  <c r="GY104" i="13"/>
  <c r="GY86" i="13"/>
  <c r="GY68" i="13"/>
  <c r="HN93" i="13"/>
  <c r="HN73" i="13"/>
  <c r="HN68" i="13"/>
  <c r="HN94" i="13"/>
  <c r="HN74" i="13"/>
  <c r="HN69" i="13"/>
  <c r="HN95" i="13"/>
  <c r="HN75" i="13"/>
  <c r="HN96" i="13"/>
  <c r="HN76" i="13"/>
  <c r="HN88" i="13"/>
  <c r="HN64" i="13"/>
  <c r="HN102" i="13"/>
  <c r="HN84" i="13"/>
  <c r="HN65" i="13"/>
  <c r="HN103" i="13"/>
  <c r="HN85" i="13"/>
  <c r="HN66" i="13"/>
  <c r="HN104" i="13"/>
  <c r="HN86" i="13"/>
  <c r="HN67" i="13"/>
  <c r="IC103" i="13"/>
  <c r="IC85" i="13"/>
  <c r="IC66" i="13"/>
  <c r="IC104" i="13"/>
  <c r="IC86" i="13"/>
  <c r="IC67" i="13"/>
  <c r="IC93" i="13"/>
  <c r="IC73" i="13"/>
  <c r="IC68" i="13"/>
  <c r="IC94" i="13"/>
  <c r="IC74" i="13"/>
  <c r="IC69" i="13"/>
  <c r="IC95" i="13"/>
  <c r="IC75" i="13"/>
  <c r="IC96" i="13"/>
  <c r="IC76" i="13"/>
  <c r="IC88" i="13"/>
  <c r="IC64" i="13"/>
  <c r="IC102" i="13"/>
  <c r="IC84" i="13"/>
  <c r="IC65" i="13"/>
  <c r="IK103" i="13"/>
  <c r="IK85" i="13"/>
  <c r="IK66" i="13"/>
  <c r="IK104" i="13"/>
  <c r="IK86" i="13"/>
  <c r="IK67" i="13"/>
  <c r="IK93" i="13"/>
  <c r="IK73" i="13"/>
  <c r="IK68" i="13"/>
  <c r="IK94" i="13"/>
  <c r="IK74" i="13"/>
  <c r="IK69" i="13"/>
  <c r="IK95" i="13"/>
  <c r="IK75" i="13"/>
  <c r="IK96" i="13"/>
  <c r="IK76" i="13"/>
  <c r="IK88" i="13"/>
  <c r="IK64" i="13"/>
  <c r="IK102" i="13"/>
  <c r="IK84" i="13"/>
  <c r="IK65" i="13"/>
  <c r="IZ102" i="13"/>
  <c r="IZ84" i="13"/>
  <c r="IZ103" i="13"/>
  <c r="IZ85" i="13"/>
  <c r="IZ104" i="13"/>
  <c r="IZ93" i="13"/>
  <c r="IZ64" i="13"/>
  <c r="IZ96" i="13"/>
  <c r="IZ65" i="13"/>
  <c r="IZ66" i="13"/>
  <c r="IZ67" i="13"/>
  <c r="IZ95" i="13"/>
  <c r="IZ86" i="13"/>
  <c r="IZ73" i="13"/>
  <c r="IZ68" i="13"/>
  <c r="IZ74" i="13"/>
  <c r="IZ69" i="13"/>
  <c r="IZ88" i="13"/>
  <c r="IZ75" i="13"/>
  <c r="IZ94" i="13"/>
  <c r="IZ76" i="13"/>
  <c r="JO96" i="13"/>
  <c r="JO76" i="13"/>
  <c r="JO88" i="13"/>
  <c r="JO64" i="13"/>
  <c r="JO102" i="13"/>
  <c r="JO84" i="13"/>
  <c r="JO65" i="13"/>
  <c r="JO103" i="13"/>
  <c r="JO85" i="13"/>
  <c r="JO66" i="13"/>
  <c r="JO104" i="13"/>
  <c r="JO86" i="13"/>
  <c r="JO93" i="13"/>
  <c r="JO73" i="13"/>
  <c r="JO68" i="13"/>
  <c r="JO94" i="13"/>
  <c r="JO74" i="13"/>
  <c r="JO95" i="13"/>
  <c r="JO67" i="13"/>
  <c r="JO75" i="13"/>
  <c r="JO69" i="13"/>
  <c r="KD94" i="13"/>
  <c r="KD74" i="13"/>
  <c r="KD69" i="13"/>
  <c r="KD95" i="13"/>
  <c r="KD75" i="13"/>
  <c r="KD96" i="13"/>
  <c r="KD76" i="13"/>
  <c r="KD88" i="13"/>
  <c r="KD64" i="13"/>
  <c r="KD102" i="13"/>
  <c r="KD84" i="13"/>
  <c r="KD65" i="13"/>
  <c r="KD103" i="13"/>
  <c r="KD85" i="13"/>
  <c r="KD66" i="13"/>
  <c r="KD104" i="13"/>
  <c r="KD86" i="13"/>
  <c r="KD67" i="13"/>
  <c r="KD93" i="13"/>
  <c r="KD73" i="13"/>
  <c r="KD68" i="13"/>
  <c r="KS102" i="13"/>
  <c r="KS84" i="13"/>
  <c r="KS103" i="13"/>
  <c r="KS85" i="13"/>
  <c r="KS104" i="13"/>
  <c r="KS93" i="13"/>
  <c r="KS67" i="13"/>
  <c r="KS68" i="13"/>
  <c r="KS94" i="13"/>
  <c r="KS69" i="13"/>
  <c r="KS88" i="13"/>
  <c r="KS73" i="13"/>
  <c r="KS74" i="13"/>
  <c r="KS75" i="13"/>
  <c r="KS86" i="13"/>
  <c r="KS76" i="13"/>
  <c r="KS96" i="13"/>
  <c r="KS64" i="13"/>
  <c r="KS65" i="13"/>
  <c r="KS95" i="13"/>
  <c r="KS66" i="13"/>
  <c r="LH96" i="13"/>
  <c r="LH76" i="13"/>
  <c r="LH88" i="13"/>
  <c r="LH64" i="13"/>
  <c r="LH102" i="13"/>
  <c r="LH84" i="13"/>
  <c r="LH65" i="13"/>
  <c r="LH103" i="13"/>
  <c r="LH85" i="13"/>
  <c r="LH66" i="13"/>
  <c r="LH104" i="13"/>
  <c r="LH86" i="13"/>
  <c r="LH67" i="13"/>
  <c r="LH74" i="13"/>
  <c r="LH95" i="13"/>
  <c r="LH93" i="13"/>
  <c r="LH73" i="13"/>
  <c r="LH75" i="13"/>
  <c r="LH69" i="13"/>
  <c r="LH94" i="13"/>
  <c r="LH68" i="13"/>
  <c r="LW96" i="13"/>
  <c r="LW88" i="13"/>
  <c r="LW94" i="13"/>
  <c r="LW74" i="13"/>
  <c r="LW69" i="13"/>
  <c r="LW93" i="13"/>
  <c r="LW75" i="13"/>
  <c r="LW104" i="13"/>
  <c r="LW76" i="13"/>
  <c r="LW103" i="13"/>
  <c r="LW64" i="13"/>
  <c r="LW84" i="13"/>
  <c r="LW65" i="13"/>
  <c r="LW102" i="13"/>
  <c r="LW85" i="13"/>
  <c r="LW66" i="13"/>
  <c r="LW86" i="13"/>
  <c r="LW67" i="13"/>
  <c r="LW95" i="13"/>
  <c r="LW73" i="13"/>
  <c r="LW68" i="13"/>
  <c r="ML94" i="13"/>
  <c r="ML74" i="13"/>
  <c r="ML68" i="13"/>
  <c r="ML69" i="13"/>
  <c r="ML95" i="13"/>
  <c r="ML96" i="13"/>
  <c r="ML88" i="13"/>
  <c r="ML84" i="13"/>
  <c r="ML85" i="13"/>
  <c r="ML86" i="13"/>
  <c r="ML73" i="13"/>
  <c r="ML75" i="13"/>
  <c r="ML103" i="13"/>
  <c r="ML93" i="13"/>
  <c r="ML65" i="13"/>
  <c r="ML64" i="13"/>
  <c r="ML102" i="13"/>
  <c r="ML104" i="13"/>
  <c r="ML76" i="13"/>
  <c r="ML67" i="13"/>
  <c r="ML66" i="13"/>
  <c r="NA104" i="13"/>
  <c r="NA86" i="13"/>
  <c r="NA67" i="13"/>
  <c r="NA68" i="13"/>
  <c r="NA69" i="13"/>
  <c r="NA73" i="13"/>
  <c r="NA74" i="13"/>
  <c r="NA75" i="13"/>
  <c r="NA76" i="13"/>
  <c r="NA64" i="13"/>
  <c r="NA93" i="13"/>
  <c r="NA94" i="13"/>
  <c r="NA95" i="13"/>
  <c r="NA96" i="13"/>
  <c r="NA88" i="13"/>
  <c r="NA84" i="13"/>
  <c r="NA85" i="13"/>
  <c r="NA65" i="13"/>
  <c r="NA102" i="13"/>
  <c r="NA103" i="13"/>
  <c r="NA66" i="13"/>
  <c r="NI104" i="13"/>
  <c r="NI86" i="13"/>
  <c r="NI67" i="13"/>
  <c r="NI68" i="13"/>
  <c r="NI69" i="13"/>
  <c r="NI73" i="13"/>
  <c r="NI74" i="13"/>
  <c r="NI75" i="13"/>
  <c r="NI76" i="13"/>
  <c r="NI64" i="13"/>
  <c r="NI65" i="13"/>
  <c r="NI66" i="13"/>
  <c r="NI93" i="13"/>
  <c r="NI94" i="13"/>
  <c r="NI95" i="13"/>
  <c r="NI96" i="13"/>
  <c r="NI88" i="13"/>
  <c r="NI84" i="13"/>
  <c r="NI85" i="13"/>
  <c r="NI102" i="13"/>
  <c r="NI103" i="13"/>
  <c r="NX96" i="13"/>
  <c r="NX76" i="13"/>
  <c r="NX102" i="13"/>
  <c r="NX84" i="13"/>
  <c r="NX65" i="13"/>
  <c r="NX103" i="13"/>
  <c r="NX88" i="13"/>
  <c r="NX75" i="13"/>
  <c r="NX74" i="13"/>
  <c r="NX95" i="13"/>
  <c r="NX73" i="13"/>
  <c r="NX66" i="13"/>
  <c r="NX67" i="13"/>
  <c r="NX68" i="13"/>
  <c r="NX69" i="13"/>
  <c r="NX94" i="13"/>
  <c r="NX86" i="13"/>
  <c r="NX93" i="13"/>
  <c r="NX85" i="13"/>
  <c r="NX104" i="13"/>
  <c r="NX64" i="13"/>
  <c r="CG68" i="13"/>
  <c r="BZ67" i="13"/>
  <c r="CA65" i="13"/>
  <c r="CE75" i="13"/>
  <c r="BY73" i="13"/>
  <c r="CC88" i="13"/>
  <c r="CB104" i="13"/>
  <c r="CB86" i="13"/>
  <c r="CB67" i="13"/>
  <c r="CB93" i="13"/>
  <c r="CB73" i="13"/>
  <c r="CB68" i="13"/>
  <c r="CB94" i="13"/>
  <c r="CB74" i="13"/>
  <c r="CB69" i="13"/>
  <c r="CB95" i="13"/>
  <c r="CB75" i="13"/>
  <c r="CB96" i="13"/>
  <c r="CB76" i="13"/>
  <c r="CB88" i="13"/>
  <c r="CB102" i="13"/>
  <c r="DF96" i="13"/>
  <c r="DF76" i="13"/>
  <c r="DF88" i="13"/>
  <c r="DF64" i="13"/>
  <c r="DF102" i="13"/>
  <c r="DF84" i="13"/>
  <c r="DF65" i="13"/>
  <c r="DF103" i="13"/>
  <c r="DF85" i="13"/>
  <c r="DF66" i="13"/>
  <c r="DF104" i="13"/>
  <c r="DF86" i="13"/>
  <c r="DF67" i="13"/>
  <c r="DF93" i="13"/>
  <c r="DF73" i="13"/>
  <c r="DF68" i="13"/>
  <c r="DF94" i="13"/>
  <c r="DF74" i="13"/>
  <c r="DF69" i="13"/>
  <c r="DF95" i="13"/>
  <c r="DF75" i="13"/>
  <c r="DU93" i="13"/>
  <c r="DU94" i="13"/>
  <c r="DU95" i="13"/>
  <c r="DU96" i="13"/>
  <c r="DU74" i="13"/>
  <c r="DU69" i="13"/>
  <c r="DU88" i="13"/>
  <c r="DU75" i="13"/>
  <c r="DU76" i="13"/>
  <c r="DU102" i="13"/>
  <c r="DU64" i="13"/>
  <c r="DU104" i="13"/>
  <c r="DU65" i="13"/>
  <c r="DU85" i="13"/>
  <c r="DU66" i="13"/>
  <c r="DU86" i="13"/>
  <c r="DU67" i="13"/>
  <c r="DU103" i="13"/>
  <c r="DU84" i="13"/>
  <c r="DU73" i="13"/>
  <c r="DU68" i="13"/>
  <c r="EC93" i="13"/>
  <c r="EC94" i="13"/>
  <c r="EC95" i="13"/>
  <c r="EC96" i="13"/>
  <c r="EC104" i="13"/>
  <c r="EC74" i="13"/>
  <c r="EC69" i="13"/>
  <c r="EC75" i="13"/>
  <c r="EC76" i="13"/>
  <c r="EC103" i="13"/>
  <c r="EC64" i="13"/>
  <c r="EC84" i="13"/>
  <c r="EC65" i="13"/>
  <c r="EC85" i="13"/>
  <c r="EC66" i="13"/>
  <c r="EC102" i="13"/>
  <c r="EC88" i="13"/>
  <c r="EC86" i="13"/>
  <c r="EC67" i="13"/>
  <c r="EC73" i="13"/>
  <c r="EC68" i="13"/>
  <c r="ER103" i="13"/>
  <c r="ER85" i="13"/>
  <c r="ER66" i="13"/>
  <c r="ER104" i="13"/>
  <c r="ER86" i="13"/>
  <c r="ER67" i="13"/>
  <c r="ER93" i="13"/>
  <c r="ER73" i="13"/>
  <c r="ER68" i="13"/>
  <c r="ER94" i="13"/>
  <c r="ER74" i="13"/>
  <c r="ER69" i="13"/>
  <c r="ER95" i="13"/>
  <c r="ER75" i="13"/>
  <c r="ER88" i="13"/>
  <c r="ER102" i="13"/>
  <c r="ER84" i="13"/>
  <c r="ER64" i="13"/>
  <c r="ER96" i="13"/>
  <c r="ER76" i="13"/>
  <c r="ER65" i="13"/>
  <c r="FG88" i="13"/>
  <c r="FG64" i="13"/>
  <c r="FG102" i="13"/>
  <c r="FG84" i="13"/>
  <c r="FG65" i="13"/>
  <c r="FG103" i="13"/>
  <c r="FG85" i="13"/>
  <c r="FG66" i="13"/>
  <c r="FG104" i="13"/>
  <c r="FG86" i="13"/>
  <c r="FG67" i="13"/>
  <c r="FG93" i="13"/>
  <c r="FG73" i="13"/>
  <c r="FG68" i="13"/>
  <c r="FG94" i="13"/>
  <c r="FG74" i="13"/>
  <c r="FG69" i="13"/>
  <c r="FG95" i="13"/>
  <c r="FG75" i="13"/>
  <c r="FG96" i="13"/>
  <c r="FG76" i="13"/>
  <c r="FV95" i="13"/>
  <c r="FV75" i="13"/>
  <c r="FV96" i="13"/>
  <c r="FV76" i="13"/>
  <c r="FV88" i="13"/>
  <c r="FV64" i="13"/>
  <c r="FV102" i="13"/>
  <c r="FV84" i="13"/>
  <c r="FV65" i="13"/>
  <c r="FV103" i="13"/>
  <c r="FV85" i="13"/>
  <c r="FV66" i="13"/>
  <c r="FV104" i="13"/>
  <c r="FV86" i="13"/>
  <c r="FV67" i="13"/>
  <c r="FV93" i="13"/>
  <c r="FV73" i="13"/>
  <c r="FV68" i="13"/>
  <c r="FV94" i="13"/>
  <c r="FV74" i="13"/>
  <c r="FV69" i="13"/>
  <c r="GK96" i="13"/>
  <c r="GK76" i="13"/>
  <c r="GK88" i="13"/>
  <c r="GK102" i="13"/>
  <c r="GK103" i="13"/>
  <c r="GK104" i="13"/>
  <c r="GK86" i="13"/>
  <c r="GK73" i="13"/>
  <c r="GK74" i="13"/>
  <c r="GK75" i="13"/>
  <c r="GK68" i="13"/>
  <c r="GK94" i="13"/>
  <c r="GK85" i="13"/>
  <c r="GK69" i="13"/>
  <c r="GK84" i="13"/>
  <c r="GK93" i="13"/>
  <c r="GK95" i="13"/>
  <c r="GK64" i="13"/>
  <c r="GK65" i="13"/>
  <c r="GK66" i="13"/>
  <c r="GK67" i="13"/>
  <c r="GZ94" i="13"/>
  <c r="GZ74" i="13"/>
  <c r="GZ69" i="13"/>
  <c r="GZ95" i="13"/>
  <c r="GZ75" i="13"/>
  <c r="GZ96" i="13"/>
  <c r="GZ76" i="13"/>
  <c r="GZ88" i="13"/>
  <c r="GZ64" i="13"/>
  <c r="GZ102" i="13"/>
  <c r="GZ84" i="13"/>
  <c r="GZ65" i="13"/>
  <c r="GZ104" i="13"/>
  <c r="GZ86" i="13"/>
  <c r="GZ93" i="13"/>
  <c r="GZ73" i="13"/>
  <c r="GZ103" i="13"/>
  <c r="GZ67" i="13"/>
  <c r="GZ85" i="13"/>
  <c r="GZ66" i="13"/>
  <c r="GZ68" i="13"/>
  <c r="HO104" i="13"/>
  <c r="HO86" i="13"/>
  <c r="HO67" i="13"/>
  <c r="HO93" i="13"/>
  <c r="HO73" i="13"/>
  <c r="HO68" i="13"/>
  <c r="HO94" i="13"/>
  <c r="HO74" i="13"/>
  <c r="HO69" i="13"/>
  <c r="HO95" i="13"/>
  <c r="HO75" i="13"/>
  <c r="HO96" i="13"/>
  <c r="HO76" i="13"/>
  <c r="HO88" i="13"/>
  <c r="HO64" i="13"/>
  <c r="HO102" i="13"/>
  <c r="HO84" i="13"/>
  <c r="HO65" i="13"/>
  <c r="HO103" i="13"/>
  <c r="HO85" i="13"/>
  <c r="HO66" i="13"/>
  <c r="ID102" i="13"/>
  <c r="ID84" i="13"/>
  <c r="ID65" i="13"/>
  <c r="ID103" i="13"/>
  <c r="ID85" i="13"/>
  <c r="ID66" i="13"/>
  <c r="ID104" i="13"/>
  <c r="ID86" i="13"/>
  <c r="ID67" i="13"/>
  <c r="ID93" i="13"/>
  <c r="ID73" i="13"/>
  <c r="ID68" i="13"/>
  <c r="ID94" i="13"/>
  <c r="ID74" i="13"/>
  <c r="ID69" i="13"/>
  <c r="ID95" i="13"/>
  <c r="ID75" i="13"/>
  <c r="ID96" i="13"/>
  <c r="ID76" i="13"/>
  <c r="ID88" i="13"/>
  <c r="ID64" i="13"/>
  <c r="IS88" i="13"/>
  <c r="IS102" i="13"/>
  <c r="IS84" i="13"/>
  <c r="IS103" i="13"/>
  <c r="IS85" i="13"/>
  <c r="IS104" i="13"/>
  <c r="IS86" i="13"/>
  <c r="IS94" i="13"/>
  <c r="IS76" i="13"/>
  <c r="IS93" i="13"/>
  <c r="IS95" i="13"/>
  <c r="IS64" i="13"/>
  <c r="IS65" i="13"/>
  <c r="IS66" i="13"/>
  <c r="IS67" i="13"/>
  <c r="IS73" i="13"/>
  <c r="IS68" i="13"/>
  <c r="IS96" i="13"/>
  <c r="IS74" i="13"/>
  <c r="IS69" i="13"/>
  <c r="IS75" i="13"/>
  <c r="JA88" i="13"/>
  <c r="JA102" i="13"/>
  <c r="JA84" i="13"/>
  <c r="JA103" i="13"/>
  <c r="JA85" i="13"/>
  <c r="JA104" i="13"/>
  <c r="JA86" i="13"/>
  <c r="JA94" i="13"/>
  <c r="JA76" i="13"/>
  <c r="JA64" i="13"/>
  <c r="JA96" i="13"/>
  <c r="JA65" i="13"/>
  <c r="JA66" i="13"/>
  <c r="JA93" i="13"/>
  <c r="JA67" i="13"/>
  <c r="JA95" i="13"/>
  <c r="JA73" i="13"/>
  <c r="JA68" i="13"/>
  <c r="JA74" i="13"/>
  <c r="JA69" i="13"/>
  <c r="JA75" i="13"/>
  <c r="JP95" i="13"/>
  <c r="JP75" i="13"/>
  <c r="JP96" i="13"/>
  <c r="JP76" i="13"/>
  <c r="JP88" i="13"/>
  <c r="JP64" i="13"/>
  <c r="JP102" i="13"/>
  <c r="JP84" i="13"/>
  <c r="JP65" i="13"/>
  <c r="JP103" i="13"/>
  <c r="JP85" i="13"/>
  <c r="JP104" i="13"/>
  <c r="JP86" i="13"/>
  <c r="JP67" i="13"/>
  <c r="JP93" i="13"/>
  <c r="JP73" i="13"/>
  <c r="JP94" i="13"/>
  <c r="JP74" i="13"/>
  <c r="JP68" i="13"/>
  <c r="JP66" i="13"/>
  <c r="JP69" i="13"/>
  <c r="KE93" i="13"/>
  <c r="KE73" i="13"/>
  <c r="KE68" i="13"/>
  <c r="KE94" i="13"/>
  <c r="KE74" i="13"/>
  <c r="KE69" i="13"/>
  <c r="KE95" i="13"/>
  <c r="KE75" i="13"/>
  <c r="KE96" i="13"/>
  <c r="KE76" i="13"/>
  <c r="KE88" i="13"/>
  <c r="KE64" i="13"/>
  <c r="KE102" i="13"/>
  <c r="KE84" i="13"/>
  <c r="KE65" i="13"/>
  <c r="KE103" i="13"/>
  <c r="KE85" i="13"/>
  <c r="KE66" i="13"/>
  <c r="KE104" i="13"/>
  <c r="KE86" i="13"/>
  <c r="KE67" i="13"/>
  <c r="KT88" i="13"/>
  <c r="KT102" i="13"/>
  <c r="KT84" i="13"/>
  <c r="KT103" i="13"/>
  <c r="KT104" i="13"/>
  <c r="KT95" i="13"/>
  <c r="KT66" i="13"/>
  <c r="KT67" i="13"/>
  <c r="KT68" i="13"/>
  <c r="KT94" i="13"/>
  <c r="KT69" i="13"/>
  <c r="KT73" i="13"/>
  <c r="KT74" i="13"/>
  <c r="KT75" i="13"/>
  <c r="KT86" i="13"/>
  <c r="KT76" i="13"/>
  <c r="KT93" i="13"/>
  <c r="KT96" i="13"/>
  <c r="KT85" i="13"/>
  <c r="KT64" i="13"/>
  <c r="KT65" i="13"/>
  <c r="LI95" i="13"/>
  <c r="LI75" i="13"/>
  <c r="LI96" i="13"/>
  <c r="LI76" i="13"/>
  <c r="LI88" i="13"/>
  <c r="LI64" i="13"/>
  <c r="LI102" i="13"/>
  <c r="LI84" i="13"/>
  <c r="LI65" i="13"/>
  <c r="LI103" i="13"/>
  <c r="LI85" i="13"/>
  <c r="LI66" i="13"/>
  <c r="LI93" i="13"/>
  <c r="LI68" i="13"/>
  <c r="LI104" i="13"/>
  <c r="LI86" i="13"/>
  <c r="LI74" i="13"/>
  <c r="LI67" i="13"/>
  <c r="LI73" i="13"/>
  <c r="LI69" i="13"/>
  <c r="LI94" i="13"/>
  <c r="LX95" i="13"/>
  <c r="LX96" i="13"/>
  <c r="LX73" i="13"/>
  <c r="LX68" i="13"/>
  <c r="LX94" i="13"/>
  <c r="LX74" i="13"/>
  <c r="LX69" i="13"/>
  <c r="LX93" i="13"/>
  <c r="LX75" i="13"/>
  <c r="LX104" i="13"/>
  <c r="LX76" i="13"/>
  <c r="LX103" i="13"/>
  <c r="LX88" i="13"/>
  <c r="LX64" i="13"/>
  <c r="LX84" i="13"/>
  <c r="LX65" i="13"/>
  <c r="LX102" i="13"/>
  <c r="LX85" i="13"/>
  <c r="LX66" i="13"/>
  <c r="LX86" i="13"/>
  <c r="LX67" i="13"/>
  <c r="MM93" i="13"/>
  <c r="MM73" i="13"/>
  <c r="MM67" i="13"/>
  <c r="MM68" i="13"/>
  <c r="MM74" i="13"/>
  <c r="MM69" i="13"/>
  <c r="MM95" i="13"/>
  <c r="MM88" i="13"/>
  <c r="MM85" i="13"/>
  <c r="MM75" i="13"/>
  <c r="MM66" i="13"/>
  <c r="MM103" i="13"/>
  <c r="MM65" i="13"/>
  <c r="MM94" i="13"/>
  <c r="MM96" i="13"/>
  <c r="MM84" i="13"/>
  <c r="MM86" i="13"/>
  <c r="MM64" i="13"/>
  <c r="MM102" i="13"/>
  <c r="MM104" i="13"/>
  <c r="MM76" i="13"/>
  <c r="NB103" i="13"/>
  <c r="NB85" i="13"/>
  <c r="NB66" i="13"/>
  <c r="NB93" i="13"/>
  <c r="NB88" i="13"/>
  <c r="NB67" i="13"/>
  <c r="NB69" i="13"/>
  <c r="NB73" i="13"/>
  <c r="NB65" i="13"/>
  <c r="NB94" i="13"/>
  <c r="NB84" i="13"/>
  <c r="NB76" i="13"/>
  <c r="NB102" i="13"/>
  <c r="NB95" i="13"/>
  <c r="NB74" i="13"/>
  <c r="NB68" i="13"/>
  <c r="NB64" i="13"/>
  <c r="NB104" i="13"/>
  <c r="NB96" i="13"/>
  <c r="NB86" i="13"/>
  <c r="NB75" i="13"/>
  <c r="NQ95" i="13"/>
  <c r="NQ75" i="13"/>
  <c r="NQ88" i="13"/>
  <c r="NQ64" i="13"/>
  <c r="NQ94" i="13"/>
  <c r="NQ86" i="13"/>
  <c r="NQ65" i="13"/>
  <c r="NQ93" i="13"/>
  <c r="NQ85" i="13"/>
  <c r="NQ104" i="13"/>
  <c r="NQ84" i="13"/>
  <c r="NQ103" i="13"/>
  <c r="NQ76" i="13"/>
  <c r="NQ102" i="13"/>
  <c r="NQ96" i="13"/>
  <c r="NQ69" i="13"/>
  <c r="NQ73" i="13"/>
  <c r="NQ74" i="13"/>
  <c r="NQ66" i="13"/>
  <c r="NQ67" i="13"/>
  <c r="NQ68" i="13"/>
  <c r="NY95" i="13"/>
  <c r="NY75" i="13"/>
  <c r="NY88" i="13"/>
  <c r="NY64" i="13"/>
  <c r="NY104" i="13"/>
  <c r="NY84" i="13"/>
  <c r="NY103" i="13"/>
  <c r="NY76" i="13"/>
  <c r="NY102" i="13"/>
  <c r="NY96" i="13"/>
  <c r="NY74" i="13"/>
  <c r="NY73" i="13"/>
  <c r="NY66" i="13"/>
  <c r="NY67" i="13"/>
  <c r="NY68" i="13"/>
  <c r="NY69" i="13"/>
  <c r="NY94" i="13"/>
  <c r="NY86" i="13"/>
  <c r="NY93" i="13"/>
  <c r="NY65" i="13"/>
  <c r="NY85" i="13"/>
  <c r="CF68" i="13"/>
  <c r="BY67" i="13"/>
  <c r="CD64" i="13"/>
  <c r="CD75" i="13"/>
  <c r="CA86" i="13"/>
  <c r="CE96" i="13"/>
  <c r="CC103" i="13"/>
  <c r="CC85" i="13"/>
  <c r="CC66" i="13"/>
  <c r="CC104" i="13"/>
  <c r="CC86" i="13"/>
  <c r="CC67" i="13"/>
  <c r="CC93" i="13"/>
  <c r="CC73" i="13"/>
  <c r="CC68" i="13"/>
  <c r="CC94" i="13"/>
  <c r="CC74" i="13"/>
  <c r="CC69" i="13"/>
  <c r="CC95" i="13"/>
  <c r="CC75" i="13"/>
  <c r="CC96" i="13"/>
  <c r="DG95" i="13"/>
  <c r="DG75" i="13"/>
  <c r="DG96" i="13"/>
  <c r="DG76" i="13"/>
  <c r="DG88" i="13"/>
  <c r="DG64" i="13"/>
  <c r="DG102" i="13"/>
  <c r="DG84" i="13"/>
  <c r="DG65" i="13"/>
  <c r="DG103" i="13"/>
  <c r="DG85" i="13"/>
  <c r="DG66" i="13"/>
  <c r="DG104" i="13"/>
  <c r="DG86" i="13"/>
  <c r="DG67" i="13"/>
  <c r="DG93" i="13"/>
  <c r="DG73" i="13"/>
  <c r="DG68" i="13"/>
  <c r="DG94" i="13"/>
  <c r="DG74" i="13"/>
  <c r="DG69" i="13"/>
  <c r="DV104" i="13"/>
  <c r="DV93" i="13"/>
  <c r="DV94" i="13"/>
  <c r="DV95" i="13"/>
  <c r="DV103" i="13"/>
  <c r="DV84" i="13"/>
  <c r="DV73" i="13"/>
  <c r="DV68" i="13"/>
  <c r="DV74" i="13"/>
  <c r="DV69" i="13"/>
  <c r="DV88" i="13"/>
  <c r="DV75" i="13"/>
  <c r="DV76" i="13"/>
  <c r="DV102" i="13"/>
  <c r="DV64" i="13"/>
  <c r="DV96" i="13"/>
  <c r="DV65" i="13"/>
  <c r="DV85" i="13"/>
  <c r="DV66" i="13"/>
  <c r="DV86" i="13"/>
  <c r="DV67" i="13"/>
  <c r="EK102" i="13"/>
  <c r="EK84" i="13"/>
  <c r="EK65" i="13"/>
  <c r="EK103" i="13"/>
  <c r="EK85" i="13"/>
  <c r="EK66" i="13"/>
  <c r="EK104" i="13"/>
  <c r="EK86" i="13"/>
  <c r="EK67" i="13"/>
  <c r="EK93" i="13"/>
  <c r="EK73" i="13"/>
  <c r="EK68" i="13"/>
  <c r="EK94" i="13"/>
  <c r="EK74" i="13"/>
  <c r="EK69" i="13"/>
  <c r="EK96" i="13"/>
  <c r="EK76" i="13"/>
  <c r="EK88" i="13"/>
  <c r="EK64" i="13"/>
  <c r="EK75" i="13"/>
  <c r="EK95" i="13"/>
  <c r="ES102" i="13"/>
  <c r="ES84" i="13"/>
  <c r="ES65" i="13"/>
  <c r="ES103" i="13"/>
  <c r="ES85" i="13"/>
  <c r="ES66" i="13"/>
  <c r="ES104" i="13"/>
  <c r="ES86" i="13"/>
  <c r="ES67" i="13"/>
  <c r="ES93" i="13"/>
  <c r="ES73" i="13"/>
  <c r="ES68" i="13"/>
  <c r="ES94" i="13"/>
  <c r="ES74" i="13"/>
  <c r="ES69" i="13"/>
  <c r="ES96" i="13"/>
  <c r="ES64" i="13"/>
  <c r="ES95" i="13"/>
  <c r="ES75" i="13"/>
  <c r="ES88" i="13"/>
  <c r="ES76" i="13"/>
  <c r="FH96" i="13"/>
  <c r="FH76" i="13"/>
  <c r="FH88" i="13"/>
  <c r="FH64" i="13"/>
  <c r="FH102" i="13"/>
  <c r="FH84" i="13"/>
  <c r="FH65" i="13"/>
  <c r="FH103" i="13"/>
  <c r="FH85" i="13"/>
  <c r="FH66" i="13"/>
  <c r="FH104" i="13"/>
  <c r="FH86" i="13"/>
  <c r="FH67" i="13"/>
  <c r="FH93" i="13"/>
  <c r="FH73" i="13"/>
  <c r="FH68" i="13"/>
  <c r="FH94" i="13"/>
  <c r="FH74" i="13"/>
  <c r="FH69" i="13"/>
  <c r="FH95" i="13"/>
  <c r="FH75" i="13"/>
  <c r="FW94" i="13"/>
  <c r="FW74" i="13"/>
  <c r="FW69" i="13"/>
  <c r="FW95" i="13"/>
  <c r="FW75" i="13"/>
  <c r="FW96" i="13"/>
  <c r="FW76" i="13"/>
  <c r="FW88" i="13"/>
  <c r="FW64" i="13"/>
  <c r="FW102" i="13"/>
  <c r="FW84" i="13"/>
  <c r="FW65" i="13"/>
  <c r="FW103" i="13"/>
  <c r="FW85" i="13"/>
  <c r="FW66" i="13"/>
  <c r="FW104" i="13"/>
  <c r="FW86" i="13"/>
  <c r="FW67" i="13"/>
  <c r="FW93" i="13"/>
  <c r="FW73" i="13"/>
  <c r="FW68" i="13"/>
  <c r="GL95" i="13"/>
  <c r="GL75" i="13"/>
  <c r="GL96" i="13"/>
  <c r="GL102" i="13"/>
  <c r="GL103" i="13"/>
  <c r="GL76" i="13"/>
  <c r="GL64" i="13"/>
  <c r="GL65" i="13"/>
  <c r="GL66" i="13"/>
  <c r="GL67" i="13"/>
  <c r="GL86" i="13"/>
  <c r="GL73" i="13"/>
  <c r="GL74" i="13"/>
  <c r="GL68" i="13"/>
  <c r="GL104" i="13"/>
  <c r="GL94" i="13"/>
  <c r="GL85" i="13"/>
  <c r="GL69" i="13"/>
  <c r="GL84" i="13"/>
  <c r="GL88" i="13"/>
  <c r="GL93" i="13"/>
  <c r="HA93" i="13"/>
  <c r="HA73" i="13"/>
  <c r="HA68" i="13"/>
  <c r="HA94" i="13"/>
  <c r="HA74" i="13"/>
  <c r="HA69" i="13"/>
  <c r="HA95" i="13"/>
  <c r="HA75" i="13"/>
  <c r="HA96" i="13"/>
  <c r="HA76" i="13"/>
  <c r="HA88" i="13"/>
  <c r="HA64" i="13"/>
  <c r="HA103" i="13"/>
  <c r="HA85" i="13"/>
  <c r="HA104" i="13"/>
  <c r="HA86" i="13"/>
  <c r="HA102" i="13"/>
  <c r="HA84" i="13"/>
  <c r="HA65" i="13"/>
  <c r="HA67" i="13"/>
  <c r="HA66" i="13"/>
  <c r="HP103" i="13"/>
  <c r="HP85" i="13"/>
  <c r="HP66" i="13"/>
  <c r="HP104" i="13"/>
  <c r="HP86" i="13"/>
  <c r="HP67" i="13"/>
  <c r="HP93" i="13"/>
  <c r="HP73" i="13"/>
  <c r="HP68" i="13"/>
  <c r="HP94" i="13"/>
  <c r="HP74" i="13"/>
  <c r="HP69" i="13"/>
  <c r="HP95" i="13"/>
  <c r="HP75" i="13"/>
  <c r="HP96" i="13"/>
  <c r="HP76" i="13"/>
  <c r="HP88" i="13"/>
  <c r="HP64" i="13"/>
  <c r="HP102" i="13"/>
  <c r="HP84" i="13"/>
  <c r="HP65" i="13"/>
  <c r="IE88" i="13"/>
  <c r="IE64" i="13"/>
  <c r="IE102" i="13"/>
  <c r="IE84" i="13"/>
  <c r="IE65" i="13"/>
  <c r="IE103" i="13"/>
  <c r="IE85" i="13"/>
  <c r="IE66" i="13"/>
  <c r="IE104" i="13"/>
  <c r="IE86" i="13"/>
  <c r="IE67" i="13"/>
  <c r="IE93" i="13"/>
  <c r="IE73" i="13"/>
  <c r="IE68" i="13"/>
  <c r="IE94" i="13"/>
  <c r="IE74" i="13"/>
  <c r="IE69" i="13"/>
  <c r="IE95" i="13"/>
  <c r="IE75" i="13"/>
  <c r="IE96" i="13"/>
  <c r="IE76" i="13"/>
  <c r="IT96" i="13"/>
  <c r="IT88" i="13"/>
  <c r="IT102" i="13"/>
  <c r="IT84" i="13"/>
  <c r="IT103" i="13"/>
  <c r="IT85" i="13"/>
  <c r="IT93" i="13"/>
  <c r="IT75" i="13"/>
  <c r="IT76" i="13"/>
  <c r="IT95" i="13"/>
  <c r="IT64" i="13"/>
  <c r="IT65" i="13"/>
  <c r="IT66" i="13"/>
  <c r="IT94" i="13"/>
  <c r="IT67" i="13"/>
  <c r="IT104" i="13"/>
  <c r="IT73" i="13"/>
  <c r="IT68" i="13"/>
  <c r="IT86" i="13"/>
  <c r="IT74" i="13"/>
  <c r="IT69" i="13"/>
  <c r="JI94" i="13"/>
  <c r="JI74" i="13"/>
  <c r="JI69" i="13"/>
  <c r="JI95" i="13"/>
  <c r="JI75" i="13"/>
  <c r="JI96" i="13"/>
  <c r="JI76" i="13"/>
  <c r="JI88" i="13"/>
  <c r="JI64" i="13"/>
  <c r="JI102" i="13"/>
  <c r="JI84" i="13"/>
  <c r="JI103" i="13"/>
  <c r="JI85" i="13"/>
  <c r="JI66" i="13"/>
  <c r="JI104" i="13"/>
  <c r="JI86" i="13"/>
  <c r="JI67" i="13"/>
  <c r="JI93" i="13"/>
  <c r="JI73" i="13"/>
  <c r="JI68" i="13"/>
  <c r="JI65" i="13"/>
  <c r="JQ94" i="13"/>
  <c r="JQ74" i="13"/>
  <c r="JQ69" i="13"/>
  <c r="JQ95" i="13"/>
  <c r="JQ75" i="13"/>
  <c r="JQ96" i="13"/>
  <c r="JQ76" i="13"/>
  <c r="JQ88" i="13"/>
  <c r="JQ64" i="13"/>
  <c r="JQ102" i="13"/>
  <c r="JQ84" i="13"/>
  <c r="JQ103" i="13"/>
  <c r="JQ85" i="13"/>
  <c r="JQ66" i="13"/>
  <c r="JQ104" i="13"/>
  <c r="JQ86" i="13"/>
  <c r="JQ67" i="13"/>
  <c r="JQ93" i="13"/>
  <c r="JQ73" i="13"/>
  <c r="JQ65" i="13"/>
  <c r="JQ68" i="13"/>
  <c r="KF104" i="13"/>
  <c r="KF86" i="13"/>
  <c r="KF67" i="13"/>
  <c r="KF93" i="13"/>
  <c r="KF73" i="13"/>
  <c r="KF68" i="13"/>
  <c r="KF94" i="13"/>
  <c r="KF74" i="13"/>
  <c r="KF69" i="13"/>
  <c r="KF95" i="13"/>
  <c r="KF75" i="13"/>
  <c r="KF96" i="13"/>
  <c r="KF76" i="13"/>
  <c r="KF88" i="13"/>
  <c r="KF64" i="13"/>
  <c r="KF102" i="13"/>
  <c r="KF84" i="13"/>
  <c r="KF65" i="13"/>
  <c r="KF103" i="13"/>
  <c r="KF85" i="13"/>
  <c r="KF66" i="13"/>
  <c r="KU96" i="13"/>
  <c r="KU88" i="13"/>
  <c r="KU102" i="13"/>
  <c r="KU103" i="13"/>
  <c r="KU65" i="13"/>
  <c r="KU95" i="13"/>
  <c r="KU84" i="13"/>
  <c r="KU66" i="13"/>
  <c r="KU104" i="13"/>
  <c r="KU67" i="13"/>
  <c r="KU68" i="13"/>
  <c r="KU94" i="13"/>
  <c r="KU69" i="13"/>
  <c r="KU73" i="13"/>
  <c r="KU74" i="13"/>
  <c r="KU75" i="13"/>
  <c r="KU86" i="13"/>
  <c r="KU76" i="13"/>
  <c r="KU93" i="13"/>
  <c r="KU85" i="13"/>
  <c r="KU64" i="13"/>
  <c r="LJ94" i="13"/>
  <c r="LJ74" i="13"/>
  <c r="LJ69" i="13"/>
  <c r="LJ95" i="13"/>
  <c r="LJ75" i="13"/>
  <c r="LJ96" i="13"/>
  <c r="LJ76" i="13"/>
  <c r="LJ88" i="13"/>
  <c r="LJ64" i="13"/>
  <c r="LJ102" i="13"/>
  <c r="LJ84" i="13"/>
  <c r="LJ65" i="13"/>
  <c r="LJ104" i="13"/>
  <c r="LJ103" i="13"/>
  <c r="LJ66" i="13"/>
  <c r="LJ68" i="13"/>
  <c r="LJ86" i="13"/>
  <c r="LJ93" i="13"/>
  <c r="LJ67" i="13"/>
  <c r="LJ85" i="13"/>
  <c r="LJ73" i="13"/>
  <c r="LY94" i="13"/>
  <c r="LY95" i="13"/>
  <c r="LY86" i="13"/>
  <c r="LY67" i="13"/>
  <c r="LY73" i="13"/>
  <c r="LY68" i="13"/>
  <c r="LY74" i="13"/>
  <c r="LY69" i="13"/>
  <c r="LY93" i="13"/>
  <c r="LY75" i="13"/>
  <c r="LY104" i="13"/>
  <c r="LY76" i="13"/>
  <c r="LY103" i="13"/>
  <c r="LY88" i="13"/>
  <c r="LY64" i="13"/>
  <c r="LY96" i="13"/>
  <c r="LY84" i="13"/>
  <c r="LY65" i="13"/>
  <c r="LY102" i="13"/>
  <c r="LY85" i="13"/>
  <c r="LY66" i="13"/>
  <c r="MN104" i="13"/>
  <c r="MN86" i="13"/>
  <c r="MN66" i="13"/>
  <c r="MN67" i="13"/>
  <c r="MN68" i="13"/>
  <c r="MN73" i="13"/>
  <c r="MN69" i="13"/>
  <c r="MN93" i="13"/>
  <c r="MN95" i="13"/>
  <c r="MN88" i="13"/>
  <c r="MN85" i="13"/>
  <c r="MN75" i="13"/>
  <c r="MN103" i="13"/>
  <c r="MN65" i="13"/>
  <c r="MN74" i="13"/>
  <c r="MN94" i="13"/>
  <c r="MN96" i="13"/>
  <c r="MN84" i="13"/>
  <c r="MN64" i="13"/>
  <c r="MN102" i="13"/>
  <c r="MN76" i="13"/>
  <c r="NC102" i="13"/>
  <c r="NC84" i="13"/>
  <c r="NC65" i="13"/>
  <c r="NC75" i="13"/>
  <c r="NC93" i="13"/>
  <c r="NC88" i="13"/>
  <c r="NC67" i="13"/>
  <c r="NC69" i="13"/>
  <c r="NC73" i="13"/>
  <c r="NC94" i="13"/>
  <c r="NC76" i="13"/>
  <c r="NC85" i="13"/>
  <c r="NC103" i="13"/>
  <c r="NC95" i="13"/>
  <c r="NC74" i="13"/>
  <c r="NC66" i="13"/>
  <c r="NC68" i="13"/>
  <c r="NC64" i="13"/>
  <c r="NC104" i="13"/>
  <c r="NC96" i="13"/>
  <c r="NC86" i="13"/>
  <c r="NR94" i="13"/>
  <c r="NR74" i="13"/>
  <c r="NR96" i="13"/>
  <c r="NR76" i="13"/>
  <c r="NR73" i="13"/>
  <c r="NR66" i="13"/>
  <c r="NR86" i="13"/>
  <c r="NR65" i="13"/>
  <c r="NR93" i="13"/>
  <c r="NR85" i="13"/>
  <c r="NR64" i="13"/>
  <c r="NR104" i="13"/>
  <c r="NR84" i="13"/>
  <c r="NR103" i="13"/>
  <c r="NR88" i="13"/>
  <c r="NR102" i="13"/>
  <c r="NR75" i="13"/>
  <c r="NR69" i="13"/>
  <c r="NR95" i="13"/>
  <c r="NR67" i="13"/>
  <c r="NR68" i="13"/>
  <c r="OG102" i="13"/>
  <c r="OG104" i="13"/>
  <c r="OG86" i="13"/>
  <c r="OG67" i="13"/>
  <c r="OG94" i="13"/>
  <c r="OG74" i="13"/>
  <c r="OG69" i="13"/>
  <c r="OG96" i="13"/>
  <c r="OG84" i="13"/>
  <c r="OG103" i="13"/>
  <c r="OG73" i="13"/>
  <c r="OG88" i="13"/>
  <c r="OG66" i="13"/>
  <c r="OG65" i="13"/>
  <c r="OG93" i="13"/>
  <c r="OG64" i="13"/>
  <c r="OG76" i="13"/>
  <c r="OG85" i="13"/>
  <c r="OG75" i="13"/>
  <c r="OG95" i="13"/>
  <c r="OG68" i="13"/>
  <c r="OO104" i="13"/>
  <c r="OO86" i="13"/>
  <c r="OO67" i="13"/>
  <c r="OO94" i="13"/>
  <c r="OO74" i="13"/>
  <c r="OO69" i="13"/>
  <c r="OO96" i="13"/>
  <c r="OO102" i="13"/>
  <c r="OO66" i="13"/>
  <c r="OO93" i="13"/>
  <c r="OO65" i="13"/>
  <c r="OO64" i="13"/>
  <c r="OO85" i="13"/>
  <c r="OO76" i="13"/>
  <c r="OO95" i="13"/>
  <c r="OO75" i="13"/>
  <c r="OO84" i="13"/>
  <c r="OO68" i="13"/>
  <c r="OO103" i="13"/>
  <c r="OO88" i="13"/>
  <c r="OO73" i="13"/>
  <c r="CE68" i="13"/>
  <c r="CG66" i="13"/>
  <c r="CC64" i="13"/>
  <c r="CG74" i="13"/>
  <c r="BZ86" i="13"/>
  <c r="CD96" i="13"/>
  <c r="OL95" i="13"/>
  <c r="OL75" i="13"/>
  <c r="OL88" i="13"/>
  <c r="OL64" i="13"/>
  <c r="OL102" i="13"/>
  <c r="OL103" i="13"/>
  <c r="OL85" i="13"/>
  <c r="OL96" i="13"/>
  <c r="OL104" i="13"/>
  <c r="OL76" i="13"/>
  <c r="OL69" i="13"/>
  <c r="OL84" i="13"/>
  <c r="OL68" i="13"/>
  <c r="OL74" i="13"/>
  <c r="OL67" i="13"/>
  <c r="OL94" i="13"/>
  <c r="OL73" i="13"/>
  <c r="OL66" i="13"/>
  <c r="OL86" i="13"/>
  <c r="OL65" i="13"/>
  <c r="OL93" i="13"/>
  <c r="OM94" i="13"/>
  <c r="OM74" i="13"/>
  <c r="OM69" i="13"/>
  <c r="OM96" i="13"/>
  <c r="OM76" i="13"/>
  <c r="OM102" i="13"/>
  <c r="OM84" i="13"/>
  <c r="OM93" i="13"/>
  <c r="OM64" i="13"/>
  <c r="OM85" i="13"/>
  <c r="OM104" i="13"/>
  <c r="OM95" i="13"/>
  <c r="OM75" i="13"/>
  <c r="OM103" i="13"/>
  <c r="OM68" i="13"/>
  <c r="OM67" i="13"/>
  <c r="OM88" i="13"/>
  <c r="OM73" i="13"/>
  <c r="OM66" i="13"/>
  <c r="OM65" i="13"/>
  <c r="OM86" i="13"/>
  <c r="ON93" i="13"/>
  <c r="ON73" i="13"/>
  <c r="ON68" i="13"/>
  <c r="ON95" i="13"/>
  <c r="ON75" i="13"/>
  <c r="ON88" i="13"/>
  <c r="ON102" i="13"/>
  <c r="ON86" i="13"/>
  <c r="ON65" i="13"/>
  <c r="ON96" i="13"/>
  <c r="ON64" i="13"/>
  <c r="ON85" i="13"/>
  <c r="ON76" i="13"/>
  <c r="ON104" i="13"/>
  <c r="ON69" i="13"/>
  <c r="ON84" i="13"/>
  <c r="ON103" i="13"/>
  <c r="ON74" i="13"/>
  <c r="ON94" i="13"/>
  <c r="ON67" i="13"/>
  <c r="ON66" i="13"/>
  <c r="B74" i="27"/>
  <c r="C5" i="27"/>
  <c r="D4" i="27"/>
  <c r="BG7" i="24"/>
  <c r="BM7" i="24"/>
  <c r="AD74" i="24"/>
  <c r="AD96" i="24"/>
  <c r="CJ6" i="24"/>
  <c r="CK6" i="24" s="1"/>
  <c r="CL6" i="24" s="1"/>
  <c r="CM6" i="24" s="1"/>
  <c r="CN6" i="24" s="1"/>
  <c r="CO6" i="24" s="1"/>
  <c r="AD64" i="24"/>
  <c r="CX66" i="25" a="1"/>
  <c r="CX66" i="25" s="1"/>
  <c r="CX76" i="25" a="1"/>
  <c r="CX76" i="25" s="1"/>
  <c r="CX95" i="25" a="1"/>
  <c r="CX95" i="25" s="1"/>
  <c r="CY75" i="25" a="1"/>
  <c r="CY75" i="25" s="1"/>
  <c r="CZ67" i="25" a="1"/>
  <c r="CZ67" i="25" s="1"/>
  <c r="CZ84" i="25" a="1"/>
  <c r="CZ84" i="25" s="1"/>
  <c r="CZ96" i="25" a="1"/>
  <c r="CZ96" i="25" s="1"/>
  <c r="CX67" i="25" a="1"/>
  <c r="CX67" i="25" s="1"/>
  <c r="CX84" i="25" a="1"/>
  <c r="CX84" i="25" s="1"/>
  <c r="CX96" i="25" a="1"/>
  <c r="CX96" i="25" s="1"/>
  <c r="CZ68" i="25" a="1"/>
  <c r="CZ68" i="25" s="1"/>
  <c r="CX68" i="25" a="1"/>
  <c r="CX68" i="25" s="1"/>
  <c r="CX85" i="25" a="1"/>
  <c r="CX85" i="25" s="1"/>
  <c r="CX102" i="25" a="1"/>
  <c r="CX102" i="25" s="1"/>
  <c r="CY102" i="25" a="1"/>
  <c r="CY102" i="25" s="1"/>
  <c r="CZ69" i="25" a="1"/>
  <c r="CZ69" i="25" s="1"/>
  <c r="CZ85" i="25" a="1"/>
  <c r="CZ85" i="25" s="1"/>
  <c r="CX69" i="25" a="1"/>
  <c r="CX69" i="25" s="1"/>
  <c r="CX86" i="25" a="1"/>
  <c r="CX86" i="25" s="1"/>
  <c r="CX103" i="25" a="1"/>
  <c r="CX103" i="25" s="1"/>
  <c r="CY103" i="25" a="1"/>
  <c r="CY103" i="25" s="1"/>
  <c r="CZ73" i="25" a="1"/>
  <c r="CZ73" i="25" s="1"/>
  <c r="CZ86" i="25" a="1"/>
  <c r="CZ86" i="25" s="1"/>
  <c r="CX73" i="25" a="1"/>
  <c r="CX73" i="25" s="1"/>
  <c r="CX88" i="25" a="1"/>
  <c r="CX88" i="25" s="1"/>
  <c r="CX104" i="25" a="1"/>
  <c r="CX104" i="25" s="1"/>
  <c r="CY104" i="25" a="1"/>
  <c r="CY104" i="25" s="1"/>
  <c r="CZ74" i="25" a="1"/>
  <c r="CZ74" i="25" s="1"/>
  <c r="CZ88" i="25" a="1"/>
  <c r="CZ88" i="25" s="1"/>
  <c r="CX93" i="25" a="1"/>
  <c r="CX93" i="25" s="1"/>
  <c r="CZ64" i="25" a="1"/>
  <c r="CZ64" i="25" s="1"/>
  <c r="CZ93" i="25" a="1"/>
  <c r="CZ93" i="25" s="1"/>
  <c r="CX64" i="25" a="1"/>
  <c r="CX64" i="25" s="1"/>
  <c r="CX94" i="25" a="1"/>
  <c r="CX94" i="25" s="1"/>
  <c r="CH93" i="25" a="1"/>
  <c r="CH93" i="25" s="1"/>
  <c r="CH94" i="25" a="1"/>
  <c r="CH94" i="25" s="1"/>
  <c r="CG64" i="25" a="1"/>
  <c r="CG64" i="25" s="1"/>
  <c r="CG75" i="25" a="1"/>
  <c r="CG75" i="25" s="1"/>
  <c r="CG95" i="25" a="1"/>
  <c r="CG95" i="25" s="1"/>
  <c r="CH67" i="25" a="1"/>
  <c r="CH67" i="25" s="1"/>
  <c r="CH84" i="25" a="1"/>
  <c r="CH84" i="25" s="1"/>
  <c r="CH96" i="25" a="1"/>
  <c r="CH96" i="25" s="1"/>
  <c r="CI68" i="25" a="1"/>
  <c r="CI68" i="25" s="1"/>
  <c r="CI86" i="25" a="1"/>
  <c r="CI86" i="25" s="1"/>
  <c r="CI102" i="25" a="1"/>
  <c r="CI102" i="25" s="1"/>
  <c r="CJ67" i="25" a="1"/>
  <c r="CJ67" i="25" s="1"/>
  <c r="CJ85" i="25" a="1"/>
  <c r="CJ85" i="25" s="1"/>
  <c r="CJ102" i="25" a="1"/>
  <c r="CJ102" i="25" s="1"/>
  <c r="CG73" i="25" a="1"/>
  <c r="CG73" i="25" s="1"/>
  <c r="CG93" i="25" a="1"/>
  <c r="CG93" i="25" s="1"/>
  <c r="CG94" i="25" a="1"/>
  <c r="CG94" i="25" s="1"/>
  <c r="CH68" i="25" a="1"/>
  <c r="CH68" i="25" s="1"/>
  <c r="CH85" i="25" a="1"/>
  <c r="CH85" i="25" s="1"/>
  <c r="CH102" i="25" a="1"/>
  <c r="CH102" i="25" s="1"/>
  <c r="CI69" i="25" a="1"/>
  <c r="CI69" i="25" s="1"/>
  <c r="CI88" i="25" a="1"/>
  <c r="CI88" i="25" s="1"/>
  <c r="CI103" i="25" a="1"/>
  <c r="CI103" i="25" s="1"/>
  <c r="CJ68" i="25" a="1"/>
  <c r="CJ68" i="25" s="1"/>
  <c r="CJ86" i="25" a="1"/>
  <c r="CJ86" i="25" s="1"/>
  <c r="CJ103" i="25" a="1"/>
  <c r="CJ103" i="25" s="1"/>
  <c r="CG74" i="25" a="1"/>
  <c r="CG74" i="25" s="1"/>
  <c r="CH69" i="25" a="1"/>
  <c r="CH69" i="25" s="1"/>
  <c r="CH103" i="25" a="1"/>
  <c r="CH103" i="25" s="1"/>
  <c r="CI73" i="25" a="1"/>
  <c r="CI73" i="25" s="1"/>
  <c r="CI93" i="25" a="1"/>
  <c r="CI93" i="25" s="1"/>
  <c r="CI104" i="25" a="1"/>
  <c r="CI104" i="25" s="1"/>
  <c r="CJ69" i="25" a="1"/>
  <c r="CJ69" i="25" s="1"/>
  <c r="CJ88" i="25" a="1"/>
  <c r="CJ88" i="25" s="1"/>
  <c r="CJ104" i="25" a="1"/>
  <c r="CJ104" i="25" s="1"/>
  <c r="CH73" i="25" a="1"/>
  <c r="CH73" i="25" s="1"/>
  <c r="CH86" i="25" a="1"/>
  <c r="CH86" i="25" s="1"/>
  <c r="CH104" i="25" a="1"/>
  <c r="CH104" i="25" s="1"/>
  <c r="CI74" i="25" a="1"/>
  <c r="CI74" i="25" s="1"/>
  <c r="CI64" i="25" a="1"/>
  <c r="CI64" i="25" s="1"/>
  <c r="CI94" i="25" a="1"/>
  <c r="CI94" i="25" s="1"/>
  <c r="BQ69" i="25" a="1"/>
  <c r="BQ69" i="25" s="1"/>
  <c r="BP64" i="25" a="1"/>
  <c r="BP64" i="25" s="1"/>
  <c r="BQ64" i="25" a="1"/>
  <c r="BQ64" i="25" s="1"/>
  <c r="BQ74" i="25" a="1"/>
  <c r="BQ74" i="25" s="1"/>
  <c r="BQ93" i="25" a="1"/>
  <c r="BQ93" i="25" s="1"/>
  <c r="BR65" i="25" a="1"/>
  <c r="BR65" i="25" s="1"/>
  <c r="BR75" i="25" a="1"/>
  <c r="BR75" i="25" s="1"/>
  <c r="BR95" i="25" a="1"/>
  <c r="BR95" i="25" s="1"/>
  <c r="BS66" i="25" a="1"/>
  <c r="BS66" i="25" s="1"/>
  <c r="BS84" i="25" a="1"/>
  <c r="BS84" i="25" s="1"/>
  <c r="BS102" i="25" a="1"/>
  <c r="BS102" i="25" s="1"/>
  <c r="BT69" i="25" a="1"/>
  <c r="BT69" i="25" s="1"/>
  <c r="BT88" i="25" a="1"/>
  <c r="BT88" i="25" s="1"/>
  <c r="BP65" i="25" a="1"/>
  <c r="BP65" i="25" s="1"/>
  <c r="BP75" i="25" a="1"/>
  <c r="BP75" i="25" s="1"/>
  <c r="BP94" i="25" a="1"/>
  <c r="BP94" i="25" s="1"/>
  <c r="BQ65" i="25" a="1"/>
  <c r="BQ65" i="25" s="1"/>
  <c r="BQ94" i="25" a="1"/>
  <c r="BQ94" i="25" s="1"/>
  <c r="BR66" i="25" a="1"/>
  <c r="BR66" i="25" s="1"/>
  <c r="BR76" i="25" a="1"/>
  <c r="BR76" i="25" s="1"/>
  <c r="BR96" i="25" a="1"/>
  <c r="BR96" i="25" s="1"/>
  <c r="BS67" i="25" a="1"/>
  <c r="BS67" i="25" s="1"/>
  <c r="BS85" i="25" a="1"/>
  <c r="BS85" i="25" s="1"/>
  <c r="BS103" i="25" a="1"/>
  <c r="BS103" i="25" s="1"/>
  <c r="BT73" i="25" a="1"/>
  <c r="BT73" i="25" s="1"/>
  <c r="BT93" i="25" a="1"/>
  <c r="BT93" i="25" s="1"/>
  <c r="BP88" i="25" a="1"/>
  <c r="BP88" i="25" s="1"/>
  <c r="BQ88" i="25" a="1"/>
  <c r="BQ88" i="25" s="1"/>
  <c r="BP66" i="25" a="1"/>
  <c r="BP66" i="25" s="1"/>
  <c r="BP76" i="25" a="1"/>
  <c r="BP76" i="25" s="1"/>
  <c r="BP95" i="25" a="1"/>
  <c r="BP95" i="25" s="1"/>
  <c r="BQ66" i="25" a="1"/>
  <c r="BQ66" i="25" s="1"/>
  <c r="BQ75" i="25" a="1"/>
  <c r="BQ75" i="25" s="1"/>
  <c r="BQ95" i="25" a="1"/>
  <c r="BQ95" i="25" s="1"/>
  <c r="BR67" i="25" a="1"/>
  <c r="BR67" i="25" s="1"/>
  <c r="BR84" i="25" a="1"/>
  <c r="BR84" i="25" s="1"/>
  <c r="BS68" i="25" a="1"/>
  <c r="BS68" i="25" s="1"/>
  <c r="BS86" i="25" a="1"/>
  <c r="BS86" i="25" s="1"/>
  <c r="BS104" i="25" a="1"/>
  <c r="BS104" i="25" s="1"/>
  <c r="BT74" i="25" a="1"/>
  <c r="BT74" i="25" s="1"/>
  <c r="BT94" i="25" a="1"/>
  <c r="BT94" i="25" s="1"/>
  <c r="BP93" i="25" a="1"/>
  <c r="BP93" i="25" s="1"/>
  <c r="BP67" i="25" a="1"/>
  <c r="BP67" i="25" s="1"/>
  <c r="BP84" i="25" a="1"/>
  <c r="BP84" i="25" s="1"/>
  <c r="BP96" i="25" a="1"/>
  <c r="BP96" i="25" s="1"/>
  <c r="BQ76" i="25" a="1"/>
  <c r="BQ76" i="25" s="1"/>
  <c r="BQ96" i="25" a="1"/>
  <c r="BQ96" i="25" s="1"/>
  <c r="BR68" i="25" a="1"/>
  <c r="BR68" i="25" s="1"/>
  <c r="BR85" i="25" a="1"/>
  <c r="BR85" i="25" s="1"/>
  <c r="BR102" i="25" a="1"/>
  <c r="BR102" i="25" s="1"/>
  <c r="BS69" i="25" a="1"/>
  <c r="BS69" i="25" s="1"/>
  <c r="BS88" i="25" a="1"/>
  <c r="BS88" i="25" s="1"/>
  <c r="BP68" i="25" a="1"/>
  <c r="BP68" i="25" s="1"/>
  <c r="BP85" i="25" a="1"/>
  <c r="BP85" i="25" s="1"/>
  <c r="BP102" i="25" a="1"/>
  <c r="BP102" i="25" s="1"/>
  <c r="BQ84" i="25" a="1"/>
  <c r="BQ84" i="25" s="1"/>
  <c r="BQ102" i="25" a="1"/>
  <c r="BQ102" i="25" s="1"/>
  <c r="BR69" i="25" a="1"/>
  <c r="BR69" i="25" s="1"/>
  <c r="BR86" i="25" a="1"/>
  <c r="BR86" i="25" s="1"/>
  <c r="BR103" i="25" a="1"/>
  <c r="BR103" i="25" s="1"/>
  <c r="BS73" i="25" a="1"/>
  <c r="BS73" i="25" s="1"/>
  <c r="BQ73" i="25" a="1"/>
  <c r="BQ73" i="25" s="1"/>
  <c r="BP103" i="25" a="1"/>
  <c r="BP103" i="25" s="1"/>
  <c r="AN102" i="25" a="1"/>
  <c r="AN102" i="25" s="1"/>
  <c r="AH67" i="25" a="1"/>
  <c r="AH67" i="25" s="1"/>
  <c r="AI86" i="25" a="1"/>
  <c r="AI86" i="25" s="1"/>
  <c r="AK102" i="25" a="1"/>
  <c r="AK102" i="25" s="1"/>
  <c r="AN103" i="25" a="1"/>
  <c r="AN103" i="25" s="1"/>
  <c r="AI85" i="25" a="1"/>
  <c r="AI85" i="25" s="1"/>
  <c r="AH84" i="25" a="1"/>
  <c r="AH84" i="25" s="1"/>
  <c r="AI103" i="25" a="1"/>
  <c r="AI103" i="25" s="1"/>
  <c r="AL68" i="25" a="1"/>
  <c r="AL68" i="25" s="1"/>
  <c r="AM94" i="25" a="1"/>
  <c r="AM94" i="25" s="1"/>
  <c r="AK84" i="25" a="1"/>
  <c r="AK84" i="25" s="1"/>
  <c r="AH85" i="25" a="1"/>
  <c r="AH85" i="25" s="1"/>
  <c r="AI104" i="25" a="1"/>
  <c r="AI104" i="25" s="1"/>
  <c r="AL69" i="25" a="1"/>
  <c r="AL69" i="25" s="1"/>
  <c r="AM95" i="25" a="1"/>
  <c r="AM95" i="25" s="1"/>
  <c r="AH96" i="25" a="1"/>
  <c r="AH96" i="25" s="1"/>
  <c r="AK65" i="25" a="1"/>
  <c r="AK65" i="25" s="1"/>
  <c r="AL86" i="25" a="1"/>
  <c r="AL86" i="25" s="1"/>
  <c r="AN66" i="25" a="1"/>
  <c r="AN66" i="25" s="1"/>
  <c r="AH66" i="25" a="1"/>
  <c r="AH66" i="25" s="1"/>
  <c r="AH102" i="25" a="1"/>
  <c r="AH102" i="25" s="1"/>
  <c r="AK66" i="25" a="1"/>
  <c r="AK66" i="25" s="1"/>
  <c r="AL88" i="25" a="1"/>
  <c r="AL88" i="25" s="1"/>
  <c r="AN67" i="25" a="1"/>
  <c r="AN67" i="25" s="1"/>
  <c r="AI68" i="25" a="1"/>
  <c r="AI68" i="25" s="1"/>
  <c r="AK76" i="25" a="1"/>
  <c r="AK76" i="25" s="1"/>
  <c r="AL104" i="25" a="1"/>
  <c r="AL104" i="25" s="1"/>
  <c r="AN84" i="25" a="1"/>
  <c r="AN84" i="25" s="1"/>
  <c r="AH68" i="25" a="1"/>
  <c r="AH68" i="25" s="1"/>
  <c r="AH86" i="25" a="1"/>
  <c r="AH86" i="25" s="1"/>
  <c r="AH103" i="25" a="1"/>
  <c r="AH103" i="25" s="1"/>
  <c r="AI73" i="25" a="1"/>
  <c r="AI73" i="25" s="1"/>
  <c r="AI88" i="25" a="1"/>
  <c r="AI88" i="25" s="1"/>
  <c r="AJ64" i="25" a="1"/>
  <c r="AJ64" i="25" s="1"/>
  <c r="AJ75" i="25" a="1"/>
  <c r="AJ75" i="25" s="1"/>
  <c r="AJ95" i="25" a="1"/>
  <c r="AJ95" i="25" s="1"/>
  <c r="AK67" i="25" a="1"/>
  <c r="AK67" i="25" s="1"/>
  <c r="AK85" i="25" a="1"/>
  <c r="AK85" i="25" s="1"/>
  <c r="AK103" i="25" a="1"/>
  <c r="AK103" i="25" s="1"/>
  <c r="AL73" i="25" a="1"/>
  <c r="AL73" i="25" s="1"/>
  <c r="AL93" i="25" a="1"/>
  <c r="AL93" i="25" s="1"/>
  <c r="AM65" i="25" a="1"/>
  <c r="AM65" i="25" s="1"/>
  <c r="AM76" i="25" a="1"/>
  <c r="AM76" i="25" s="1"/>
  <c r="AM96" i="25" a="1"/>
  <c r="AM96" i="25" s="1"/>
  <c r="AN68" i="25" a="1"/>
  <c r="AN68" i="25" s="1"/>
  <c r="AN86" i="25" a="1"/>
  <c r="AN86" i="25" s="1"/>
  <c r="AN104" i="25" a="1"/>
  <c r="AN104" i="25" s="1"/>
  <c r="AH69" i="25" a="1"/>
  <c r="AH69" i="25" s="1"/>
  <c r="AH88" i="25" a="1"/>
  <c r="AH88" i="25" s="1"/>
  <c r="AH104" i="25" a="1"/>
  <c r="AH104" i="25" s="1"/>
  <c r="AI74" i="25" a="1"/>
  <c r="AI74" i="25" s="1"/>
  <c r="AI93" i="25" a="1"/>
  <c r="AI93" i="25" s="1"/>
  <c r="AJ65" i="25" a="1"/>
  <c r="AJ65" i="25" s="1"/>
  <c r="AJ76" i="25" a="1"/>
  <c r="AJ76" i="25" s="1"/>
  <c r="AJ96" i="25" a="1"/>
  <c r="AJ96" i="25" s="1"/>
  <c r="AK68" i="25" a="1"/>
  <c r="AK68" i="25" s="1"/>
  <c r="AK86" i="25" a="1"/>
  <c r="AK86" i="25" s="1"/>
  <c r="AK104" i="25" a="1"/>
  <c r="AK104" i="25" s="1"/>
  <c r="AL74" i="25" a="1"/>
  <c r="AL74" i="25" s="1"/>
  <c r="AL94" i="25" a="1"/>
  <c r="AL94" i="25" s="1"/>
  <c r="AM66" i="25" a="1"/>
  <c r="AM66" i="25" s="1"/>
  <c r="AM84" i="25" a="1"/>
  <c r="AM84" i="25" s="1"/>
  <c r="AM102" i="25" a="1"/>
  <c r="AM102" i="25" s="1"/>
  <c r="AN69" i="25" a="1"/>
  <c r="AN69" i="25" s="1"/>
  <c r="AN88" i="25" a="1"/>
  <c r="AN88" i="25" s="1"/>
  <c r="AJ93" i="25" a="1"/>
  <c r="AJ93" i="25" s="1"/>
  <c r="AJ74" i="25" a="1"/>
  <c r="AJ74" i="25" s="1"/>
  <c r="AH73" i="25" a="1"/>
  <c r="AH73" i="25" s="1"/>
  <c r="AH93" i="25" a="1"/>
  <c r="AH93" i="25" s="1"/>
  <c r="AI64" i="25" a="1"/>
  <c r="AI64" i="25" s="1"/>
  <c r="AI75" i="25" a="1"/>
  <c r="AI75" i="25" s="1"/>
  <c r="AI94" i="25" a="1"/>
  <c r="AI94" i="25" s="1"/>
  <c r="AJ66" i="25" a="1"/>
  <c r="AJ66" i="25" s="1"/>
  <c r="AJ84" i="25" a="1"/>
  <c r="AJ84" i="25" s="1"/>
  <c r="AJ102" i="25" a="1"/>
  <c r="AJ102" i="25" s="1"/>
  <c r="AK69" i="25" a="1"/>
  <c r="AK69" i="25" s="1"/>
  <c r="AK88" i="25" a="1"/>
  <c r="AK88" i="25" s="1"/>
  <c r="AL64" i="25" a="1"/>
  <c r="AL64" i="25" s="1"/>
  <c r="AL75" i="25" a="1"/>
  <c r="AL75" i="25" s="1"/>
  <c r="AL95" i="25" a="1"/>
  <c r="AL95" i="25" s="1"/>
  <c r="AM67" i="25" a="1"/>
  <c r="AM67" i="25" s="1"/>
  <c r="AM85" i="25" a="1"/>
  <c r="AM85" i="25" s="1"/>
  <c r="AM103" i="25" a="1"/>
  <c r="AM103" i="25" s="1"/>
  <c r="AN73" i="25" a="1"/>
  <c r="AN73" i="25" s="1"/>
  <c r="AN93" i="25" a="1"/>
  <c r="AN93" i="25" s="1"/>
  <c r="AH74" i="25" a="1"/>
  <c r="AH74" i="25" s="1"/>
  <c r="AH94" i="25" a="1"/>
  <c r="AH94" i="25" s="1"/>
  <c r="AI65" i="25" a="1"/>
  <c r="AI65" i="25" s="1"/>
  <c r="AI76" i="25" a="1"/>
  <c r="AI76" i="25" s="1"/>
  <c r="AI95" i="25" a="1"/>
  <c r="AI95" i="25" s="1"/>
  <c r="AJ67" i="25" a="1"/>
  <c r="AJ67" i="25" s="1"/>
  <c r="AJ85" i="25" a="1"/>
  <c r="AJ85" i="25" s="1"/>
  <c r="AJ103" i="25" a="1"/>
  <c r="AJ103" i="25" s="1"/>
  <c r="AK73" i="25" a="1"/>
  <c r="AK73" i="25" s="1"/>
  <c r="AK93" i="25" a="1"/>
  <c r="AK93" i="25" s="1"/>
  <c r="AL65" i="25" a="1"/>
  <c r="AL65" i="25" s="1"/>
  <c r="AL76" i="25" a="1"/>
  <c r="AL76" i="25" s="1"/>
  <c r="AL96" i="25" a="1"/>
  <c r="AL96" i="25" s="1"/>
  <c r="AM68" i="25" a="1"/>
  <c r="AM68" i="25" s="1"/>
  <c r="AM86" i="25" a="1"/>
  <c r="AM86" i="25" s="1"/>
  <c r="AM104" i="25" a="1"/>
  <c r="AM104" i="25" s="1"/>
  <c r="AN74" i="25" a="1"/>
  <c r="AN74" i="25" s="1"/>
  <c r="AN94" i="25" a="1"/>
  <c r="AN94" i="25" s="1"/>
  <c r="AJ94" i="25" a="1"/>
  <c r="AJ94" i="25" s="1"/>
  <c r="AH64" i="25" a="1"/>
  <c r="AH64" i="25" s="1"/>
  <c r="AH75" i="25" a="1"/>
  <c r="AH75" i="25" s="1"/>
  <c r="AH95" i="25" a="1"/>
  <c r="AH95" i="25" s="1"/>
  <c r="AI66" i="25" a="1"/>
  <c r="AI66" i="25" s="1"/>
  <c r="AI84" i="25" a="1"/>
  <c r="AI84" i="25" s="1"/>
  <c r="AI96" i="25" a="1"/>
  <c r="AI96" i="25" s="1"/>
  <c r="AL102" i="25" a="1"/>
  <c r="AL102" i="25" s="1"/>
  <c r="AM69" i="25" a="1"/>
  <c r="AM69" i="25" s="1"/>
  <c r="AM88" i="25" a="1"/>
  <c r="AM88" i="25" s="1"/>
  <c r="AN64" i="25" a="1"/>
  <c r="AN64" i="25" s="1"/>
  <c r="AN75" i="25" a="1"/>
  <c r="AN75" i="25" s="1"/>
  <c r="AN95" i="25" a="1"/>
  <c r="AN95" i="25" s="1"/>
  <c r="AJ73" i="25" a="1"/>
  <c r="AJ73" i="25" s="1"/>
  <c r="AH65" i="25" a="1"/>
  <c r="AH65" i="25" s="1"/>
  <c r="AH76" i="25" a="1"/>
  <c r="AH76" i="25" s="1"/>
  <c r="AI67" i="25" a="1"/>
  <c r="AI67" i="25" s="1"/>
  <c r="W95" i="25" a="1"/>
  <c r="W95" i="25" s="1"/>
  <c r="R65" i="25" a="1"/>
  <c r="R65" i="25" s="1"/>
  <c r="V66" i="25" a="1"/>
  <c r="V66" i="25" s="1"/>
  <c r="Q74" i="25" a="1"/>
  <c r="Q74" i="25" s="1"/>
  <c r="X75" i="25" a="1"/>
  <c r="X75" i="25" s="1"/>
  <c r="W76" i="25" a="1"/>
  <c r="W76" i="25" s="1"/>
  <c r="V84" i="25" a="1"/>
  <c r="V84" i="25" s="1"/>
  <c r="U85" i="25" a="1"/>
  <c r="U85" i="25" s="1"/>
  <c r="T86" i="25" a="1"/>
  <c r="T86" i="25" s="1"/>
  <c r="S88" i="25" a="1"/>
  <c r="S88" i="25" s="1"/>
  <c r="R93" i="25" a="1"/>
  <c r="R93" i="25" s="1"/>
  <c r="Q94" i="25" a="1"/>
  <c r="Q94" i="25" s="1"/>
  <c r="X95" i="25" a="1"/>
  <c r="X95" i="25" s="1"/>
  <c r="W96" i="25" a="1"/>
  <c r="W96" i="25" s="1"/>
  <c r="V102" i="25" a="1"/>
  <c r="V102" i="25" s="1"/>
  <c r="T103" i="25" a="1"/>
  <c r="T103" i="25" s="1"/>
  <c r="R104" i="25" a="1"/>
  <c r="R104" i="25" s="1"/>
  <c r="W75" i="25" a="1"/>
  <c r="W75" i="25" s="1"/>
  <c r="S65" i="25" a="1"/>
  <c r="S65" i="25" s="1"/>
  <c r="W66" i="25" a="1"/>
  <c r="W66" i="25" s="1"/>
  <c r="R74" i="25" a="1"/>
  <c r="R74" i="25" s="1"/>
  <c r="Q75" i="25" a="1"/>
  <c r="Q75" i="25" s="1"/>
  <c r="X76" i="25" a="1"/>
  <c r="X76" i="25" s="1"/>
  <c r="W84" i="25" a="1"/>
  <c r="W84" i="25" s="1"/>
  <c r="V85" i="25" a="1"/>
  <c r="V85" i="25" s="1"/>
  <c r="U86" i="25" a="1"/>
  <c r="U86" i="25" s="1"/>
  <c r="T88" i="25" a="1"/>
  <c r="T88" i="25" s="1"/>
  <c r="S93" i="25" a="1"/>
  <c r="S93" i="25" s="1"/>
  <c r="R94" i="25" a="1"/>
  <c r="R94" i="25" s="1"/>
  <c r="Q95" i="25" a="1"/>
  <c r="Q95" i="25" s="1"/>
  <c r="X96" i="25" a="1"/>
  <c r="X96" i="25" s="1"/>
  <c r="W102" i="25" a="1"/>
  <c r="W102" i="25" s="1"/>
  <c r="U103" i="25" a="1"/>
  <c r="U103" i="25" s="1"/>
  <c r="S104" i="25" a="1"/>
  <c r="S104" i="25" s="1"/>
  <c r="X74" i="25" a="1"/>
  <c r="X74" i="25" s="1"/>
  <c r="T65" i="25" a="1"/>
  <c r="T65" i="25" s="1"/>
  <c r="Q66" i="25" a="1"/>
  <c r="Q66" i="25" s="1"/>
  <c r="X66" i="25" a="1"/>
  <c r="X66" i="25" s="1"/>
  <c r="W67" i="25" a="1"/>
  <c r="W67" i="25" s="1"/>
  <c r="V68" i="25" a="1"/>
  <c r="V68" i="25" s="1"/>
  <c r="U69" i="25" a="1"/>
  <c r="U69" i="25" s="1"/>
  <c r="T73" i="25" a="1"/>
  <c r="T73" i="25" s="1"/>
  <c r="S74" i="25" a="1"/>
  <c r="S74" i="25" s="1"/>
  <c r="R75" i="25" a="1"/>
  <c r="R75" i="25" s="1"/>
  <c r="Q76" i="25" a="1"/>
  <c r="Q76" i="25" s="1"/>
  <c r="X84" i="25" a="1"/>
  <c r="X84" i="25" s="1"/>
  <c r="W85" i="25" a="1"/>
  <c r="W85" i="25" s="1"/>
  <c r="V86" i="25" a="1"/>
  <c r="V86" i="25" s="1"/>
  <c r="U88" i="25" a="1"/>
  <c r="U88" i="25" s="1"/>
  <c r="T93" i="25" a="1"/>
  <c r="T93" i="25" s="1"/>
  <c r="S94" i="25" a="1"/>
  <c r="S94" i="25" s="1"/>
  <c r="R95" i="25" a="1"/>
  <c r="R95" i="25" s="1"/>
  <c r="Q96" i="25" a="1"/>
  <c r="Q96" i="25" s="1"/>
  <c r="X102" i="25" a="1"/>
  <c r="X102" i="25" s="1"/>
  <c r="T104" i="25" a="1"/>
  <c r="T104" i="25" s="1"/>
  <c r="R66" i="25" a="1"/>
  <c r="R66" i="25" s="1"/>
  <c r="X67" i="25" a="1"/>
  <c r="X67" i="25" s="1"/>
  <c r="W68" i="25" a="1"/>
  <c r="W68" i="25" s="1"/>
  <c r="V69" i="25" a="1"/>
  <c r="V69" i="25" s="1"/>
  <c r="U73" i="25" a="1"/>
  <c r="U73" i="25" s="1"/>
  <c r="T74" i="25" a="1"/>
  <c r="T74" i="25" s="1"/>
  <c r="S75" i="25" a="1"/>
  <c r="S75" i="25" s="1"/>
  <c r="R76" i="25" a="1"/>
  <c r="R76" i="25" s="1"/>
  <c r="Q84" i="25" a="1"/>
  <c r="Q84" i="25" s="1"/>
  <c r="X85" i="25" a="1"/>
  <c r="X85" i="25" s="1"/>
  <c r="W86" i="25" a="1"/>
  <c r="W86" i="25" s="1"/>
  <c r="V88" i="25" a="1"/>
  <c r="V88" i="25" s="1"/>
  <c r="U93" i="25" a="1"/>
  <c r="U93" i="25" s="1"/>
  <c r="T94" i="25" a="1"/>
  <c r="T94" i="25" s="1"/>
  <c r="S95" i="25" a="1"/>
  <c r="S95" i="25" s="1"/>
  <c r="R96" i="25" a="1"/>
  <c r="R96" i="25" s="1"/>
  <c r="Q102" i="25" a="1"/>
  <c r="Q102" i="25" s="1"/>
  <c r="V103" i="25" a="1"/>
  <c r="V103" i="25" s="1"/>
  <c r="U104" i="25" a="1"/>
  <c r="U104" i="25" s="1"/>
  <c r="W74" i="25" a="1"/>
  <c r="W74" i="25" s="1"/>
  <c r="X94" i="25" a="1"/>
  <c r="X94" i="25" s="1"/>
  <c r="U65" i="25" a="1"/>
  <c r="U65" i="25" s="1"/>
  <c r="Q67" i="25" a="1"/>
  <c r="Q67" i="25" s="1"/>
  <c r="X68" i="25" a="1"/>
  <c r="X68" i="25" s="1"/>
  <c r="W69" i="25" a="1"/>
  <c r="W69" i="25" s="1"/>
  <c r="V73" i="25" a="1"/>
  <c r="V73" i="25" s="1"/>
  <c r="U74" i="25" a="1"/>
  <c r="U74" i="25" s="1"/>
  <c r="T75" i="25" a="1"/>
  <c r="T75" i="25" s="1"/>
  <c r="S76" i="25" a="1"/>
  <c r="S76" i="25" s="1"/>
  <c r="R84" i="25" a="1"/>
  <c r="R84" i="25" s="1"/>
  <c r="Q85" i="25" a="1"/>
  <c r="Q85" i="25" s="1"/>
  <c r="X86" i="25" a="1"/>
  <c r="X86" i="25" s="1"/>
  <c r="W88" i="25" a="1"/>
  <c r="W88" i="25" s="1"/>
  <c r="V93" i="25" a="1"/>
  <c r="V93" i="25" s="1"/>
  <c r="U94" i="25" a="1"/>
  <c r="U94" i="25" s="1"/>
  <c r="T95" i="25" a="1"/>
  <c r="T95" i="25" s="1"/>
  <c r="S96" i="25" a="1"/>
  <c r="S96" i="25" s="1"/>
  <c r="R102" i="25" a="1"/>
  <c r="R102" i="25" s="1"/>
  <c r="Q103" i="25" a="1"/>
  <c r="Q103" i="25" s="1"/>
  <c r="W103" i="25" a="1"/>
  <c r="W103" i="25" s="1"/>
  <c r="V104" i="25" a="1"/>
  <c r="V104" i="25" s="1"/>
  <c r="W94" i="25" a="1"/>
  <c r="W94" i="25" s="1"/>
  <c r="R103" i="25" a="1"/>
  <c r="R103" i="25" s="1"/>
  <c r="B86" i="27"/>
  <c r="B96" i="27"/>
  <c r="Q6" i="17"/>
  <c r="O4" i="17"/>
  <c r="M104" i="16"/>
  <c r="M103" i="16"/>
  <c r="M102" i="16"/>
  <c r="M96" i="16"/>
  <c r="M95" i="16"/>
  <c r="M94" i="16"/>
  <c r="M93" i="16"/>
  <c r="M88" i="16"/>
  <c r="M86" i="16"/>
  <c r="M85" i="16"/>
  <c r="M84" i="16"/>
  <c r="M76" i="16"/>
  <c r="M75" i="16"/>
  <c r="M74" i="16"/>
  <c r="M73" i="16"/>
  <c r="M69" i="16"/>
  <c r="M68" i="16"/>
  <c r="M67" i="16"/>
  <c r="M66" i="16"/>
  <c r="M65" i="16"/>
  <c r="M64" i="16"/>
  <c r="P4" i="16"/>
  <c r="O4" i="15"/>
  <c r="AW65" i="25" a="1"/>
  <c r="AW65" i="25" s="1"/>
  <c r="AW104" i="25" a="1"/>
  <c r="AW104" i="25" s="1"/>
  <c r="AW66" i="25" a="1"/>
  <c r="AW66" i="25" s="1"/>
  <c r="AW73" i="25" a="1"/>
  <c r="AW73" i="25" s="1"/>
  <c r="AW74" i="25" a="1"/>
  <c r="AW74" i="25" s="1"/>
  <c r="AW75" i="25" a="1"/>
  <c r="AW75" i="25" s="1"/>
  <c r="AW88" i="25" a="1"/>
  <c r="AW88" i="25" s="1"/>
  <c r="AW93" i="25" a="1"/>
  <c r="AW93" i="25" s="1"/>
  <c r="AW67" i="25" a="1"/>
  <c r="AW67" i="25" s="1"/>
  <c r="AW76" i="25" a="1"/>
  <c r="AW76" i="25" s="1"/>
  <c r="AW95" i="25" a="1"/>
  <c r="AW95" i="25" s="1"/>
  <c r="AW84" i="25" a="1"/>
  <c r="AW84" i="25" s="1"/>
  <c r="AW96" i="25" a="1"/>
  <c r="AW96" i="25" s="1"/>
  <c r="AW68" i="25" a="1"/>
  <c r="AW68" i="25" s="1"/>
  <c r="AW85" i="25" a="1"/>
  <c r="AW85" i="25" s="1"/>
  <c r="AW102" i="25" a="1"/>
  <c r="AW102" i="25" s="1"/>
  <c r="AW69" i="25" a="1"/>
  <c r="AW69" i="25" s="1"/>
  <c r="AW86" i="25" a="1"/>
  <c r="AW86" i="25" s="1"/>
  <c r="AX5" i="25"/>
  <c r="V64" i="25" a="1"/>
  <c r="V64" i="25" s="1"/>
  <c r="W64" i="25" a="1"/>
  <c r="W64" i="25" s="1"/>
  <c r="X64" i="25" a="1"/>
  <c r="X64" i="25" s="1"/>
  <c r="Q64" i="25" a="1"/>
  <c r="Q64" i="25" s="1"/>
  <c r="R64" i="25" a="1"/>
  <c r="R64" i="25" s="1"/>
  <c r="S64" i="25" a="1"/>
  <c r="S64" i="25" s="1"/>
  <c r="T64" i="25" a="1"/>
  <c r="T64" i="25" s="1"/>
  <c r="CE66" i="9"/>
  <c r="BC66" i="9"/>
  <c r="CE93" i="24"/>
  <c r="BT93" i="24" s="1"/>
  <c r="AA74" i="9"/>
  <c r="AO73" i="24"/>
  <c r="AD73" i="24" s="1"/>
  <c r="BC65" i="9"/>
  <c r="AA103" i="9"/>
  <c r="CS93" i="24"/>
  <c r="CH93" i="24" s="1"/>
  <c r="AR86" i="24"/>
  <c r="AO65" i="24"/>
  <c r="AD65" i="24" s="1"/>
  <c r="BQ64" i="24"/>
  <c r="BF64" i="24" s="1"/>
  <c r="CS64" i="24"/>
  <c r="CH64" i="24" s="1"/>
  <c r="BC64" i="24"/>
  <c r="AR64" i="24" s="1"/>
  <c r="CE64" i="24"/>
  <c r="BT64" i="24" s="1"/>
  <c r="BF102" i="24"/>
  <c r="BT67" i="24"/>
  <c r="AD104" i="24"/>
  <c r="CH74" i="24"/>
  <c r="BT94" i="24"/>
  <c r="P66" i="24"/>
  <c r="AD103" i="24"/>
  <c r="B103" i="24" s="1"/>
  <c r="BT104" i="24"/>
  <c r="BV6" i="24"/>
  <c r="BV7" i="24" s="1"/>
  <c r="P68" i="24"/>
  <c r="CH73" i="24"/>
  <c r="BT65" i="24"/>
  <c r="CM7" i="24"/>
  <c r="BT88" i="24"/>
  <c r="BI7" i="24"/>
  <c r="AD76" i="24"/>
  <c r="AR96" i="24"/>
  <c r="AR65" i="24"/>
  <c r="AR104" i="24"/>
  <c r="AR102" i="24"/>
  <c r="AR85" i="24"/>
  <c r="AR68" i="24"/>
  <c r="CH88" i="24"/>
  <c r="CH68" i="24"/>
  <c r="CH103" i="24"/>
  <c r="CH84" i="24"/>
  <c r="CH102" i="24"/>
  <c r="CH76" i="24"/>
  <c r="CH104" i="24"/>
  <c r="CH96" i="24"/>
  <c r="CH85" i="24"/>
  <c r="CH75" i="24"/>
  <c r="CH65" i="24"/>
  <c r="CH86" i="24"/>
  <c r="CH67" i="24"/>
  <c r="CH95" i="24"/>
  <c r="CH69" i="24"/>
  <c r="CH94" i="24"/>
  <c r="CH66" i="24"/>
  <c r="P74" i="24"/>
  <c r="P86" i="24"/>
  <c r="P85" i="24"/>
  <c r="P84" i="24"/>
  <c r="P104" i="24"/>
  <c r="P73" i="24"/>
  <c r="AS7" i="24"/>
  <c r="AT6" i="24"/>
  <c r="P69" i="24"/>
  <c r="P95" i="24"/>
  <c r="BF103" i="24"/>
  <c r="BF68" i="24"/>
  <c r="BF66" i="24"/>
  <c r="BF95" i="24"/>
  <c r="BF67" i="24"/>
  <c r="BF65" i="24"/>
  <c r="BF104" i="24"/>
  <c r="P103" i="24"/>
  <c r="AR84" i="24"/>
  <c r="P67" i="24"/>
  <c r="AR66" i="24"/>
  <c r="AR67" i="24"/>
  <c r="AR103" i="24"/>
  <c r="BH7" i="24"/>
  <c r="AD69" i="24"/>
  <c r="BJ7" i="24"/>
  <c r="CJ7" i="24"/>
  <c r="AD75" i="24"/>
  <c r="BT96" i="24"/>
  <c r="BT95" i="24"/>
  <c r="BT86" i="24"/>
  <c r="BT85" i="24"/>
  <c r="BT84" i="24"/>
  <c r="BT76" i="24"/>
  <c r="BT68" i="24"/>
  <c r="BT103" i="24"/>
  <c r="BT74" i="24"/>
  <c r="BT66" i="24"/>
  <c r="BK7" i="24"/>
  <c r="CK7" i="24"/>
  <c r="AD94" i="24"/>
  <c r="BT69" i="24"/>
  <c r="BL7" i="24"/>
  <c r="BT73" i="24"/>
  <c r="BT75" i="24"/>
  <c r="BT102" i="24"/>
  <c r="AD66" i="24"/>
  <c r="P88" i="24"/>
  <c r="CI88" i="24"/>
  <c r="BF74" i="24"/>
  <c r="BF94" i="24"/>
  <c r="AR76" i="24"/>
  <c r="BF93" i="24"/>
  <c r="BF69" i="24"/>
  <c r="BF73" i="24"/>
  <c r="AR69" i="24"/>
  <c r="AR88" i="24"/>
  <c r="AR73" i="24"/>
  <c r="AR93" i="24"/>
  <c r="AR74" i="24"/>
  <c r="AR94" i="24"/>
  <c r="AR75" i="24"/>
  <c r="AR95" i="24"/>
  <c r="AD102" i="24"/>
  <c r="AD93" i="24"/>
  <c r="AD88" i="24"/>
  <c r="AD67" i="24"/>
  <c r="AD95" i="24"/>
  <c r="AD84" i="24"/>
  <c r="AD85" i="24"/>
  <c r="AD68" i="24"/>
  <c r="B68" i="24" s="1"/>
  <c r="AD86" i="24"/>
  <c r="P93" i="24"/>
  <c r="P94" i="24"/>
  <c r="P75" i="24"/>
  <c r="P65" i="24"/>
  <c r="P76" i="24"/>
  <c r="P96" i="24"/>
  <c r="BF96" i="24"/>
  <c r="BF88" i="24"/>
  <c r="BF86" i="24"/>
  <c r="BF85" i="24"/>
  <c r="BF84" i="24"/>
  <c r="BF76" i="24"/>
  <c r="BF75" i="24"/>
  <c r="AG6" i="24"/>
  <c r="AF7" i="24"/>
  <c r="AE7" i="24"/>
  <c r="P64" i="24"/>
  <c r="Q5" i="24"/>
  <c r="Q7" i="24"/>
  <c r="CI5" i="24"/>
  <c r="BU5" i="24"/>
  <c r="BG5" i="24"/>
  <c r="AS5" i="24"/>
  <c r="AE5" i="24"/>
  <c r="AE86" i="24" s="1"/>
  <c r="R6" i="24"/>
  <c r="B104" i="12"/>
  <c r="B103" i="12"/>
  <c r="B102" i="12"/>
  <c r="B93" i="12"/>
  <c r="B88" i="12"/>
  <c r="B74" i="12"/>
  <c r="B73" i="12"/>
  <c r="AR8" i="9"/>
  <c r="AR5" i="9" s="1"/>
  <c r="BT8" i="9"/>
  <c r="BF8" i="9"/>
  <c r="BF5" i="9" s="1"/>
  <c r="AD8" i="9"/>
  <c r="AD5" i="9" s="1"/>
  <c r="AD88" i="9" s="1"/>
  <c r="CH9" i="9"/>
  <c r="CI8" i="9"/>
  <c r="CJ8" i="9" s="1"/>
  <c r="CK8" i="9" s="1"/>
  <c r="CL8" i="9" s="1"/>
  <c r="CM8" i="9" s="1"/>
  <c r="CN8" i="9" s="1"/>
  <c r="CO8" i="9" s="1"/>
  <c r="CP8" i="9" s="1"/>
  <c r="CI7" i="9"/>
  <c r="CJ7" i="9" s="1"/>
  <c r="CK7" i="9" s="1"/>
  <c r="CL7" i="9" s="1"/>
  <c r="CM7" i="9" s="1"/>
  <c r="CN7" i="9" s="1"/>
  <c r="CO7" i="9" s="1"/>
  <c r="CP7" i="9" s="1"/>
  <c r="CH5" i="9"/>
  <c r="BT9" i="9"/>
  <c r="BU7" i="9"/>
  <c r="BV7" i="9" s="1"/>
  <c r="BW7" i="9" s="1"/>
  <c r="BX7" i="9" s="1"/>
  <c r="BY7" i="9" s="1"/>
  <c r="BZ7" i="9" s="1"/>
  <c r="CA7" i="9" s="1"/>
  <c r="CB7" i="9" s="1"/>
  <c r="BT5" i="9"/>
  <c r="BF9" i="9"/>
  <c r="BG7" i="9"/>
  <c r="BH7" i="9" s="1"/>
  <c r="BI7" i="9" s="1"/>
  <c r="BJ7" i="9" s="1"/>
  <c r="BK7" i="9" s="1"/>
  <c r="BL7" i="9" s="1"/>
  <c r="BM7" i="9" s="1"/>
  <c r="BN7" i="9" s="1"/>
  <c r="AR9" i="9"/>
  <c r="AS7" i="9"/>
  <c r="AT7" i="9" s="1"/>
  <c r="AU7" i="9" s="1"/>
  <c r="AV7" i="9" s="1"/>
  <c r="AW7" i="9" s="1"/>
  <c r="AX7" i="9" s="1"/>
  <c r="AY7" i="9" s="1"/>
  <c r="AZ7" i="9" s="1"/>
  <c r="P9" i="9"/>
  <c r="Q7" i="9"/>
  <c r="R7" i="9" s="1"/>
  <c r="S7" i="9" s="1"/>
  <c r="T7" i="9" s="1"/>
  <c r="U7" i="9" s="1"/>
  <c r="V7" i="9" s="1"/>
  <c r="W7" i="9" s="1"/>
  <c r="X7" i="9" s="1"/>
  <c r="AN88" i="15"/>
  <c r="AL88" i="15"/>
  <c r="AJ88" i="15"/>
  <c r="AN86" i="15"/>
  <c r="AL86" i="15"/>
  <c r="AJ86" i="15"/>
  <c r="AN85" i="15"/>
  <c r="AL85" i="15"/>
  <c r="AJ85" i="15"/>
  <c r="AN76" i="15"/>
  <c r="AL76" i="15"/>
  <c r="AJ76" i="15"/>
  <c r="AN75" i="15"/>
  <c r="AL75" i="15"/>
  <c r="AJ75" i="15"/>
  <c r="AN74" i="15"/>
  <c r="AL74" i="15"/>
  <c r="AJ74" i="15"/>
  <c r="AN73" i="15"/>
  <c r="AL73" i="15"/>
  <c r="AJ73" i="15"/>
  <c r="AN96" i="16"/>
  <c r="AL96" i="16"/>
  <c r="AJ96" i="16"/>
  <c r="AN95" i="16"/>
  <c r="AL95" i="16"/>
  <c r="AJ95" i="16"/>
  <c r="AN94" i="16"/>
  <c r="AL94" i="16"/>
  <c r="AJ94" i="16"/>
  <c r="AN93" i="16"/>
  <c r="AL93" i="16"/>
  <c r="AJ93" i="16"/>
  <c r="BF104" i="17"/>
  <c r="BD104" i="17"/>
  <c r="BB104" i="17"/>
  <c r="BF103" i="17"/>
  <c r="BD103" i="17"/>
  <c r="BB103" i="17"/>
  <c r="BF102" i="17"/>
  <c r="BD102" i="17"/>
  <c r="BB102" i="17"/>
  <c r="AQ6" i="17"/>
  <c r="Y6" i="17"/>
  <c r="AR5" i="17"/>
  <c r="Z5" i="17"/>
  <c r="AR84" i="17" a="1"/>
  <c r="AR84" i="17" s="1"/>
  <c r="Z6" i="17"/>
  <c r="AQ6" i="16"/>
  <c r="Y6" i="16"/>
  <c r="AR5" i="16"/>
  <c r="Z5" i="16"/>
  <c r="AR84" i="16" a="1"/>
  <c r="AR84" i="16" s="1"/>
  <c r="Z6" i="16"/>
  <c r="AQ6" i="15"/>
  <c r="Y6" i="15"/>
  <c r="AR5" i="15"/>
  <c r="Z5" i="15"/>
  <c r="Z6" i="15"/>
  <c r="EL7" i="15"/>
  <c r="EL8" i="15" s="1"/>
  <c r="J114" i="17"/>
  <c r="OR104" i="17"/>
  <c r="OB104" i="17"/>
  <c r="NL104" i="17"/>
  <c r="MV104" i="17"/>
  <c r="MF104" i="17"/>
  <c r="LP104" i="17"/>
  <c r="KZ104" i="17"/>
  <c r="KJ104" i="17"/>
  <c r="JT104" i="17"/>
  <c r="JD104" i="17"/>
  <c r="IN104" i="17"/>
  <c r="HX104" i="17"/>
  <c r="HH104" i="17"/>
  <c r="GR104" i="17"/>
  <c r="GB104" i="17"/>
  <c r="FL104" i="17"/>
  <c r="EV104" i="17"/>
  <c r="EF104" i="17"/>
  <c r="DP104" i="17"/>
  <c r="CZ104" i="17"/>
  <c r="CJ104" i="17"/>
  <c r="BT104" i="17"/>
  <c r="AQ104" i="17" a="1"/>
  <c r="AQ104" i="17" s="1"/>
  <c r="AR104" i="17" s="1" a="1"/>
  <c r="AR104" i="17" s="1"/>
  <c r="AN104" i="17"/>
  <c r="AL104" i="17"/>
  <c r="AJ104" i="17"/>
  <c r="Y104" i="17" a="1"/>
  <c r="Y104" i="17" s="1"/>
  <c r="Z104" i="17" s="1" a="1"/>
  <c r="Z104" i="17" s="1"/>
  <c r="OR103" i="17"/>
  <c r="OB103" i="17"/>
  <c r="NL103" i="17"/>
  <c r="MV103" i="17"/>
  <c r="MF103" i="17"/>
  <c r="LP103" i="17"/>
  <c r="KZ103" i="17"/>
  <c r="KJ103" i="17"/>
  <c r="JT103" i="17"/>
  <c r="JD103" i="17"/>
  <c r="IN103" i="17"/>
  <c r="HX103" i="17"/>
  <c r="HH103" i="17"/>
  <c r="GR103" i="17"/>
  <c r="GB103" i="17"/>
  <c r="FL103" i="17"/>
  <c r="EV103" i="17"/>
  <c r="EF103" i="17"/>
  <c r="DP103" i="17"/>
  <c r="CZ103" i="17"/>
  <c r="CJ103" i="17"/>
  <c r="BT103" i="17"/>
  <c r="AQ103" i="17" a="1"/>
  <c r="AQ103" i="17" s="1"/>
  <c r="AR103" i="17" s="1" a="1"/>
  <c r="AR103" i="17" s="1"/>
  <c r="AN103" i="17"/>
  <c r="AL103" i="17"/>
  <c r="AJ103" i="17"/>
  <c r="Y103" i="17" a="1"/>
  <c r="Y103" i="17" s="1"/>
  <c r="Z103" i="17" s="1" a="1"/>
  <c r="Z103" i="17" s="1"/>
  <c r="OR102" i="17"/>
  <c r="OB102" i="17"/>
  <c r="NL102" i="17"/>
  <c r="MV102" i="17"/>
  <c r="MF102" i="17"/>
  <c r="LP102" i="17"/>
  <c r="KZ102" i="17"/>
  <c r="KJ102" i="17"/>
  <c r="JT102" i="17"/>
  <c r="JD102" i="17"/>
  <c r="IN102" i="17"/>
  <c r="HX102" i="17"/>
  <c r="HH102" i="17"/>
  <c r="GR102" i="17"/>
  <c r="GB102" i="17"/>
  <c r="FL102" i="17"/>
  <c r="EV102" i="17"/>
  <c r="EF102" i="17"/>
  <c r="DP102" i="17"/>
  <c r="CZ102" i="17"/>
  <c r="CJ102" i="17"/>
  <c r="BT102" i="17"/>
  <c r="AQ102" i="17" a="1"/>
  <c r="AQ102" i="17" s="1"/>
  <c r="AR102" i="17" s="1" a="1"/>
  <c r="AR102" i="17" s="1"/>
  <c r="AN102" i="17"/>
  <c r="AL102" i="17"/>
  <c r="AJ102" i="17"/>
  <c r="Y102" i="17" a="1"/>
  <c r="Y102" i="17" s="1"/>
  <c r="Z102" i="17" s="1" a="1"/>
  <c r="Z102" i="17" s="1"/>
  <c r="OR96" i="17"/>
  <c r="OB96" i="17"/>
  <c r="NL96" i="17"/>
  <c r="MV96" i="17"/>
  <c r="MF96" i="17"/>
  <c r="LP96" i="17"/>
  <c r="KZ96" i="17"/>
  <c r="KJ96" i="17"/>
  <c r="JT96" i="17"/>
  <c r="JD96" i="17"/>
  <c r="IN96" i="17"/>
  <c r="HX96" i="17"/>
  <c r="HH96" i="17"/>
  <c r="GR96" i="17"/>
  <c r="GB96" i="17"/>
  <c r="FL96" i="17"/>
  <c r="EV96" i="17"/>
  <c r="EF96" i="17"/>
  <c r="DP96" i="17"/>
  <c r="CZ96" i="17"/>
  <c r="CJ96" i="17"/>
  <c r="BT96" i="17"/>
  <c r="BF96" i="17"/>
  <c r="BD96" i="17"/>
  <c r="BB96" i="17"/>
  <c r="AQ96" i="17" a="1"/>
  <c r="AQ96" i="17" s="1"/>
  <c r="AR96" i="17" s="1" a="1"/>
  <c r="AR96" i="17" s="1"/>
  <c r="AN96" i="17"/>
  <c r="AL96" i="17"/>
  <c r="AJ96" i="17"/>
  <c r="Y96" i="17" a="1"/>
  <c r="Y96" i="17" s="1"/>
  <c r="OR95" i="17"/>
  <c r="OB95" i="17"/>
  <c r="NL95" i="17"/>
  <c r="MV95" i="17"/>
  <c r="MF95" i="17"/>
  <c r="LP95" i="17"/>
  <c r="KZ95" i="17"/>
  <c r="KJ95" i="17"/>
  <c r="JT95" i="17"/>
  <c r="JD95" i="17"/>
  <c r="IN95" i="17"/>
  <c r="HX95" i="17"/>
  <c r="HH95" i="17"/>
  <c r="GR95" i="17"/>
  <c r="GB95" i="17"/>
  <c r="FL95" i="17"/>
  <c r="EV95" i="17"/>
  <c r="EF95" i="17"/>
  <c r="DP95" i="17"/>
  <c r="CZ95" i="17"/>
  <c r="CJ95" i="17"/>
  <c r="BT95" i="17"/>
  <c r="BF95" i="17"/>
  <c r="BD95" i="17"/>
  <c r="BB95" i="17"/>
  <c r="AQ95" i="17" a="1"/>
  <c r="AQ95" i="17" s="1"/>
  <c r="AR95" i="17" s="1" a="1"/>
  <c r="AR95" i="17" s="1"/>
  <c r="AN95" i="17"/>
  <c r="AL95" i="17"/>
  <c r="AJ95" i="17"/>
  <c r="Y95" i="17" a="1"/>
  <c r="Y95" i="17" s="1"/>
  <c r="OR94" i="17"/>
  <c r="OB94" i="17"/>
  <c r="NL94" i="17"/>
  <c r="MV94" i="17"/>
  <c r="MF94" i="17"/>
  <c r="LP94" i="17"/>
  <c r="KZ94" i="17"/>
  <c r="KJ94" i="17"/>
  <c r="JT94" i="17"/>
  <c r="JD94" i="17"/>
  <c r="IN94" i="17"/>
  <c r="HX94" i="17"/>
  <c r="HH94" i="17"/>
  <c r="GR94" i="17"/>
  <c r="GB94" i="17"/>
  <c r="FL94" i="17"/>
  <c r="EV94" i="17"/>
  <c r="EF94" i="17"/>
  <c r="DP94" i="17"/>
  <c r="CZ94" i="17"/>
  <c r="CJ94" i="17"/>
  <c r="BT94" i="17"/>
  <c r="BF94" i="17"/>
  <c r="BD94" i="17"/>
  <c r="BB94" i="17"/>
  <c r="AQ94" i="17" a="1"/>
  <c r="AQ94" i="17" s="1"/>
  <c r="AR94" i="17" s="1" a="1"/>
  <c r="AR94" i="17" s="1"/>
  <c r="AN94" i="17"/>
  <c r="AL94" i="17"/>
  <c r="AJ94" i="17"/>
  <c r="Y94" i="17" a="1"/>
  <c r="Y94" i="17" s="1"/>
  <c r="OR93" i="17"/>
  <c r="OB93" i="17"/>
  <c r="NL93" i="17"/>
  <c r="MV93" i="17"/>
  <c r="MF93" i="17"/>
  <c r="LP93" i="17"/>
  <c r="KZ93" i="17"/>
  <c r="KJ93" i="17"/>
  <c r="JT93" i="17"/>
  <c r="JD93" i="17"/>
  <c r="IN93" i="17"/>
  <c r="HX93" i="17"/>
  <c r="HH93" i="17"/>
  <c r="GR93" i="17"/>
  <c r="GB93" i="17"/>
  <c r="FL93" i="17"/>
  <c r="EV93" i="17"/>
  <c r="EF93" i="17"/>
  <c r="DP93" i="17"/>
  <c r="CZ93" i="17"/>
  <c r="CJ93" i="17"/>
  <c r="BT93" i="17"/>
  <c r="BF93" i="17"/>
  <c r="BD93" i="17"/>
  <c r="BB93" i="17"/>
  <c r="AQ93" i="17" a="1"/>
  <c r="AQ93" i="17" s="1"/>
  <c r="AR93" i="17" s="1" a="1"/>
  <c r="AR93" i="17" s="1"/>
  <c r="AN93" i="17"/>
  <c r="AL93" i="17"/>
  <c r="AJ93" i="17"/>
  <c r="Y93" i="17" a="1"/>
  <c r="Y93" i="17" s="1"/>
  <c r="OR88" i="17"/>
  <c r="OB88" i="17"/>
  <c r="NL88" i="17"/>
  <c r="MV88" i="17"/>
  <c r="MF88" i="17"/>
  <c r="LP88" i="17"/>
  <c r="KZ88" i="17"/>
  <c r="KJ88" i="17"/>
  <c r="JT88" i="17"/>
  <c r="JD88" i="17"/>
  <c r="IN88" i="17"/>
  <c r="HX88" i="17"/>
  <c r="HH88" i="17"/>
  <c r="GR88" i="17"/>
  <c r="GB88" i="17"/>
  <c r="FL88" i="17"/>
  <c r="EV88" i="17"/>
  <c r="EF88" i="17"/>
  <c r="DP88" i="17"/>
  <c r="CZ88" i="17"/>
  <c r="CJ88" i="17"/>
  <c r="BT88" i="17"/>
  <c r="BF88" i="17"/>
  <c r="BD88" i="17"/>
  <c r="BB88" i="17"/>
  <c r="AQ88" i="17" a="1"/>
  <c r="AQ88" i="17" s="1"/>
  <c r="AR88" i="17" s="1" a="1"/>
  <c r="AR88" i="17" s="1"/>
  <c r="AN88" i="17"/>
  <c r="AL88" i="17"/>
  <c r="AJ88" i="17"/>
  <c r="Y88" i="17" a="1"/>
  <c r="Y88" i="17" s="1"/>
  <c r="OR86" i="17"/>
  <c r="OB86" i="17"/>
  <c r="NL86" i="17"/>
  <c r="MV86" i="17"/>
  <c r="MF86" i="17"/>
  <c r="LP86" i="17"/>
  <c r="KZ86" i="17"/>
  <c r="KJ86" i="17"/>
  <c r="JT86" i="17"/>
  <c r="JD86" i="17"/>
  <c r="IN86" i="17"/>
  <c r="HX86" i="17"/>
  <c r="HH86" i="17"/>
  <c r="GR86" i="17"/>
  <c r="GB86" i="17"/>
  <c r="FL86" i="17"/>
  <c r="EV86" i="17"/>
  <c r="EF86" i="17"/>
  <c r="DP86" i="17"/>
  <c r="CZ86" i="17"/>
  <c r="CJ86" i="17"/>
  <c r="BT86" i="17"/>
  <c r="BF86" i="17"/>
  <c r="BD86" i="17"/>
  <c r="BB86" i="17"/>
  <c r="AQ86" i="17" a="1"/>
  <c r="AQ86" i="17" s="1"/>
  <c r="AR86" i="17" s="1" a="1"/>
  <c r="AR86" i="17" s="1"/>
  <c r="AN86" i="17"/>
  <c r="AL86" i="17"/>
  <c r="AJ86" i="17"/>
  <c r="Y86" i="17" a="1"/>
  <c r="Y86" i="17" s="1"/>
  <c r="OR85" i="17"/>
  <c r="OB85" i="17"/>
  <c r="NL85" i="17"/>
  <c r="MV85" i="17"/>
  <c r="MF85" i="17"/>
  <c r="LP85" i="17"/>
  <c r="KZ85" i="17"/>
  <c r="KJ85" i="17"/>
  <c r="JT85" i="17"/>
  <c r="JD85" i="17"/>
  <c r="IN85" i="17"/>
  <c r="HX85" i="17"/>
  <c r="HH85" i="17"/>
  <c r="GR85" i="17"/>
  <c r="GB85" i="17"/>
  <c r="FL85" i="17"/>
  <c r="EV85" i="17"/>
  <c r="EF85" i="17"/>
  <c r="DP85" i="17"/>
  <c r="CZ85" i="17"/>
  <c r="CJ85" i="17"/>
  <c r="BT85" i="17"/>
  <c r="BF85" i="17"/>
  <c r="BD85" i="17"/>
  <c r="BB85" i="17"/>
  <c r="AQ85" i="17" a="1"/>
  <c r="AQ85" i="17" s="1"/>
  <c r="AR85" i="17" s="1" a="1"/>
  <c r="AR85" i="17" s="1"/>
  <c r="AN85" i="17"/>
  <c r="AL85" i="17"/>
  <c r="AJ85" i="17"/>
  <c r="Y85" i="17" a="1"/>
  <c r="Y85" i="17" s="1"/>
  <c r="OR76" i="17"/>
  <c r="OB76" i="17"/>
  <c r="NL76" i="17"/>
  <c r="MV76" i="17"/>
  <c r="MF76" i="17"/>
  <c r="LP76" i="17"/>
  <c r="KZ76" i="17"/>
  <c r="KJ76" i="17"/>
  <c r="JT76" i="17"/>
  <c r="JD76" i="17"/>
  <c r="IN76" i="17"/>
  <c r="HX76" i="17"/>
  <c r="HH76" i="17"/>
  <c r="GR76" i="17"/>
  <c r="GB76" i="17"/>
  <c r="FL76" i="17"/>
  <c r="EV76" i="17"/>
  <c r="EF76" i="17"/>
  <c r="DP76" i="17"/>
  <c r="CZ76" i="17"/>
  <c r="CJ76" i="17"/>
  <c r="BT76" i="17"/>
  <c r="BF76" i="17"/>
  <c r="BD76" i="17"/>
  <c r="BB76" i="17"/>
  <c r="AQ76" i="17" a="1"/>
  <c r="AQ76" i="17" s="1"/>
  <c r="AR76" i="17" s="1" a="1"/>
  <c r="AR76" i="17" s="1"/>
  <c r="AN76" i="17"/>
  <c r="AL76" i="17"/>
  <c r="AJ76" i="17"/>
  <c r="Y76" i="17" a="1"/>
  <c r="Y76" i="17" s="1"/>
  <c r="OR75" i="17"/>
  <c r="OB75" i="17"/>
  <c r="NL75" i="17"/>
  <c r="MV75" i="17"/>
  <c r="MF75" i="17"/>
  <c r="LP75" i="17"/>
  <c r="KZ75" i="17"/>
  <c r="KJ75" i="17"/>
  <c r="JT75" i="17"/>
  <c r="JD75" i="17"/>
  <c r="IN75" i="17"/>
  <c r="HX75" i="17"/>
  <c r="HH75" i="17"/>
  <c r="GR75" i="17"/>
  <c r="GB75" i="17"/>
  <c r="FL75" i="17"/>
  <c r="EV75" i="17"/>
  <c r="EF75" i="17"/>
  <c r="DP75" i="17"/>
  <c r="CZ75" i="17"/>
  <c r="CJ75" i="17"/>
  <c r="BT75" i="17"/>
  <c r="BF75" i="17"/>
  <c r="BD75" i="17"/>
  <c r="BB75" i="17"/>
  <c r="AQ75" i="17" a="1"/>
  <c r="AQ75" i="17" s="1"/>
  <c r="AR75" i="17" s="1" a="1"/>
  <c r="AR75" i="17" s="1"/>
  <c r="AN75" i="17"/>
  <c r="AL75" i="17"/>
  <c r="AJ75" i="17"/>
  <c r="Y75" i="17" a="1"/>
  <c r="Y75" i="17" s="1"/>
  <c r="OR74" i="17"/>
  <c r="OB74" i="17"/>
  <c r="NL74" i="17"/>
  <c r="MV74" i="17"/>
  <c r="MF74" i="17"/>
  <c r="LP74" i="17"/>
  <c r="KZ74" i="17"/>
  <c r="KJ74" i="17"/>
  <c r="JT74" i="17"/>
  <c r="JD74" i="17"/>
  <c r="IN74" i="17"/>
  <c r="HX74" i="17"/>
  <c r="HH74" i="17"/>
  <c r="GR74" i="17"/>
  <c r="GB74" i="17"/>
  <c r="FL74" i="17"/>
  <c r="EV74" i="17"/>
  <c r="EF74" i="17"/>
  <c r="DP74" i="17"/>
  <c r="CZ74" i="17"/>
  <c r="CJ74" i="17"/>
  <c r="BT74" i="17"/>
  <c r="BF74" i="17"/>
  <c r="BD74" i="17"/>
  <c r="BB74" i="17"/>
  <c r="AQ74" i="17" a="1"/>
  <c r="AQ74" i="17" s="1"/>
  <c r="AR74" i="17" s="1" a="1"/>
  <c r="AR74" i="17" s="1"/>
  <c r="AN74" i="17"/>
  <c r="AL74" i="17"/>
  <c r="AJ74" i="17"/>
  <c r="Y74" i="17" a="1"/>
  <c r="Y74" i="17" s="1"/>
  <c r="OR73" i="17"/>
  <c r="OB73" i="17"/>
  <c r="NL73" i="17"/>
  <c r="MV73" i="17"/>
  <c r="MF73" i="17"/>
  <c r="LP73" i="17"/>
  <c r="KZ73" i="17"/>
  <c r="KJ73" i="17"/>
  <c r="JT73" i="17"/>
  <c r="JD73" i="17"/>
  <c r="IN73" i="17"/>
  <c r="HX73" i="17"/>
  <c r="HH73" i="17"/>
  <c r="GR73" i="17"/>
  <c r="GB73" i="17"/>
  <c r="FL73" i="17"/>
  <c r="EV73" i="17"/>
  <c r="EF73" i="17"/>
  <c r="DP73" i="17"/>
  <c r="CZ73" i="17"/>
  <c r="CJ73" i="17"/>
  <c r="BT73" i="17"/>
  <c r="BF73" i="17"/>
  <c r="BD73" i="17"/>
  <c r="BB73" i="17"/>
  <c r="AQ73" i="17" a="1"/>
  <c r="AQ73" i="17" s="1"/>
  <c r="AR73" i="17" s="1" a="1"/>
  <c r="AR73" i="17" s="1"/>
  <c r="AN73" i="17"/>
  <c r="AL73" i="17"/>
  <c r="AJ73" i="17"/>
  <c r="Y73" i="17" a="1"/>
  <c r="Y73" i="17" s="1"/>
  <c r="OR69" i="17"/>
  <c r="OB69" i="17"/>
  <c r="NL69" i="17"/>
  <c r="MV69" i="17"/>
  <c r="MF69" i="17"/>
  <c r="LP69" i="17"/>
  <c r="KZ69" i="17"/>
  <c r="KJ69" i="17"/>
  <c r="JT69" i="17"/>
  <c r="JD69" i="17"/>
  <c r="IN69" i="17"/>
  <c r="HX69" i="17"/>
  <c r="HH69" i="17"/>
  <c r="GR69" i="17"/>
  <c r="GB69" i="17"/>
  <c r="FL69" i="17"/>
  <c r="EV69" i="17"/>
  <c r="EF69" i="17"/>
  <c r="DP69" i="17"/>
  <c r="CZ69" i="17"/>
  <c r="CJ69" i="17"/>
  <c r="BT69" i="17"/>
  <c r="BF69" i="17"/>
  <c r="BD69" i="17"/>
  <c r="BB69" i="17"/>
  <c r="AQ69" i="17" a="1"/>
  <c r="AQ69" i="17" s="1"/>
  <c r="AR69" i="17" s="1" a="1"/>
  <c r="AR69" i="17" s="1"/>
  <c r="AN69" i="17"/>
  <c r="AL69" i="17"/>
  <c r="AJ69" i="17"/>
  <c r="Y69" i="17" a="1"/>
  <c r="Y69" i="17" s="1"/>
  <c r="OR68" i="17"/>
  <c r="OB68" i="17"/>
  <c r="NL68" i="17"/>
  <c r="MV68" i="17"/>
  <c r="MF68" i="17"/>
  <c r="LP68" i="17"/>
  <c r="KZ68" i="17"/>
  <c r="KJ68" i="17"/>
  <c r="JT68" i="17"/>
  <c r="JD68" i="17"/>
  <c r="IN68" i="17"/>
  <c r="HX68" i="17"/>
  <c r="HH68" i="17"/>
  <c r="GR68" i="17"/>
  <c r="GB68" i="17"/>
  <c r="FL68" i="17"/>
  <c r="EV68" i="17"/>
  <c r="EF68" i="17"/>
  <c r="DP68" i="17"/>
  <c r="CZ68" i="17"/>
  <c r="CJ68" i="17"/>
  <c r="BT68" i="17"/>
  <c r="BF68" i="17"/>
  <c r="BD68" i="17"/>
  <c r="BB68" i="17"/>
  <c r="AQ68" i="17" a="1"/>
  <c r="AQ68" i="17" s="1"/>
  <c r="AN68" i="17"/>
  <c r="AL68" i="17"/>
  <c r="AJ68" i="17"/>
  <c r="Y68" i="17" a="1"/>
  <c r="Y68" i="17" s="1"/>
  <c r="Z68" i="17" s="1" a="1"/>
  <c r="Z68" i="17" s="1"/>
  <c r="OR67" i="17"/>
  <c r="OB67" i="17"/>
  <c r="NL67" i="17"/>
  <c r="MV67" i="17"/>
  <c r="MF67" i="17"/>
  <c r="LP67" i="17"/>
  <c r="KZ67" i="17"/>
  <c r="KJ67" i="17"/>
  <c r="JT67" i="17"/>
  <c r="JD67" i="17"/>
  <c r="IN67" i="17"/>
  <c r="HX67" i="17"/>
  <c r="HH67" i="17"/>
  <c r="GR67" i="17"/>
  <c r="GB67" i="17"/>
  <c r="FL67" i="17"/>
  <c r="EV67" i="17"/>
  <c r="EF67" i="17"/>
  <c r="DP67" i="17"/>
  <c r="CZ67" i="17"/>
  <c r="CJ67" i="17"/>
  <c r="BT67" i="17"/>
  <c r="BF67" i="17"/>
  <c r="BD67" i="17"/>
  <c r="BB67" i="17"/>
  <c r="AQ67" i="17" a="1"/>
  <c r="AQ67" i="17" s="1"/>
  <c r="AR67" i="17" s="1" a="1"/>
  <c r="AR67" i="17" s="1"/>
  <c r="AN67" i="17"/>
  <c r="AL67" i="17"/>
  <c r="AJ67" i="17"/>
  <c r="Y67" i="17" a="1"/>
  <c r="Y67" i="17" s="1"/>
  <c r="Z67" i="17" s="1" a="1"/>
  <c r="Z67" i="17" s="1"/>
  <c r="OR66" i="17"/>
  <c r="OB66" i="17"/>
  <c r="NL66" i="17"/>
  <c r="MV66" i="17"/>
  <c r="MF66" i="17"/>
  <c r="LP66" i="17"/>
  <c r="KZ66" i="17"/>
  <c r="KJ66" i="17"/>
  <c r="JT66" i="17"/>
  <c r="JD66" i="17"/>
  <c r="IN66" i="17"/>
  <c r="HX66" i="17"/>
  <c r="HH66" i="17"/>
  <c r="GR66" i="17"/>
  <c r="GB66" i="17"/>
  <c r="FL66" i="17"/>
  <c r="EV66" i="17"/>
  <c r="EF66" i="17"/>
  <c r="DP66" i="17"/>
  <c r="CZ66" i="17"/>
  <c r="CJ66" i="17"/>
  <c r="BT66" i="17"/>
  <c r="BF66" i="17"/>
  <c r="BD66" i="17"/>
  <c r="BB66" i="17"/>
  <c r="AQ66" i="17" a="1"/>
  <c r="AQ66" i="17" s="1"/>
  <c r="AR66" i="17" s="1" a="1"/>
  <c r="AR66" i="17" s="1"/>
  <c r="AN66" i="17"/>
  <c r="AL66" i="17"/>
  <c r="AJ66" i="17"/>
  <c r="Y66" i="17" a="1"/>
  <c r="Y66" i="17" s="1"/>
  <c r="OR65" i="17"/>
  <c r="OB65" i="17"/>
  <c r="NL65" i="17"/>
  <c r="MV65" i="17"/>
  <c r="MF65" i="17"/>
  <c r="LP65" i="17"/>
  <c r="KZ65" i="17"/>
  <c r="KJ65" i="17"/>
  <c r="JT65" i="17"/>
  <c r="JD65" i="17"/>
  <c r="IN65" i="17"/>
  <c r="HX65" i="17"/>
  <c r="HH65" i="17"/>
  <c r="GR65" i="17"/>
  <c r="GB65" i="17"/>
  <c r="FL65" i="17"/>
  <c r="EV65" i="17"/>
  <c r="EF65" i="17"/>
  <c r="DP65" i="17"/>
  <c r="CZ65" i="17"/>
  <c r="CJ65" i="17"/>
  <c r="BT65" i="17"/>
  <c r="BF65" i="17"/>
  <c r="BD65" i="17"/>
  <c r="BB65" i="17"/>
  <c r="AQ65" i="17" a="1"/>
  <c r="AQ65" i="17" s="1"/>
  <c r="AR65" i="17" s="1" a="1"/>
  <c r="AR65" i="17" s="1"/>
  <c r="AN65" i="17"/>
  <c r="AL65" i="17"/>
  <c r="AJ65" i="17"/>
  <c r="Y65" i="17" a="1"/>
  <c r="Y65" i="17" s="1"/>
  <c r="OR64" i="17"/>
  <c r="OB64" i="17"/>
  <c r="NL64" i="17"/>
  <c r="MV64" i="17"/>
  <c r="MF64" i="17"/>
  <c r="LP64" i="17"/>
  <c r="KZ64" i="17"/>
  <c r="JT64" i="17"/>
  <c r="JD64" i="17"/>
  <c r="IN64" i="17"/>
  <c r="HX64" i="17"/>
  <c r="HH64" i="17"/>
  <c r="GR64" i="17"/>
  <c r="GB64" i="17"/>
  <c r="FL64" i="17"/>
  <c r="EV64" i="17"/>
  <c r="EF64" i="17"/>
  <c r="DP64" i="17"/>
  <c r="BF64" i="17"/>
  <c r="BD64" i="17"/>
  <c r="BB64" i="17"/>
  <c r="AQ64" i="17" a="1"/>
  <c r="AQ64" i="17" s="1"/>
  <c r="AR64" i="17" s="1" a="1"/>
  <c r="AR64" i="17" s="1"/>
  <c r="AN64" i="17"/>
  <c r="AL64" i="17"/>
  <c r="Y64" i="17" a="1"/>
  <c r="Y64" i="17" s="1"/>
  <c r="J114" i="16"/>
  <c r="OR104" i="16"/>
  <c r="OB104" i="16"/>
  <c r="NL104" i="16"/>
  <c r="MV104" i="16"/>
  <c r="MF104" i="16"/>
  <c r="LP104" i="16"/>
  <c r="KZ104" i="16"/>
  <c r="KJ104" i="16"/>
  <c r="JT104" i="16"/>
  <c r="JD104" i="16"/>
  <c r="IN104" i="16"/>
  <c r="HX104" i="16"/>
  <c r="HH104" i="16"/>
  <c r="GR104" i="16"/>
  <c r="GB104" i="16"/>
  <c r="FL104" i="16"/>
  <c r="EV104" i="16"/>
  <c r="EF104" i="16"/>
  <c r="DP104" i="16"/>
  <c r="CZ104" i="16"/>
  <c r="CJ104" i="16"/>
  <c r="BT104" i="16"/>
  <c r="BF104" i="16"/>
  <c r="BD104" i="16"/>
  <c r="BB104" i="16"/>
  <c r="AQ104" i="16" a="1"/>
  <c r="AQ104" i="16" s="1"/>
  <c r="AR104" i="16" s="1" a="1"/>
  <c r="AR104" i="16" s="1"/>
  <c r="AN104" i="16"/>
  <c r="AL104" i="16"/>
  <c r="AJ104" i="16"/>
  <c r="Y104" i="16" a="1"/>
  <c r="Y104" i="16" s="1"/>
  <c r="OR103" i="16"/>
  <c r="OB103" i="16"/>
  <c r="NL103" i="16"/>
  <c r="MV103" i="16"/>
  <c r="MF103" i="16"/>
  <c r="LP103" i="16"/>
  <c r="KZ103" i="16"/>
  <c r="KJ103" i="16"/>
  <c r="JT103" i="16"/>
  <c r="JD103" i="16"/>
  <c r="IN103" i="16"/>
  <c r="HX103" i="16"/>
  <c r="HH103" i="16"/>
  <c r="GR103" i="16"/>
  <c r="GB103" i="16"/>
  <c r="FL103" i="16"/>
  <c r="EV103" i="16"/>
  <c r="EF103" i="16"/>
  <c r="DP103" i="16"/>
  <c r="CZ103" i="16"/>
  <c r="CJ103" i="16"/>
  <c r="BT103" i="16"/>
  <c r="BF103" i="16"/>
  <c r="BD103" i="16"/>
  <c r="BB103" i="16"/>
  <c r="AQ103" i="16" a="1"/>
  <c r="AQ103" i="16" s="1"/>
  <c r="AR103" i="16" s="1" a="1"/>
  <c r="AR103" i="16" s="1"/>
  <c r="AN103" i="16"/>
  <c r="AL103" i="16"/>
  <c r="AJ103" i="16"/>
  <c r="Y103" i="16" a="1"/>
  <c r="Y103" i="16" s="1"/>
  <c r="OR102" i="16"/>
  <c r="OB102" i="16"/>
  <c r="NL102" i="16"/>
  <c r="MV102" i="16"/>
  <c r="MF102" i="16"/>
  <c r="LP102" i="16"/>
  <c r="KZ102" i="16"/>
  <c r="KJ102" i="16"/>
  <c r="JT102" i="16"/>
  <c r="JD102" i="16"/>
  <c r="IN102" i="16"/>
  <c r="HX102" i="16"/>
  <c r="HH102" i="16"/>
  <c r="GR102" i="16"/>
  <c r="GB102" i="16"/>
  <c r="FL102" i="16"/>
  <c r="EV102" i="16"/>
  <c r="EF102" i="16"/>
  <c r="DP102" i="16"/>
  <c r="CZ102" i="16"/>
  <c r="CJ102" i="16"/>
  <c r="BT102" i="16"/>
  <c r="BF102" i="16"/>
  <c r="BD102" i="16"/>
  <c r="BB102" i="16"/>
  <c r="AQ102" i="16" a="1"/>
  <c r="AQ102" i="16" s="1"/>
  <c r="AR102" i="16" s="1" a="1"/>
  <c r="AR102" i="16" s="1"/>
  <c r="AN102" i="16"/>
  <c r="AL102" i="16"/>
  <c r="AJ102" i="16"/>
  <c r="Y102" i="16" a="1"/>
  <c r="Y102" i="16" s="1"/>
  <c r="OR96" i="16"/>
  <c r="OB96" i="16"/>
  <c r="NL96" i="16"/>
  <c r="MV96" i="16"/>
  <c r="MF96" i="16"/>
  <c r="LP96" i="16"/>
  <c r="KZ96" i="16"/>
  <c r="KJ96" i="16"/>
  <c r="JT96" i="16"/>
  <c r="JD96" i="16"/>
  <c r="IN96" i="16"/>
  <c r="HX96" i="16"/>
  <c r="HH96" i="16"/>
  <c r="GR96" i="16"/>
  <c r="GB96" i="16"/>
  <c r="FL96" i="16"/>
  <c r="EV96" i="16"/>
  <c r="EF96" i="16"/>
  <c r="DP96" i="16"/>
  <c r="CZ96" i="16"/>
  <c r="CJ96" i="16"/>
  <c r="BT96" i="16"/>
  <c r="BF96" i="16"/>
  <c r="BD96" i="16"/>
  <c r="BB96" i="16"/>
  <c r="AQ96" i="16" a="1"/>
  <c r="AQ96" i="16" s="1"/>
  <c r="AR96" i="16" s="1" a="1"/>
  <c r="AR96" i="16" s="1"/>
  <c r="Y96" i="16" a="1"/>
  <c r="Y96" i="16" s="1"/>
  <c r="OR95" i="16"/>
  <c r="OB95" i="16"/>
  <c r="NL95" i="16"/>
  <c r="MV95" i="16"/>
  <c r="MF95" i="16"/>
  <c r="LP95" i="16"/>
  <c r="KZ95" i="16"/>
  <c r="KJ95" i="16"/>
  <c r="JT95" i="16"/>
  <c r="JD95" i="16"/>
  <c r="IN95" i="16"/>
  <c r="HX95" i="16"/>
  <c r="HH95" i="16"/>
  <c r="GR95" i="16"/>
  <c r="GB95" i="16"/>
  <c r="FL95" i="16"/>
  <c r="EV95" i="16"/>
  <c r="EF95" i="16"/>
  <c r="DP95" i="16"/>
  <c r="CZ95" i="16"/>
  <c r="CJ95" i="16"/>
  <c r="BT95" i="16"/>
  <c r="BF95" i="16"/>
  <c r="BD95" i="16"/>
  <c r="BB95" i="16"/>
  <c r="AQ95" i="16" a="1"/>
  <c r="AQ95" i="16" s="1"/>
  <c r="AR95" i="16" s="1" a="1"/>
  <c r="AR95" i="16" s="1"/>
  <c r="Y95" i="16" a="1"/>
  <c r="Y95" i="16" s="1"/>
  <c r="OR94" i="16"/>
  <c r="OB94" i="16"/>
  <c r="NL94" i="16"/>
  <c r="MV94" i="16"/>
  <c r="MF94" i="16"/>
  <c r="LP94" i="16"/>
  <c r="KZ94" i="16"/>
  <c r="KJ94" i="16"/>
  <c r="JT94" i="16"/>
  <c r="JD94" i="16"/>
  <c r="IN94" i="16"/>
  <c r="HX94" i="16"/>
  <c r="HH94" i="16"/>
  <c r="GR94" i="16"/>
  <c r="GB94" i="16"/>
  <c r="FL94" i="16"/>
  <c r="EV94" i="16"/>
  <c r="EF94" i="16"/>
  <c r="DP94" i="16"/>
  <c r="CZ94" i="16"/>
  <c r="CJ94" i="16"/>
  <c r="BT94" i="16"/>
  <c r="BF94" i="16"/>
  <c r="BD94" i="16"/>
  <c r="BB94" i="16"/>
  <c r="AQ94" i="16" a="1"/>
  <c r="AQ94" i="16" s="1"/>
  <c r="AR94" i="16" s="1" a="1"/>
  <c r="AR94" i="16" s="1"/>
  <c r="Y94" i="16" a="1"/>
  <c r="Y94" i="16" s="1"/>
  <c r="OR93" i="16"/>
  <c r="OB93" i="16"/>
  <c r="NL93" i="16"/>
  <c r="MV93" i="16"/>
  <c r="MF93" i="16"/>
  <c r="LP93" i="16"/>
  <c r="KZ93" i="16"/>
  <c r="KJ93" i="16"/>
  <c r="JT93" i="16"/>
  <c r="JD93" i="16"/>
  <c r="IN93" i="16"/>
  <c r="HX93" i="16"/>
  <c r="HH93" i="16"/>
  <c r="GR93" i="16"/>
  <c r="GB93" i="16"/>
  <c r="FL93" i="16"/>
  <c r="EV93" i="16"/>
  <c r="EF93" i="16"/>
  <c r="DP93" i="16"/>
  <c r="CZ93" i="16"/>
  <c r="CJ93" i="16"/>
  <c r="BT93" i="16"/>
  <c r="BF93" i="16"/>
  <c r="BD93" i="16"/>
  <c r="BB93" i="16"/>
  <c r="AQ93" i="16" a="1"/>
  <c r="AQ93" i="16" s="1"/>
  <c r="AR93" i="16" s="1" a="1"/>
  <c r="AR93" i="16" s="1"/>
  <c r="Y93" i="16" a="1"/>
  <c r="Y93" i="16" s="1"/>
  <c r="Z93" i="16" s="1" a="1"/>
  <c r="Z93" i="16" s="1"/>
  <c r="OR88" i="16"/>
  <c r="OB88" i="16"/>
  <c r="NL88" i="16"/>
  <c r="MV88" i="16"/>
  <c r="MF88" i="16"/>
  <c r="LP88" i="16"/>
  <c r="KZ88" i="16"/>
  <c r="KJ88" i="16"/>
  <c r="JT88" i="16"/>
  <c r="JD88" i="16"/>
  <c r="IN88" i="16"/>
  <c r="HX88" i="16"/>
  <c r="HH88" i="16"/>
  <c r="GR88" i="16"/>
  <c r="GB88" i="16"/>
  <c r="FL88" i="16"/>
  <c r="EV88" i="16"/>
  <c r="EF88" i="16"/>
  <c r="DP88" i="16"/>
  <c r="CZ88" i="16"/>
  <c r="CJ88" i="16"/>
  <c r="BT88" i="16"/>
  <c r="BF88" i="16"/>
  <c r="BD88" i="16"/>
  <c r="BB88" i="16"/>
  <c r="AQ88" i="16" a="1"/>
  <c r="AQ88" i="16" s="1"/>
  <c r="AR88" i="16" s="1" a="1"/>
  <c r="AR88" i="16" s="1"/>
  <c r="AN88" i="16"/>
  <c r="AL88" i="16"/>
  <c r="AJ88" i="16"/>
  <c r="Y88" i="16" a="1"/>
  <c r="Y88" i="16" s="1"/>
  <c r="OR86" i="16"/>
  <c r="OB86" i="16"/>
  <c r="NL86" i="16"/>
  <c r="MV86" i="16"/>
  <c r="MF86" i="16"/>
  <c r="LP86" i="16"/>
  <c r="KZ86" i="16"/>
  <c r="KJ86" i="16"/>
  <c r="JT86" i="16"/>
  <c r="JD86" i="16"/>
  <c r="IN86" i="16"/>
  <c r="HX86" i="16"/>
  <c r="HH86" i="16"/>
  <c r="GR86" i="16"/>
  <c r="GB86" i="16"/>
  <c r="FL86" i="16"/>
  <c r="EV86" i="16"/>
  <c r="EF86" i="16"/>
  <c r="DP86" i="16"/>
  <c r="CZ86" i="16"/>
  <c r="CJ86" i="16"/>
  <c r="BT86" i="16"/>
  <c r="BF86" i="16"/>
  <c r="BD86" i="16"/>
  <c r="BB86" i="16"/>
  <c r="AQ86" i="16" a="1"/>
  <c r="AQ86" i="16" s="1"/>
  <c r="AR86" i="16" s="1" a="1"/>
  <c r="AR86" i="16" s="1"/>
  <c r="AN86" i="16"/>
  <c r="AL86" i="16"/>
  <c r="AJ86" i="16"/>
  <c r="Y86" i="16" a="1"/>
  <c r="Y86" i="16" s="1"/>
  <c r="Z86" i="16" s="1" a="1"/>
  <c r="Z86" i="16" s="1"/>
  <c r="OR85" i="16"/>
  <c r="OB85" i="16"/>
  <c r="NL85" i="16"/>
  <c r="MV85" i="16"/>
  <c r="MF85" i="16"/>
  <c r="LP85" i="16"/>
  <c r="KZ85" i="16"/>
  <c r="KJ85" i="16"/>
  <c r="JT85" i="16"/>
  <c r="JD85" i="16"/>
  <c r="IN85" i="16"/>
  <c r="HX85" i="16"/>
  <c r="HH85" i="16"/>
  <c r="GR85" i="16"/>
  <c r="GB85" i="16"/>
  <c r="FL85" i="16"/>
  <c r="EV85" i="16"/>
  <c r="EF85" i="16"/>
  <c r="DP85" i="16"/>
  <c r="CZ85" i="16"/>
  <c r="CJ85" i="16"/>
  <c r="BT85" i="16"/>
  <c r="BF85" i="16"/>
  <c r="BD85" i="16"/>
  <c r="BB85" i="16"/>
  <c r="AQ85" i="16" a="1"/>
  <c r="AQ85" i="16" s="1"/>
  <c r="AR85" i="16" s="1" a="1"/>
  <c r="AR85" i="16" s="1"/>
  <c r="AN85" i="16"/>
  <c r="AL85" i="16"/>
  <c r="AJ85" i="16"/>
  <c r="Y85" i="16" a="1"/>
  <c r="Y85" i="16" s="1"/>
  <c r="Z85" i="16" s="1" a="1"/>
  <c r="Z85" i="16" s="1"/>
  <c r="OR76" i="16"/>
  <c r="OB76" i="16"/>
  <c r="NL76" i="16"/>
  <c r="MV76" i="16"/>
  <c r="MF76" i="16"/>
  <c r="LP76" i="16"/>
  <c r="KZ76" i="16"/>
  <c r="KJ76" i="16"/>
  <c r="JT76" i="16"/>
  <c r="JD76" i="16"/>
  <c r="IN76" i="16"/>
  <c r="HX76" i="16"/>
  <c r="HH76" i="16"/>
  <c r="GR76" i="16"/>
  <c r="GB76" i="16"/>
  <c r="FL76" i="16"/>
  <c r="EV76" i="16"/>
  <c r="EF76" i="16"/>
  <c r="DP76" i="16"/>
  <c r="CZ76" i="16"/>
  <c r="CJ76" i="16"/>
  <c r="BT76" i="16"/>
  <c r="BF76" i="16"/>
  <c r="BD76" i="16"/>
  <c r="BB76" i="16"/>
  <c r="AQ76" i="16" a="1"/>
  <c r="AQ76" i="16" s="1"/>
  <c r="AR76" i="16" s="1" a="1"/>
  <c r="AR76" i="16" s="1"/>
  <c r="AN76" i="16"/>
  <c r="AL76" i="16"/>
  <c r="AJ76" i="16"/>
  <c r="Y76" i="16" a="1"/>
  <c r="Y76" i="16" s="1"/>
  <c r="Z76" i="16" s="1" a="1"/>
  <c r="Z76" i="16" s="1"/>
  <c r="OR75" i="16"/>
  <c r="OB75" i="16"/>
  <c r="NL75" i="16"/>
  <c r="MV75" i="16"/>
  <c r="MF75" i="16"/>
  <c r="LP75" i="16"/>
  <c r="KZ75" i="16"/>
  <c r="KJ75" i="16"/>
  <c r="JT75" i="16"/>
  <c r="JD75" i="16"/>
  <c r="IN75" i="16"/>
  <c r="HX75" i="16"/>
  <c r="HH75" i="16"/>
  <c r="GR75" i="16"/>
  <c r="GB75" i="16"/>
  <c r="FL75" i="16"/>
  <c r="EV75" i="16"/>
  <c r="EF75" i="16"/>
  <c r="DP75" i="16"/>
  <c r="CZ75" i="16"/>
  <c r="CJ75" i="16"/>
  <c r="BT75" i="16"/>
  <c r="BF75" i="16"/>
  <c r="BD75" i="16"/>
  <c r="BB75" i="16"/>
  <c r="AQ75" i="16" a="1"/>
  <c r="AQ75" i="16" s="1"/>
  <c r="AR75" i="16" s="1" a="1"/>
  <c r="AR75" i="16" s="1"/>
  <c r="AN75" i="16"/>
  <c r="AL75" i="16"/>
  <c r="AJ75" i="16"/>
  <c r="Y75" i="16" a="1"/>
  <c r="Y75" i="16" s="1"/>
  <c r="OR74" i="16"/>
  <c r="OB74" i="16"/>
  <c r="NL74" i="16"/>
  <c r="MV74" i="16"/>
  <c r="MF74" i="16"/>
  <c r="LP74" i="16"/>
  <c r="KZ74" i="16"/>
  <c r="KJ74" i="16"/>
  <c r="JT74" i="16"/>
  <c r="JD74" i="16"/>
  <c r="IN74" i="16"/>
  <c r="HX74" i="16"/>
  <c r="HH74" i="16"/>
  <c r="GR74" i="16"/>
  <c r="GB74" i="16"/>
  <c r="FL74" i="16"/>
  <c r="EV74" i="16"/>
  <c r="EF74" i="16"/>
  <c r="DP74" i="16"/>
  <c r="CZ74" i="16"/>
  <c r="CJ74" i="16"/>
  <c r="BT74" i="16"/>
  <c r="BF74" i="16"/>
  <c r="BD74" i="16"/>
  <c r="BB74" i="16"/>
  <c r="AQ74" i="16" a="1"/>
  <c r="AQ74" i="16" s="1"/>
  <c r="AN74" i="16"/>
  <c r="AL74" i="16"/>
  <c r="AJ74" i="16"/>
  <c r="Y74" i="16" a="1"/>
  <c r="Y74" i="16" s="1"/>
  <c r="Z74" i="16" s="1" a="1"/>
  <c r="Z74" i="16" s="1"/>
  <c r="OR73" i="16"/>
  <c r="OB73" i="16"/>
  <c r="NL73" i="16"/>
  <c r="MV73" i="16"/>
  <c r="MF73" i="16"/>
  <c r="LP73" i="16"/>
  <c r="KZ73" i="16"/>
  <c r="KJ73" i="16"/>
  <c r="JT73" i="16"/>
  <c r="JD73" i="16"/>
  <c r="IN73" i="16"/>
  <c r="HX73" i="16"/>
  <c r="HH73" i="16"/>
  <c r="GR73" i="16"/>
  <c r="GB73" i="16"/>
  <c r="FL73" i="16"/>
  <c r="EV73" i="16"/>
  <c r="EF73" i="16"/>
  <c r="DP73" i="16"/>
  <c r="CZ73" i="16"/>
  <c r="CJ73" i="16"/>
  <c r="BT73" i="16"/>
  <c r="BF73" i="16"/>
  <c r="BD73" i="16"/>
  <c r="BB73" i="16"/>
  <c r="AQ73" i="16" a="1"/>
  <c r="AQ73" i="16" s="1"/>
  <c r="AR73" i="16" s="1" a="1"/>
  <c r="AR73" i="16" s="1"/>
  <c r="AN73" i="16"/>
  <c r="AL73" i="16"/>
  <c r="AJ73" i="16"/>
  <c r="Y73" i="16" a="1"/>
  <c r="Y73" i="16" s="1"/>
  <c r="OR69" i="16"/>
  <c r="OB69" i="16"/>
  <c r="NL69" i="16"/>
  <c r="MV69" i="16"/>
  <c r="MF69" i="16"/>
  <c r="LP69" i="16"/>
  <c r="KZ69" i="16"/>
  <c r="KJ69" i="16"/>
  <c r="JT69" i="16"/>
  <c r="JD69" i="16"/>
  <c r="IN69" i="16"/>
  <c r="HX69" i="16"/>
  <c r="HH69" i="16"/>
  <c r="GR69" i="16"/>
  <c r="GB69" i="16"/>
  <c r="FL69" i="16"/>
  <c r="EV69" i="16"/>
  <c r="EF69" i="16"/>
  <c r="DP69" i="16"/>
  <c r="CZ69" i="16"/>
  <c r="CJ69" i="16"/>
  <c r="BT69" i="16"/>
  <c r="BF69" i="16"/>
  <c r="BD69" i="16"/>
  <c r="BB69" i="16"/>
  <c r="AQ69" i="16" a="1"/>
  <c r="AQ69" i="16" s="1"/>
  <c r="AR69" i="16" s="1" a="1"/>
  <c r="AR69" i="16" s="1"/>
  <c r="AN69" i="16"/>
  <c r="AL69" i="16"/>
  <c r="AJ69" i="16"/>
  <c r="Y69" i="16" a="1"/>
  <c r="Y69" i="16" s="1"/>
  <c r="OR68" i="16"/>
  <c r="OB68" i="16"/>
  <c r="NL68" i="16"/>
  <c r="MV68" i="16"/>
  <c r="MF68" i="16"/>
  <c r="LP68" i="16"/>
  <c r="KZ68" i="16"/>
  <c r="KJ68" i="16"/>
  <c r="JT68" i="16"/>
  <c r="JD68" i="16"/>
  <c r="IN68" i="16"/>
  <c r="HX68" i="16"/>
  <c r="HH68" i="16"/>
  <c r="GR68" i="16"/>
  <c r="GB68" i="16"/>
  <c r="FL68" i="16"/>
  <c r="EV68" i="16"/>
  <c r="EF68" i="16"/>
  <c r="DP68" i="16"/>
  <c r="CZ68" i="16"/>
  <c r="CJ68" i="16"/>
  <c r="BT68" i="16"/>
  <c r="BF68" i="16"/>
  <c r="BD68" i="16"/>
  <c r="BB68" i="16"/>
  <c r="AQ68" i="16" a="1"/>
  <c r="AQ68" i="16" s="1"/>
  <c r="AR68" i="16" s="1" a="1"/>
  <c r="AR68" i="16" s="1"/>
  <c r="AN68" i="16"/>
  <c r="AL68" i="16"/>
  <c r="AJ68" i="16"/>
  <c r="Y68" i="16" a="1"/>
  <c r="Y68" i="16" s="1"/>
  <c r="OR67" i="16"/>
  <c r="OB67" i="16"/>
  <c r="NL67" i="16"/>
  <c r="MV67" i="16"/>
  <c r="MF67" i="16"/>
  <c r="LP67" i="16"/>
  <c r="KZ67" i="16"/>
  <c r="KJ67" i="16"/>
  <c r="JT67" i="16"/>
  <c r="JD67" i="16"/>
  <c r="IN67" i="16"/>
  <c r="HX67" i="16"/>
  <c r="HH67" i="16"/>
  <c r="GR67" i="16"/>
  <c r="GB67" i="16"/>
  <c r="FL67" i="16"/>
  <c r="EV67" i="16"/>
  <c r="EF67" i="16"/>
  <c r="DP67" i="16"/>
  <c r="CZ67" i="16"/>
  <c r="CJ67" i="16"/>
  <c r="BT67" i="16"/>
  <c r="BF67" i="16"/>
  <c r="BD67" i="16"/>
  <c r="BB67" i="16"/>
  <c r="AQ67" i="16" a="1"/>
  <c r="AQ67" i="16" s="1"/>
  <c r="AR67" i="16" s="1" a="1"/>
  <c r="AR67" i="16" s="1"/>
  <c r="AN67" i="16"/>
  <c r="AL67" i="16"/>
  <c r="AJ67" i="16"/>
  <c r="Y67" i="16" a="1"/>
  <c r="Y67" i="16" s="1"/>
  <c r="OR66" i="16"/>
  <c r="OB66" i="16"/>
  <c r="NL66" i="16"/>
  <c r="MV66" i="16"/>
  <c r="MF66" i="16"/>
  <c r="LP66" i="16"/>
  <c r="KZ66" i="16"/>
  <c r="KJ66" i="16"/>
  <c r="JT66" i="16"/>
  <c r="JD66" i="16"/>
  <c r="IN66" i="16"/>
  <c r="HX66" i="16"/>
  <c r="HH66" i="16"/>
  <c r="GR66" i="16"/>
  <c r="GB66" i="16"/>
  <c r="FL66" i="16"/>
  <c r="EV66" i="16"/>
  <c r="EF66" i="16"/>
  <c r="DP66" i="16"/>
  <c r="CZ66" i="16"/>
  <c r="CJ66" i="16"/>
  <c r="BT66" i="16"/>
  <c r="BF66" i="16"/>
  <c r="BD66" i="16"/>
  <c r="BB66" i="16"/>
  <c r="AQ66" i="16" a="1"/>
  <c r="AQ66" i="16" s="1"/>
  <c r="AR66" i="16" s="1" a="1"/>
  <c r="AR66" i="16" s="1"/>
  <c r="AN66" i="16"/>
  <c r="AL66" i="16"/>
  <c r="AJ66" i="16"/>
  <c r="Y66" i="16" a="1"/>
  <c r="Y66" i="16" s="1"/>
  <c r="OR65" i="16"/>
  <c r="OB65" i="16"/>
  <c r="NL65" i="16"/>
  <c r="MV65" i="16"/>
  <c r="MF65" i="16"/>
  <c r="LP65" i="16"/>
  <c r="KZ65" i="16"/>
  <c r="KJ65" i="16"/>
  <c r="JT65" i="16"/>
  <c r="JD65" i="16"/>
  <c r="IN65" i="16"/>
  <c r="HX65" i="16"/>
  <c r="HH65" i="16"/>
  <c r="GR65" i="16"/>
  <c r="GB65" i="16"/>
  <c r="FL65" i="16"/>
  <c r="EV65" i="16"/>
  <c r="EF65" i="16"/>
  <c r="DP65" i="16"/>
  <c r="CZ65" i="16"/>
  <c r="CJ65" i="16"/>
  <c r="BT65" i="16"/>
  <c r="BF65" i="16"/>
  <c r="BD65" i="16"/>
  <c r="BB65" i="16"/>
  <c r="AQ65" i="16" a="1"/>
  <c r="AQ65" i="16" s="1"/>
  <c r="AR65" i="16" s="1" a="1"/>
  <c r="AR65" i="16" s="1"/>
  <c r="AN65" i="16"/>
  <c r="AL65" i="16"/>
  <c r="AJ65" i="16"/>
  <c r="Y65" i="16" a="1"/>
  <c r="Y65" i="16" s="1"/>
  <c r="OR64" i="16"/>
  <c r="OB64" i="16"/>
  <c r="NL64" i="16"/>
  <c r="MV64" i="16"/>
  <c r="MF64" i="16"/>
  <c r="LP64" i="16"/>
  <c r="KZ64" i="16"/>
  <c r="JT64" i="16"/>
  <c r="JD64" i="16"/>
  <c r="IN64" i="16"/>
  <c r="HX64" i="16"/>
  <c r="HH64" i="16"/>
  <c r="GR64" i="16"/>
  <c r="GB64" i="16"/>
  <c r="FL64" i="16"/>
  <c r="EV64" i="16"/>
  <c r="EF64" i="16"/>
  <c r="DP64" i="16"/>
  <c r="CZ64" i="16"/>
  <c r="BT64" i="16"/>
  <c r="BF64" i="16"/>
  <c r="BD64" i="16"/>
  <c r="BB64" i="16"/>
  <c r="AQ64" i="16" a="1"/>
  <c r="AQ64" i="16" s="1"/>
  <c r="AR64" i="16" s="1" a="1"/>
  <c r="AR64" i="16" s="1"/>
  <c r="AN64" i="16"/>
  <c r="AL64" i="16"/>
  <c r="Y64" i="16" a="1"/>
  <c r="Y64" i="16" s="1"/>
  <c r="J114" i="15"/>
  <c r="OR104" i="15"/>
  <c r="OB104" i="15"/>
  <c r="NL104" i="15"/>
  <c r="MV104" i="15"/>
  <c r="MF104" i="15"/>
  <c r="LP104" i="15"/>
  <c r="KZ104" i="15"/>
  <c r="KJ104" i="15"/>
  <c r="JT104" i="15"/>
  <c r="JD104" i="15"/>
  <c r="IN104" i="15"/>
  <c r="HX104" i="15"/>
  <c r="HH104" i="15"/>
  <c r="GR104" i="15"/>
  <c r="GB104" i="15"/>
  <c r="FL104" i="15"/>
  <c r="EV104" i="15"/>
  <c r="EF104" i="15"/>
  <c r="DP104" i="15"/>
  <c r="CZ104" i="15"/>
  <c r="CJ104" i="15"/>
  <c r="BT104" i="15"/>
  <c r="BF104" i="15"/>
  <c r="BD104" i="15"/>
  <c r="BB104" i="15"/>
  <c r="AQ104" i="15" a="1"/>
  <c r="AQ104" i="15" s="1"/>
  <c r="AR104" i="15" s="1" a="1"/>
  <c r="AR104" i="15" s="1"/>
  <c r="AN104" i="15"/>
  <c r="AL104" i="15"/>
  <c r="AJ104" i="15"/>
  <c r="Y104" i="15" a="1"/>
  <c r="Y104" i="15" s="1"/>
  <c r="OR103" i="15"/>
  <c r="OB103" i="15"/>
  <c r="NL103" i="15"/>
  <c r="MV103" i="15"/>
  <c r="MF103" i="15"/>
  <c r="LP103" i="15"/>
  <c r="KZ103" i="15"/>
  <c r="KJ103" i="15"/>
  <c r="JT103" i="15"/>
  <c r="JD103" i="15"/>
  <c r="IN103" i="15"/>
  <c r="HX103" i="15"/>
  <c r="HH103" i="15"/>
  <c r="GR103" i="15"/>
  <c r="GB103" i="15"/>
  <c r="FL103" i="15"/>
  <c r="EV103" i="15"/>
  <c r="EF103" i="15"/>
  <c r="DP103" i="15"/>
  <c r="CZ103" i="15"/>
  <c r="CJ103" i="15"/>
  <c r="BT103" i="15"/>
  <c r="BF103" i="15"/>
  <c r="BD103" i="15"/>
  <c r="BB103" i="15"/>
  <c r="AQ103" i="15" a="1"/>
  <c r="AQ103" i="15" s="1"/>
  <c r="AN103" i="15"/>
  <c r="AL103" i="15"/>
  <c r="AJ103" i="15"/>
  <c r="Y103" i="15" a="1"/>
  <c r="Y103" i="15" s="1"/>
  <c r="Z103" i="15" s="1" a="1"/>
  <c r="Z103" i="15" s="1"/>
  <c r="OR102" i="15"/>
  <c r="OB102" i="15"/>
  <c r="NL102" i="15"/>
  <c r="MV102" i="15"/>
  <c r="MF102" i="15"/>
  <c r="LP102" i="15"/>
  <c r="KZ102" i="15"/>
  <c r="KJ102" i="15"/>
  <c r="JT102" i="15"/>
  <c r="JD102" i="15"/>
  <c r="IN102" i="15"/>
  <c r="HX102" i="15"/>
  <c r="HH102" i="15"/>
  <c r="GR102" i="15"/>
  <c r="GB102" i="15"/>
  <c r="FL102" i="15"/>
  <c r="EV102" i="15"/>
  <c r="EF102" i="15"/>
  <c r="DP102" i="15"/>
  <c r="CZ102" i="15"/>
  <c r="CJ102" i="15"/>
  <c r="BT102" i="15"/>
  <c r="BF102" i="15"/>
  <c r="BD102" i="15"/>
  <c r="BB102" i="15"/>
  <c r="AQ102" i="15" a="1"/>
  <c r="AQ102" i="15" s="1"/>
  <c r="AR102" i="15" s="1" a="1"/>
  <c r="AR102" i="15" s="1"/>
  <c r="AN102" i="15"/>
  <c r="AL102" i="15"/>
  <c r="AJ102" i="15"/>
  <c r="Y102" i="15" a="1"/>
  <c r="Y102" i="15" s="1"/>
  <c r="OR96" i="15"/>
  <c r="OB96" i="15"/>
  <c r="NL96" i="15"/>
  <c r="MV96" i="15"/>
  <c r="MF96" i="15"/>
  <c r="LP96" i="15"/>
  <c r="KZ96" i="15"/>
  <c r="KJ96" i="15"/>
  <c r="JT96" i="15"/>
  <c r="JD96" i="15"/>
  <c r="IN96" i="15"/>
  <c r="HX96" i="15"/>
  <c r="HH96" i="15"/>
  <c r="GR96" i="15"/>
  <c r="GB96" i="15"/>
  <c r="FL96" i="15"/>
  <c r="EV96" i="15"/>
  <c r="EF96" i="15"/>
  <c r="DP96" i="15"/>
  <c r="CZ96" i="15"/>
  <c r="CJ96" i="15"/>
  <c r="BT96" i="15"/>
  <c r="BF96" i="15"/>
  <c r="BD96" i="15"/>
  <c r="BB96" i="15"/>
  <c r="AQ96" i="15" a="1"/>
  <c r="AQ96" i="15" s="1"/>
  <c r="AR96" i="15" s="1" a="1"/>
  <c r="AR96" i="15" s="1"/>
  <c r="AN96" i="15"/>
  <c r="AL96" i="15"/>
  <c r="AJ96" i="15"/>
  <c r="Y96" i="15" a="1"/>
  <c r="Y96" i="15" s="1"/>
  <c r="Z96" i="15" s="1" a="1"/>
  <c r="Z96" i="15" s="1"/>
  <c r="OR95" i="15"/>
  <c r="OB95" i="15"/>
  <c r="NL95" i="15"/>
  <c r="MV95" i="15"/>
  <c r="MF95" i="15"/>
  <c r="LP95" i="15"/>
  <c r="KZ95" i="15"/>
  <c r="KJ95" i="15"/>
  <c r="JT95" i="15"/>
  <c r="JD95" i="15"/>
  <c r="IN95" i="15"/>
  <c r="HX95" i="15"/>
  <c r="HH95" i="15"/>
  <c r="GR95" i="15"/>
  <c r="GB95" i="15"/>
  <c r="FL95" i="15"/>
  <c r="EV95" i="15"/>
  <c r="EF95" i="15"/>
  <c r="DP95" i="15"/>
  <c r="CZ95" i="15"/>
  <c r="CJ95" i="15"/>
  <c r="BT95" i="15"/>
  <c r="BF95" i="15"/>
  <c r="BD95" i="15"/>
  <c r="BB95" i="15"/>
  <c r="AQ95" i="15" a="1"/>
  <c r="AQ95" i="15" s="1"/>
  <c r="AR95" i="15" s="1" a="1"/>
  <c r="AR95" i="15" s="1"/>
  <c r="AN95" i="15"/>
  <c r="AL95" i="15"/>
  <c r="AJ95" i="15"/>
  <c r="Y95" i="15" a="1"/>
  <c r="Y95" i="15" s="1"/>
  <c r="Z95" i="15" s="1" a="1"/>
  <c r="Z95" i="15" s="1"/>
  <c r="OR94" i="15"/>
  <c r="OB94" i="15"/>
  <c r="NL94" i="15"/>
  <c r="MV94" i="15"/>
  <c r="MF94" i="15"/>
  <c r="LP94" i="15"/>
  <c r="KZ94" i="15"/>
  <c r="KJ94" i="15"/>
  <c r="JT94" i="15"/>
  <c r="JD94" i="15"/>
  <c r="IN94" i="15"/>
  <c r="HX94" i="15"/>
  <c r="HH94" i="15"/>
  <c r="GR94" i="15"/>
  <c r="GB94" i="15"/>
  <c r="FL94" i="15"/>
  <c r="EV94" i="15"/>
  <c r="EF94" i="15"/>
  <c r="DP94" i="15"/>
  <c r="CZ94" i="15"/>
  <c r="CJ94" i="15"/>
  <c r="BT94" i="15"/>
  <c r="BF94" i="15"/>
  <c r="BD94" i="15"/>
  <c r="BB94" i="15"/>
  <c r="AQ94" i="15" a="1"/>
  <c r="AQ94" i="15" s="1"/>
  <c r="AR94" i="15" s="1" a="1"/>
  <c r="AR94" i="15" s="1"/>
  <c r="AN94" i="15"/>
  <c r="AL94" i="15"/>
  <c r="AJ94" i="15"/>
  <c r="Y94" i="15" a="1"/>
  <c r="Y94" i="15" s="1"/>
  <c r="OR93" i="15"/>
  <c r="OB93" i="15"/>
  <c r="NL93" i="15"/>
  <c r="MV93" i="15"/>
  <c r="MF93" i="15"/>
  <c r="LP93" i="15"/>
  <c r="KZ93" i="15"/>
  <c r="KJ93" i="15"/>
  <c r="JT93" i="15"/>
  <c r="JD93" i="15"/>
  <c r="IN93" i="15"/>
  <c r="HX93" i="15"/>
  <c r="HH93" i="15"/>
  <c r="GR93" i="15"/>
  <c r="GB93" i="15"/>
  <c r="FL93" i="15"/>
  <c r="EV93" i="15"/>
  <c r="EF93" i="15"/>
  <c r="DP93" i="15"/>
  <c r="CZ93" i="15"/>
  <c r="CJ93" i="15"/>
  <c r="BT93" i="15"/>
  <c r="BF93" i="15"/>
  <c r="BD93" i="15"/>
  <c r="BB93" i="15"/>
  <c r="AQ93" i="15" a="1"/>
  <c r="AQ93" i="15" s="1"/>
  <c r="AR93" i="15" s="1" a="1"/>
  <c r="AR93" i="15" s="1"/>
  <c r="AN93" i="15"/>
  <c r="AL93" i="15"/>
  <c r="AJ93" i="15"/>
  <c r="Y93" i="15" a="1"/>
  <c r="Y93" i="15" s="1"/>
  <c r="OR88" i="15"/>
  <c r="OB88" i="15"/>
  <c r="NL88" i="15"/>
  <c r="MV88" i="15"/>
  <c r="MF88" i="15"/>
  <c r="LP88" i="15"/>
  <c r="KZ88" i="15"/>
  <c r="KJ88" i="15"/>
  <c r="JT88" i="15"/>
  <c r="JD88" i="15"/>
  <c r="IN88" i="15"/>
  <c r="HX88" i="15"/>
  <c r="HH88" i="15"/>
  <c r="GR88" i="15"/>
  <c r="GB88" i="15"/>
  <c r="FL88" i="15"/>
  <c r="EV88" i="15"/>
  <c r="EF88" i="15"/>
  <c r="DP88" i="15"/>
  <c r="CZ88" i="15"/>
  <c r="CJ88" i="15"/>
  <c r="BT88" i="15"/>
  <c r="BF88" i="15"/>
  <c r="BD88" i="15"/>
  <c r="BB88" i="15"/>
  <c r="AQ88" i="15" a="1"/>
  <c r="AQ88" i="15" s="1"/>
  <c r="AR88" i="15" s="1" a="1"/>
  <c r="AR88" i="15" s="1"/>
  <c r="Y88" i="15" a="1"/>
  <c r="Y88" i="15" s="1"/>
  <c r="Z88" i="15" s="1" a="1"/>
  <c r="Z88" i="15" s="1"/>
  <c r="OR86" i="15"/>
  <c r="OB86" i="15"/>
  <c r="NL86" i="15"/>
  <c r="MV86" i="15"/>
  <c r="MF86" i="15"/>
  <c r="LP86" i="15"/>
  <c r="KZ86" i="15"/>
  <c r="KJ86" i="15"/>
  <c r="JT86" i="15"/>
  <c r="JD86" i="15"/>
  <c r="IN86" i="15"/>
  <c r="HX86" i="15"/>
  <c r="HH86" i="15"/>
  <c r="GR86" i="15"/>
  <c r="GB86" i="15"/>
  <c r="FL86" i="15"/>
  <c r="EV86" i="15"/>
  <c r="EF86" i="15"/>
  <c r="DP86" i="15"/>
  <c r="CZ86" i="15"/>
  <c r="CJ86" i="15"/>
  <c r="BT86" i="15"/>
  <c r="BF86" i="15"/>
  <c r="BD86" i="15"/>
  <c r="BB86" i="15"/>
  <c r="AQ86" i="15" a="1"/>
  <c r="AQ86" i="15" s="1"/>
  <c r="AR86" i="15" s="1" a="1"/>
  <c r="AR86" i="15" s="1"/>
  <c r="Y86" i="15" a="1"/>
  <c r="Y86" i="15" s="1"/>
  <c r="Z86" i="15" s="1" a="1"/>
  <c r="Z86" i="15" s="1"/>
  <c r="OR85" i="15"/>
  <c r="OB85" i="15"/>
  <c r="NL85" i="15"/>
  <c r="MV85" i="15"/>
  <c r="MF85" i="15"/>
  <c r="LP85" i="15"/>
  <c r="KZ85" i="15"/>
  <c r="KJ85" i="15"/>
  <c r="JT85" i="15"/>
  <c r="JD85" i="15"/>
  <c r="IN85" i="15"/>
  <c r="HX85" i="15"/>
  <c r="HH85" i="15"/>
  <c r="GR85" i="15"/>
  <c r="GB85" i="15"/>
  <c r="FL85" i="15"/>
  <c r="EV85" i="15"/>
  <c r="EF85" i="15"/>
  <c r="DP85" i="15"/>
  <c r="CZ85" i="15"/>
  <c r="CJ85" i="15"/>
  <c r="BT85" i="15"/>
  <c r="BF85" i="15"/>
  <c r="BD85" i="15"/>
  <c r="BB85" i="15"/>
  <c r="AQ85" i="15" a="1"/>
  <c r="AQ85" i="15" s="1"/>
  <c r="AR85" i="15" s="1" a="1"/>
  <c r="AR85" i="15" s="1"/>
  <c r="Y85" i="15" a="1"/>
  <c r="Y85" i="15" s="1"/>
  <c r="OR76" i="15"/>
  <c r="OB76" i="15"/>
  <c r="NL76" i="15"/>
  <c r="MV76" i="15"/>
  <c r="MF76" i="15"/>
  <c r="LP76" i="15"/>
  <c r="KZ76" i="15"/>
  <c r="KJ76" i="15"/>
  <c r="JT76" i="15"/>
  <c r="JD76" i="15"/>
  <c r="IN76" i="15"/>
  <c r="HX76" i="15"/>
  <c r="HH76" i="15"/>
  <c r="GR76" i="15"/>
  <c r="GB76" i="15"/>
  <c r="FL76" i="15"/>
  <c r="EV76" i="15"/>
  <c r="EF76" i="15"/>
  <c r="DP76" i="15"/>
  <c r="CZ76" i="15"/>
  <c r="CJ76" i="15"/>
  <c r="BT76" i="15"/>
  <c r="BF76" i="15"/>
  <c r="BD76" i="15"/>
  <c r="BB76" i="15"/>
  <c r="AQ76" i="15" a="1"/>
  <c r="AQ76" i="15" s="1"/>
  <c r="AR76" i="15" s="1" a="1"/>
  <c r="AR76" i="15" s="1"/>
  <c r="Y76" i="15" a="1"/>
  <c r="Y76" i="15" s="1"/>
  <c r="Z76" i="15" s="1" a="1"/>
  <c r="Z76" i="15" s="1"/>
  <c r="OR75" i="15"/>
  <c r="OB75" i="15"/>
  <c r="NL75" i="15"/>
  <c r="MV75" i="15"/>
  <c r="MF75" i="15"/>
  <c r="LP75" i="15"/>
  <c r="KZ75" i="15"/>
  <c r="KJ75" i="15"/>
  <c r="JT75" i="15"/>
  <c r="JD75" i="15"/>
  <c r="IN75" i="15"/>
  <c r="HX75" i="15"/>
  <c r="HH75" i="15"/>
  <c r="GR75" i="15"/>
  <c r="GB75" i="15"/>
  <c r="FL75" i="15"/>
  <c r="EV75" i="15"/>
  <c r="EF75" i="15"/>
  <c r="DP75" i="15"/>
  <c r="CZ75" i="15"/>
  <c r="CJ75" i="15"/>
  <c r="BT75" i="15"/>
  <c r="BF75" i="15"/>
  <c r="BD75" i="15"/>
  <c r="BB75" i="15"/>
  <c r="AQ75" i="15" a="1"/>
  <c r="AQ75" i="15" s="1"/>
  <c r="AR75" i="15" s="1" a="1"/>
  <c r="AR75" i="15" s="1"/>
  <c r="Y75" i="15" a="1"/>
  <c r="Y75" i="15" s="1"/>
  <c r="Z75" i="15" s="1" a="1"/>
  <c r="Z75" i="15" s="1"/>
  <c r="OR74" i="15"/>
  <c r="OB74" i="15"/>
  <c r="NL74" i="15"/>
  <c r="MV74" i="15"/>
  <c r="MF74" i="15"/>
  <c r="LP74" i="15"/>
  <c r="KZ74" i="15"/>
  <c r="KJ74" i="15"/>
  <c r="JT74" i="15"/>
  <c r="JD74" i="15"/>
  <c r="IN74" i="15"/>
  <c r="HX74" i="15"/>
  <c r="HH74" i="15"/>
  <c r="GR74" i="15"/>
  <c r="GB74" i="15"/>
  <c r="FL74" i="15"/>
  <c r="EV74" i="15"/>
  <c r="EF74" i="15"/>
  <c r="DP74" i="15"/>
  <c r="CZ74" i="15"/>
  <c r="CJ74" i="15"/>
  <c r="BT74" i="15"/>
  <c r="BF74" i="15"/>
  <c r="BD74" i="15"/>
  <c r="BB74" i="15"/>
  <c r="AQ74" i="15" a="1"/>
  <c r="AQ74" i="15" s="1"/>
  <c r="AR74" i="15" s="1" a="1"/>
  <c r="AR74" i="15" s="1"/>
  <c r="Y74" i="15" a="1"/>
  <c r="Y74" i="15" s="1"/>
  <c r="OR73" i="15"/>
  <c r="OB73" i="15"/>
  <c r="NL73" i="15"/>
  <c r="MV73" i="15"/>
  <c r="MF73" i="15"/>
  <c r="LP73" i="15"/>
  <c r="KZ73" i="15"/>
  <c r="KJ73" i="15"/>
  <c r="JT73" i="15"/>
  <c r="JD73" i="15"/>
  <c r="IN73" i="15"/>
  <c r="HX73" i="15"/>
  <c r="HH73" i="15"/>
  <c r="GR73" i="15"/>
  <c r="GB73" i="15"/>
  <c r="FL73" i="15"/>
  <c r="EV73" i="15"/>
  <c r="EF73" i="15"/>
  <c r="DP73" i="15"/>
  <c r="CZ73" i="15"/>
  <c r="CJ73" i="15"/>
  <c r="BT73" i="15"/>
  <c r="BF73" i="15"/>
  <c r="BD73" i="15"/>
  <c r="BB73" i="15"/>
  <c r="AQ73" i="15" a="1"/>
  <c r="AQ73" i="15" s="1"/>
  <c r="AR73" i="15" s="1" a="1"/>
  <c r="AR73" i="15" s="1"/>
  <c r="Y73" i="15" a="1"/>
  <c r="Y73" i="15" s="1"/>
  <c r="Z73" i="15" s="1" a="1"/>
  <c r="Z73" i="15" s="1"/>
  <c r="OR69" i="15"/>
  <c r="OB69" i="15"/>
  <c r="NL69" i="15"/>
  <c r="MV69" i="15"/>
  <c r="MF69" i="15"/>
  <c r="LP69" i="15"/>
  <c r="KZ69" i="15"/>
  <c r="KJ69" i="15"/>
  <c r="JT69" i="15"/>
  <c r="JD69" i="15"/>
  <c r="IN69" i="15"/>
  <c r="HX69" i="15"/>
  <c r="HH69" i="15"/>
  <c r="GR69" i="15"/>
  <c r="GB69" i="15"/>
  <c r="FL69" i="15"/>
  <c r="EV69" i="15"/>
  <c r="EF69" i="15"/>
  <c r="DP69" i="15"/>
  <c r="CZ69" i="15"/>
  <c r="CJ69" i="15"/>
  <c r="BT69" i="15"/>
  <c r="BF69" i="15"/>
  <c r="BD69" i="15"/>
  <c r="BB69" i="15"/>
  <c r="AQ69" i="15" a="1"/>
  <c r="AQ69" i="15" s="1"/>
  <c r="AR69" i="15" s="1" a="1"/>
  <c r="AR69" i="15" s="1"/>
  <c r="AN69" i="15"/>
  <c r="AL69" i="15"/>
  <c r="AJ69" i="15"/>
  <c r="Y69" i="15" a="1"/>
  <c r="Y69" i="15" s="1"/>
  <c r="OR68" i="15"/>
  <c r="OB68" i="15"/>
  <c r="NL68" i="15"/>
  <c r="MV68" i="15"/>
  <c r="MF68" i="15"/>
  <c r="LP68" i="15"/>
  <c r="KZ68" i="15"/>
  <c r="KJ68" i="15"/>
  <c r="JT68" i="15"/>
  <c r="JD68" i="15"/>
  <c r="IN68" i="15"/>
  <c r="HX68" i="15"/>
  <c r="HH68" i="15"/>
  <c r="GR68" i="15"/>
  <c r="GB68" i="15"/>
  <c r="FL68" i="15"/>
  <c r="EV68" i="15"/>
  <c r="EF68" i="15"/>
  <c r="DP68" i="15"/>
  <c r="CZ68" i="15"/>
  <c r="CJ68" i="15"/>
  <c r="BT68" i="15"/>
  <c r="BF68" i="15"/>
  <c r="BD68" i="15"/>
  <c r="BB68" i="15"/>
  <c r="AQ68" i="15" a="1"/>
  <c r="AQ68" i="15" s="1"/>
  <c r="AR68" i="15" s="1" a="1"/>
  <c r="AR68" i="15" s="1"/>
  <c r="AN68" i="15"/>
  <c r="AL68" i="15"/>
  <c r="AJ68" i="15"/>
  <c r="Y68" i="15" a="1"/>
  <c r="Y68" i="15" s="1"/>
  <c r="Z68" i="15" s="1" a="1"/>
  <c r="Z68" i="15" s="1"/>
  <c r="OR67" i="15"/>
  <c r="OB67" i="15"/>
  <c r="NL67" i="15"/>
  <c r="MV67" i="15"/>
  <c r="MF67" i="15"/>
  <c r="LP67" i="15"/>
  <c r="KZ67" i="15"/>
  <c r="KJ67" i="15"/>
  <c r="JT67" i="15"/>
  <c r="JD67" i="15"/>
  <c r="IN67" i="15"/>
  <c r="HX67" i="15"/>
  <c r="HH67" i="15"/>
  <c r="GR67" i="15"/>
  <c r="GB67" i="15"/>
  <c r="FL67" i="15"/>
  <c r="EV67" i="15"/>
  <c r="EF67" i="15"/>
  <c r="DP67" i="15"/>
  <c r="CZ67" i="15"/>
  <c r="CJ67" i="15"/>
  <c r="BT67" i="15"/>
  <c r="BF67" i="15"/>
  <c r="BD67" i="15"/>
  <c r="BB67" i="15"/>
  <c r="AQ67" i="15" a="1"/>
  <c r="AQ67" i="15" s="1"/>
  <c r="AR67" i="15" s="1" a="1"/>
  <c r="AR67" i="15" s="1"/>
  <c r="AN67" i="15"/>
  <c r="AL67" i="15"/>
  <c r="AJ67" i="15"/>
  <c r="Y67" i="15" a="1"/>
  <c r="Y67" i="15" s="1"/>
  <c r="Z67" i="15" s="1" a="1"/>
  <c r="Z67" i="15" s="1"/>
  <c r="OR66" i="15"/>
  <c r="OB66" i="15"/>
  <c r="NL66" i="15"/>
  <c r="MV66" i="15"/>
  <c r="MF66" i="15"/>
  <c r="LP66" i="15"/>
  <c r="KZ66" i="15"/>
  <c r="KJ66" i="15"/>
  <c r="JT66" i="15"/>
  <c r="JD66" i="15"/>
  <c r="IN66" i="15"/>
  <c r="HX66" i="15"/>
  <c r="HH66" i="15"/>
  <c r="GR66" i="15"/>
  <c r="GB66" i="15"/>
  <c r="FL66" i="15"/>
  <c r="EV66" i="15"/>
  <c r="EF66" i="15"/>
  <c r="DP66" i="15"/>
  <c r="CZ66" i="15"/>
  <c r="CJ66" i="15"/>
  <c r="BT66" i="15"/>
  <c r="BF66" i="15"/>
  <c r="BD66" i="15"/>
  <c r="BB66" i="15"/>
  <c r="AQ66" i="15" a="1"/>
  <c r="AQ66" i="15" s="1"/>
  <c r="AR66" i="15" s="1" a="1"/>
  <c r="AR66" i="15" s="1"/>
  <c r="AN66" i="15"/>
  <c r="AL66" i="15"/>
  <c r="AJ66" i="15"/>
  <c r="Y66" i="15" a="1"/>
  <c r="Y66" i="15" s="1"/>
  <c r="Z66" i="15" s="1" a="1"/>
  <c r="Z66" i="15" s="1"/>
  <c r="OR65" i="15"/>
  <c r="OB65" i="15"/>
  <c r="NL65" i="15"/>
  <c r="MV65" i="15"/>
  <c r="MF65" i="15"/>
  <c r="LP65" i="15"/>
  <c r="KZ65" i="15"/>
  <c r="KJ65" i="15"/>
  <c r="JT65" i="15"/>
  <c r="JD65" i="15"/>
  <c r="IN65" i="15"/>
  <c r="HX65" i="15"/>
  <c r="HH65" i="15"/>
  <c r="GR65" i="15"/>
  <c r="GB65" i="15"/>
  <c r="FL65" i="15"/>
  <c r="EV65" i="15"/>
  <c r="EF65" i="15"/>
  <c r="DP65" i="15"/>
  <c r="CZ65" i="15"/>
  <c r="CJ65" i="15"/>
  <c r="BT65" i="15"/>
  <c r="BF65" i="15"/>
  <c r="BD65" i="15"/>
  <c r="BB65" i="15"/>
  <c r="AQ65" i="15" a="1"/>
  <c r="AQ65" i="15" s="1"/>
  <c r="AN65" i="15"/>
  <c r="AL65" i="15"/>
  <c r="AJ65" i="15"/>
  <c r="Y65" i="15" a="1"/>
  <c r="Y65" i="15" s="1"/>
  <c r="Z65" i="15" s="1" a="1"/>
  <c r="Z65" i="15" s="1"/>
  <c r="OR64" i="15"/>
  <c r="OB64" i="15"/>
  <c r="NL64" i="15"/>
  <c r="MV64" i="15"/>
  <c r="MF64" i="15"/>
  <c r="LP64" i="15"/>
  <c r="KZ64" i="15"/>
  <c r="JT64" i="15"/>
  <c r="JD64" i="15"/>
  <c r="IN64" i="15"/>
  <c r="HX64" i="15"/>
  <c r="HH64" i="15"/>
  <c r="GR64" i="15"/>
  <c r="GB64" i="15"/>
  <c r="FL64" i="15"/>
  <c r="EV64" i="15"/>
  <c r="EF64" i="15"/>
  <c r="DP64" i="15"/>
  <c r="CZ64" i="15"/>
  <c r="BF64" i="15"/>
  <c r="BD64" i="15"/>
  <c r="BB64" i="15"/>
  <c r="AQ64" i="15" a="1"/>
  <c r="AQ64" i="15" s="1"/>
  <c r="AR64" i="15" s="1" a="1"/>
  <c r="AR64" i="15" s="1"/>
  <c r="AN64" i="15"/>
  <c r="AL64" i="15"/>
  <c r="Y64" i="15" a="1"/>
  <c r="Y64" i="15" s="1"/>
  <c r="BF104" i="13"/>
  <c r="BF103" i="13"/>
  <c r="BF102" i="13"/>
  <c r="BF96" i="13"/>
  <c r="BF95" i="13"/>
  <c r="BF94" i="13"/>
  <c r="BF93" i="13"/>
  <c r="BF88" i="13"/>
  <c r="BF86" i="13"/>
  <c r="BF85" i="13"/>
  <c r="BF76" i="13"/>
  <c r="BF75" i="13"/>
  <c r="BF74" i="13"/>
  <c r="BF73" i="13"/>
  <c r="BF69" i="13"/>
  <c r="BF68" i="13"/>
  <c r="BF67" i="13"/>
  <c r="BF66" i="13"/>
  <c r="BF65" i="13"/>
  <c r="BF64" i="13"/>
  <c r="BD104" i="13"/>
  <c r="BD103" i="13"/>
  <c r="BD102" i="13"/>
  <c r="BD96" i="13"/>
  <c r="BD95" i="13"/>
  <c r="BD94" i="13"/>
  <c r="BD93" i="13"/>
  <c r="BD88" i="13"/>
  <c r="BD86" i="13"/>
  <c r="BD85" i="13"/>
  <c r="BD76" i="13"/>
  <c r="BD75" i="13"/>
  <c r="BD74" i="13"/>
  <c r="BD73" i="13"/>
  <c r="BD69" i="13"/>
  <c r="BD68" i="13"/>
  <c r="BD67" i="13"/>
  <c r="BD66" i="13"/>
  <c r="BD65" i="13"/>
  <c r="BD64" i="13"/>
  <c r="BB104" i="13"/>
  <c r="BB103" i="13"/>
  <c r="BB102" i="13"/>
  <c r="BB96" i="13"/>
  <c r="BB95" i="13"/>
  <c r="BB94" i="13"/>
  <c r="BB93" i="13"/>
  <c r="BB88" i="13"/>
  <c r="BB86" i="13"/>
  <c r="BB85" i="13"/>
  <c r="BB76" i="13"/>
  <c r="BB75" i="13"/>
  <c r="BB74" i="13"/>
  <c r="BB73" i="13"/>
  <c r="BB69" i="13"/>
  <c r="BB68" i="13"/>
  <c r="BB67" i="13"/>
  <c r="BB66" i="13"/>
  <c r="BB65" i="13"/>
  <c r="BB64" i="13"/>
  <c r="AN104" i="13"/>
  <c r="AN103" i="13"/>
  <c r="AN102" i="13"/>
  <c r="AN96" i="13"/>
  <c r="AN95" i="13"/>
  <c r="AN94" i="13"/>
  <c r="AN93" i="13"/>
  <c r="AN88" i="13"/>
  <c r="AN86" i="13"/>
  <c r="AN85" i="13"/>
  <c r="AN76" i="13"/>
  <c r="AN75" i="13"/>
  <c r="AN74" i="13"/>
  <c r="AN73" i="13"/>
  <c r="AN69" i="13"/>
  <c r="AN68" i="13"/>
  <c r="AN67" i="13"/>
  <c r="AN66" i="13"/>
  <c r="AN65" i="13"/>
  <c r="AN64" i="13"/>
  <c r="AL104" i="13"/>
  <c r="AL103" i="13"/>
  <c r="AL102" i="13"/>
  <c r="AL96" i="13"/>
  <c r="AL95" i="13"/>
  <c r="AL94" i="13"/>
  <c r="AL93" i="13"/>
  <c r="AL88" i="13"/>
  <c r="AL86" i="13"/>
  <c r="AL85" i="13"/>
  <c r="AL76" i="13"/>
  <c r="AL75" i="13"/>
  <c r="AL74" i="13"/>
  <c r="AL73" i="13"/>
  <c r="AL69" i="13"/>
  <c r="AL68" i="13"/>
  <c r="AL67" i="13"/>
  <c r="AL66" i="13"/>
  <c r="AL65" i="13"/>
  <c r="AL64" i="13"/>
  <c r="AJ65" i="13"/>
  <c r="AJ66" i="13"/>
  <c r="AJ67" i="13"/>
  <c r="AJ68" i="13"/>
  <c r="AJ69" i="13"/>
  <c r="AJ73" i="13"/>
  <c r="AJ74" i="13"/>
  <c r="AJ75" i="13"/>
  <c r="AJ76" i="13"/>
  <c r="AJ85" i="13"/>
  <c r="AJ86" i="13"/>
  <c r="AJ88" i="13"/>
  <c r="AJ93" i="13"/>
  <c r="AJ94" i="13"/>
  <c r="AJ95" i="13"/>
  <c r="AJ96" i="13"/>
  <c r="AJ102" i="13"/>
  <c r="AJ103" i="13"/>
  <c r="AJ104" i="13"/>
  <c r="AQ104" i="13" a="1"/>
  <c r="AQ104" i="13" s="1"/>
  <c r="AQ103" i="13" a="1"/>
  <c r="AQ103" i="13" s="1"/>
  <c r="AQ102" i="13" a="1"/>
  <c r="AQ102" i="13" s="1"/>
  <c r="AQ96" i="13" a="1"/>
  <c r="AQ96" i="13" s="1"/>
  <c r="AQ95" i="13" a="1"/>
  <c r="AQ95" i="13" s="1"/>
  <c r="AQ94" i="13" a="1"/>
  <c r="AQ94" i="13" s="1"/>
  <c r="AQ93" i="13" a="1"/>
  <c r="AQ93" i="13" s="1"/>
  <c r="AQ88" i="13" a="1"/>
  <c r="AQ88" i="13" s="1"/>
  <c r="AQ86" i="13" a="1"/>
  <c r="AQ86" i="13" s="1"/>
  <c r="AQ85" i="13" a="1"/>
  <c r="AQ85" i="13" s="1"/>
  <c r="AQ76" i="13" a="1"/>
  <c r="AQ76" i="13" s="1"/>
  <c r="AQ75" i="13" a="1"/>
  <c r="AQ75" i="13" s="1"/>
  <c r="AQ74" i="13" a="1"/>
  <c r="AQ74" i="13" s="1"/>
  <c r="AQ73" i="13" a="1"/>
  <c r="AQ73" i="13" s="1"/>
  <c r="AQ69" i="13" a="1"/>
  <c r="AQ69" i="13" s="1"/>
  <c r="AQ68" i="13" a="1"/>
  <c r="AQ68" i="13" s="1"/>
  <c r="AQ67" i="13" a="1"/>
  <c r="AQ67" i="13" s="1"/>
  <c r="AQ66" i="13" a="1"/>
  <c r="AQ66" i="13" s="1"/>
  <c r="AQ65" i="13" a="1"/>
  <c r="AQ65" i="13" s="1"/>
  <c r="AQ64" i="13" a="1"/>
  <c r="AQ64" i="13" s="1"/>
  <c r="Y65" i="13" a="1"/>
  <c r="Y65" i="13" s="1"/>
  <c r="Y66" i="13" a="1"/>
  <c r="Y66" i="13" s="1"/>
  <c r="Y67" i="13" a="1"/>
  <c r="Y67" i="13" s="1"/>
  <c r="Y68" i="13" a="1"/>
  <c r="Y68" i="13" s="1"/>
  <c r="Y69" i="13" a="1"/>
  <c r="Y69" i="13" s="1"/>
  <c r="Y73" i="13" a="1"/>
  <c r="Y73" i="13" s="1"/>
  <c r="Y74" i="13" a="1"/>
  <c r="Y74" i="13" s="1"/>
  <c r="Y75" i="13" a="1"/>
  <c r="Y75" i="13" s="1"/>
  <c r="Y76" i="13" a="1"/>
  <c r="Y76" i="13" s="1"/>
  <c r="Y85" i="13" a="1"/>
  <c r="Y85" i="13" s="1"/>
  <c r="Y86" i="13" a="1"/>
  <c r="Y86" i="13" s="1"/>
  <c r="Y88" i="13" a="1"/>
  <c r="Y88" i="13" s="1"/>
  <c r="Y93" i="13" a="1"/>
  <c r="Y93" i="13" s="1"/>
  <c r="Y94" i="13" a="1"/>
  <c r="Y94" i="13" s="1"/>
  <c r="Y95" i="13" a="1"/>
  <c r="Y95" i="13" s="1"/>
  <c r="Y96" i="13" a="1"/>
  <c r="Y96" i="13" s="1"/>
  <c r="Y102" i="13" a="1"/>
  <c r="Y102" i="13" s="1"/>
  <c r="Y103" i="13" a="1"/>
  <c r="Y103" i="13" s="1"/>
  <c r="Y104" i="13" a="1"/>
  <c r="Y104" i="13" s="1"/>
  <c r="Y64" i="13" a="1"/>
  <c r="Y64" i="13" s="1"/>
  <c r="OR104" i="13"/>
  <c r="OR103" i="13"/>
  <c r="OR102" i="13"/>
  <c r="OR96" i="13"/>
  <c r="OR95" i="13"/>
  <c r="OR94" i="13"/>
  <c r="OR93" i="13"/>
  <c r="OR88" i="13"/>
  <c r="OR86" i="13"/>
  <c r="OR85" i="13"/>
  <c r="OR76" i="13"/>
  <c r="OR75" i="13"/>
  <c r="OR74" i="13"/>
  <c r="OR73" i="13"/>
  <c r="OR69" i="13"/>
  <c r="OR68" i="13"/>
  <c r="OR67" i="13"/>
  <c r="OR66" i="13"/>
  <c r="OR65" i="13"/>
  <c r="OR64" i="13"/>
  <c r="OB104" i="13"/>
  <c r="OB103" i="13"/>
  <c r="OB102" i="13"/>
  <c r="OB96" i="13"/>
  <c r="OB95" i="13"/>
  <c r="OB94" i="13"/>
  <c r="OB93" i="13"/>
  <c r="OB88" i="13"/>
  <c r="OB86" i="13"/>
  <c r="OB85" i="13"/>
  <c r="OB76" i="13"/>
  <c r="OB75" i="13"/>
  <c r="OB74" i="13"/>
  <c r="OB73" i="13"/>
  <c r="OB69" i="13"/>
  <c r="OB68" i="13"/>
  <c r="OB67" i="13"/>
  <c r="OB66" i="13"/>
  <c r="OB65" i="13"/>
  <c r="OB64" i="13"/>
  <c r="NL104" i="13"/>
  <c r="NL103" i="13"/>
  <c r="NL102" i="13"/>
  <c r="NL96" i="13"/>
  <c r="NL95" i="13"/>
  <c r="NL94" i="13"/>
  <c r="NL93" i="13"/>
  <c r="NL88" i="13"/>
  <c r="NL86" i="13"/>
  <c r="NL85" i="13"/>
  <c r="NL76" i="13"/>
  <c r="NL75" i="13"/>
  <c r="NL74" i="13"/>
  <c r="NL73" i="13"/>
  <c r="NL69" i="13"/>
  <c r="NL68" i="13"/>
  <c r="NL67" i="13"/>
  <c r="NL66" i="13"/>
  <c r="NL65" i="13"/>
  <c r="NL64" i="13"/>
  <c r="MV104" i="13"/>
  <c r="MV103" i="13"/>
  <c r="MV102" i="13"/>
  <c r="MV96" i="13"/>
  <c r="MV95" i="13"/>
  <c r="MV94" i="13"/>
  <c r="MV93" i="13"/>
  <c r="MV88" i="13"/>
  <c r="MV86" i="13"/>
  <c r="MV85" i="13"/>
  <c r="MV76" i="13"/>
  <c r="MV75" i="13"/>
  <c r="MV74" i="13"/>
  <c r="MV73" i="13"/>
  <c r="MV69" i="13"/>
  <c r="MV68" i="13"/>
  <c r="MV67" i="13"/>
  <c r="MV66" i="13"/>
  <c r="MV65" i="13"/>
  <c r="MV64" i="13"/>
  <c r="MF104" i="13"/>
  <c r="MF103" i="13"/>
  <c r="MF102" i="13"/>
  <c r="MF96" i="13"/>
  <c r="MF95" i="13"/>
  <c r="MF94" i="13"/>
  <c r="MF93" i="13"/>
  <c r="MF88" i="13"/>
  <c r="MF86" i="13"/>
  <c r="MF85" i="13"/>
  <c r="MF76" i="13"/>
  <c r="MF75" i="13"/>
  <c r="MF74" i="13"/>
  <c r="MF73" i="13"/>
  <c r="MF69" i="13"/>
  <c r="MF68" i="13"/>
  <c r="MF67" i="13"/>
  <c r="MF66" i="13"/>
  <c r="MF65" i="13"/>
  <c r="MF64" i="13"/>
  <c r="LP104" i="13"/>
  <c r="LP103" i="13"/>
  <c r="LP102" i="13"/>
  <c r="LP96" i="13"/>
  <c r="LP95" i="13"/>
  <c r="LP94" i="13"/>
  <c r="LP93" i="13"/>
  <c r="LP88" i="13"/>
  <c r="LP86" i="13"/>
  <c r="LP85" i="13"/>
  <c r="LP76" i="13"/>
  <c r="LP75" i="13"/>
  <c r="LP74" i="13"/>
  <c r="LP73" i="13"/>
  <c r="LP69" i="13"/>
  <c r="LP68" i="13"/>
  <c r="LP67" i="13"/>
  <c r="LP66" i="13"/>
  <c r="LP65" i="13"/>
  <c r="LP64" i="13"/>
  <c r="KZ104" i="13"/>
  <c r="KZ103" i="13"/>
  <c r="KZ102" i="13"/>
  <c r="KZ96" i="13"/>
  <c r="KZ95" i="13"/>
  <c r="KZ94" i="13"/>
  <c r="KZ93" i="13"/>
  <c r="KZ88" i="13"/>
  <c r="KZ86" i="13"/>
  <c r="KZ85" i="13"/>
  <c r="KZ76" i="13"/>
  <c r="KZ75" i="13"/>
  <c r="KZ74" i="13"/>
  <c r="KZ73" i="13"/>
  <c r="KZ69" i="13"/>
  <c r="KZ68" i="13"/>
  <c r="KZ67" i="13"/>
  <c r="KZ66" i="13"/>
  <c r="KZ65" i="13"/>
  <c r="KZ64" i="13"/>
  <c r="KJ104" i="13"/>
  <c r="KJ103" i="13"/>
  <c r="KJ102" i="13"/>
  <c r="KJ96" i="13"/>
  <c r="KJ95" i="13"/>
  <c r="KJ94" i="13"/>
  <c r="KJ93" i="13"/>
  <c r="KJ88" i="13"/>
  <c r="KJ86" i="13"/>
  <c r="KJ85" i="13"/>
  <c r="KJ76" i="13"/>
  <c r="KJ75" i="13"/>
  <c r="KJ74" i="13"/>
  <c r="KJ73" i="13"/>
  <c r="KJ69" i="13"/>
  <c r="KJ68" i="13"/>
  <c r="KJ67" i="13"/>
  <c r="KJ66" i="13"/>
  <c r="KJ65" i="13"/>
  <c r="JT104" i="13"/>
  <c r="JT103" i="13"/>
  <c r="JT102" i="13"/>
  <c r="JT96" i="13"/>
  <c r="JT95" i="13"/>
  <c r="JT94" i="13"/>
  <c r="JT93" i="13"/>
  <c r="JT88" i="13"/>
  <c r="JT86" i="13"/>
  <c r="JT85" i="13"/>
  <c r="JT76" i="13"/>
  <c r="JT75" i="13"/>
  <c r="JT74" i="13"/>
  <c r="JT73" i="13"/>
  <c r="JT69" i="13"/>
  <c r="JT68" i="13"/>
  <c r="JT67" i="13"/>
  <c r="JT66" i="13"/>
  <c r="JT65" i="13"/>
  <c r="JT64" i="13"/>
  <c r="BJ10" i="13"/>
  <c r="BZ10" i="13"/>
  <c r="CP10" i="13"/>
  <c r="DF10" i="13"/>
  <c r="DV10" i="13"/>
  <c r="EL10" i="13"/>
  <c r="FB10" i="13"/>
  <c r="FR10" i="13"/>
  <c r="GH10" i="13"/>
  <c r="GX10" i="13"/>
  <c r="HN10" i="13"/>
  <c r="ID10" i="13"/>
  <c r="IT10" i="13"/>
  <c r="JJ10" i="13"/>
  <c r="JZ10" i="13"/>
  <c r="KP10" i="13"/>
  <c r="LF10" i="13"/>
  <c r="LV10" i="13"/>
  <c r="ML10" i="13"/>
  <c r="NB10" i="13"/>
  <c r="NR10" i="13"/>
  <c r="OH10" i="13"/>
  <c r="OG5" i="13"/>
  <c r="OH6" i="13" s="1"/>
  <c r="NQ5" i="13"/>
  <c r="NR6" i="13" s="1"/>
  <c r="NA5" i="13"/>
  <c r="MK5" i="13"/>
  <c r="LU5" i="13"/>
  <c r="LV6" i="13" s="1"/>
  <c r="LE5" i="13"/>
  <c r="LF6" i="13" s="1"/>
  <c r="KO5" i="13"/>
  <c r="JY5" i="13"/>
  <c r="JI5" i="13"/>
  <c r="IS5" i="13"/>
  <c r="IC5" i="13"/>
  <c r="HM5" i="13"/>
  <c r="GW5" i="13"/>
  <c r="GG5" i="13"/>
  <c r="FQ5" i="13"/>
  <c r="FA5" i="13"/>
  <c r="EK5" i="13"/>
  <c r="DU5" i="13"/>
  <c r="DE5" i="13"/>
  <c r="DF6" i="13" s="1"/>
  <c r="CO5" i="13"/>
  <c r="BY5" i="13"/>
  <c r="BJ10" i="15"/>
  <c r="BZ10" i="15"/>
  <c r="CP10" i="15"/>
  <c r="DF10" i="15"/>
  <c r="DV10" i="15"/>
  <c r="EL10" i="15"/>
  <c r="FB10" i="15"/>
  <c r="FR10" i="15"/>
  <c r="GH10" i="15"/>
  <c r="GX10" i="15"/>
  <c r="HN10" i="15"/>
  <c r="ID10" i="15"/>
  <c r="IT10" i="15"/>
  <c r="JJ10" i="15"/>
  <c r="JZ10" i="15"/>
  <c r="KP10" i="15"/>
  <c r="LF10" i="15"/>
  <c r="LV10" i="15"/>
  <c r="ML10" i="15"/>
  <c r="NB10" i="15"/>
  <c r="NR10" i="15"/>
  <c r="OH10" i="15"/>
  <c r="OG5" i="15"/>
  <c r="OH6" i="15" s="1"/>
  <c r="NQ5" i="15"/>
  <c r="NR6" i="15" s="1"/>
  <c r="NA5" i="15"/>
  <c r="NB6" i="15" s="1"/>
  <c r="MK5" i="15"/>
  <c r="ML6" i="15" s="1"/>
  <c r="LU5" i="15"/>
  <c r="LV6" i="15" s="1"/>
  <c r="LE5" i="15"/>
  <c r="LF6" i="15" s="1"/>
  <c r="KO5" i="15"/>
  <c r="KP6" i="15" s="1"/>
  <c r="JY5" i="15"/>
  <c r="JI5" i="15"/>
  <c r="IS5" i="15"/>
  <c r="IC5" i="15"/>
  <c r="HM5" i="15"/>
  <c r="GW5" i="15"/>
  <c r="GG5" i="15"/>
  <c r="FQ5" i="15"/>
  <c r="FA5" i="15"/>
  <c r="EK5" i="15"/>
  <c r="DU5" i="15"/>
  <c r="DV6" i="15" s="1"/>
  <c r="DE5" i="15"/>
  <c r="DF6" i="15" s="1"/>
  <c r="CO5" i="15"/>
  <c r="BY5" i="15"/>
  <c r="BJ10" i="16"/>
  <c r="BZ10" i="16"/>
  <c r="CP10" i="16"/>
  <c r="DF10" i="16"/>
  <c r="DV10" i="16"/>
  <c r="EL10" i="16"/>
  <c r="FB10" i="16"/>
  <c r="FR10" i="16"/>
  <c r="GH10" i="16"/>
  <c r="GX10" i="16"/>
  <c r="HN10" i="16"/>
  <c r="ID10" i="16"/>
  <c r="IT10" i="16"/>
  <c r="JJ10" i="16"/>
  <c r="JZ10" i="16"/>
  <c r="KP10" i="16"/>
  <c r="LF10" i="16"/>
  <c r="LV10" i="16"/>
  <c r="ML10" i="16"/>
  <c r="NB10" i="16"/>
  <c r="NR10" i="16"/>
  <c r="OH10" i="16"/>
  <c r="OG5" i="16"/>
  <c r="OH6" i="16" s="1"/>
  <c r="NQ5" i="16"/>
  <c r="NR6" i="16" s="1"/>
  <c r="NA5" i="16"/>
  <c r="NB6" i="16" s="1"/>
  <c r="MK5" i="16"/>
  <c r="LU5" i="16"/>
  <c r="LV6" i="16" s="1"/>
  <c r="LE5" i="16"/>
  <c r="LF6" i="16" s="1"/>
  <c r="KO5" i="16"/>
  <c r="KP6" i="16" s="1"/>
  <c r="JY5" i="16"/>
  <c r="JI5" i="16"/>
  <c r="IS5" i="16"/>
  <c r="IC5" i="16"/>
  <c r="HM5" i="16"/>
  <c r="GW5" i="16"/>
  <c r="GG5" i="16"/>
  <c r="FQ5" i="16"/>
  <c r="FA5" i="16"/>
  <c r="EK5" i="16"/>
  <c r="DU5" i="16"/>
  <c r="DE5" i="16"/>
  <c r="DF6" i="16" s="1"/>
  <c r="CO5" i="16"/>
  <c r="BY5" i="16"/>
  <c r="BZ6" i="16" s="1"/>
  <c r="BJ10" i="17"/>
  <c r="BZ10" i="17"/>
  <c r="CP10" i="17"/>
  <c r="DF10" i="17"/>
  <c r="DV10" i="17"/>
  <c r="EL10" i="17"/>
  <c r="FB10" i="17"/>
  <c r="FR10" i="17"/>
  <c r="GH10" i="17"/>
  <c r="GX10" i="17"/>
  <c r="HN10" i="17"/>
  <c r="ID10" i="17"/>
  <c r="IT10" i="17"/>
  <c r="JJ10" i="17"/>
  <c r="JZ10" i="17"/>
  <c r="KP10" i="17"/>
  <c r="LF10" i="17"/>
  <c r="LV10" i="17"/>
  <c r="ML10" i="17"/>
  <c r="NB10" i="17"/>
  <c r="NR10" i="17"/>
  <c r="OH4" i="17"/>
  <c r="OH10" i="17"/>
  <c r="OG5" i="17"/>
  <c r="OH6" i="17" s="1"/>
  <c r="NQ5" i="17"/>
  <c r="NR6" i="17" s="1"/>
  <c r="NA5" i="17"/>
  <c r="NB6" i="17" s="1"/>
  <c r="MK5" i="17"/>
  <c r="ML6" i="17" s="1"/>
  <c r="LU5" i="17"/>
  <c r="LV6" i="17" s="1"/>
  <c r="LE5" i="17"/>
  <c r="LF6" i="17" s="1"/>
  <c r="KO5" i="17"/>
  <c r="KP6" i="17" s="1"/>
  <c r="JY5" i="17"/>
  <c r="JI5" i="17"/>
  <c r="IS5" i="17"/>
  <c r="IC5" i="17"/>
  <c r="HM5" i="17"/>
  <c r="GW5" i="17"/>
  <c r="GG5" i="17"/>
  <c r="FQ5" i="17"/>
  <c r="FA5" i="17"/>
  <c r="EK5" i="17"/>
  <c r="DU5" i="17"/>
  <c r="DV6" i="17" s="1"/>
  <c r="DE5" i="17"/>
  <c r="DF6" i="17" s="1"/>
  <c r="CO5" i="17"/>
  <c r="BY5" i="17"/>
  <c r="OG13" i="17"/>
  <c r="NQ13" i="17"/>
  <c r="NA13" i="17"/>
  <c r="MK13" i="17"/>
  <c r="LU13" i="17"/>
  <c r="LE13" i="17"/>
  <c r="KO13" i="17"/>
  <c r="JY13" i="17"/>
  <c r="JI13" i="17"/>
  <c r="IS13" i="17"/>
  <c r="IC13" i="17"/>
  <c r="HM13" i="17"/>
  <c r="GW13" i="17"/>
  <c r="GG13" i="17"/>
  <c r="FQ13" i="17"/>
  <c r="FA13" i="17"/>
  <c r="EK13" i="17"/>
  <c r="DU13" i="17"/>
  <c r="DE13" i="17"/>
  <c r="CO13" i="17"/>
  <c r="BY13" i="17"/>
  <c r="BI13" i="17"/>
  <c r="OG14" i="17"/>
  <c r="NQ14" i="17"/>
  <c r="NA14" i="17"/>
  <c r="MK14" i="17"/>
  <c r="LU14" i="17"/>
  <c r="LE14" i="17"/>
  <c r="KO14" i="17"/>
  <c r="JY14" i="17"/>
  <c r="JI14" i="17"/>
  <c r="IS14" i="17"/>
  <c r="IC14" i="17"/>
  <c r="HM14" i="17"/>
  <c r="GW14" i="17"/>
  <c r="GG14" i="17"/>
  <c r="FQ14" i="17"/>
  <c r="OG13" i="16"/>
  <c r="NQ13" i="16"/>
  <c r="NA13" i="16"/>
  <c r="MK13" i="16"/>
  <c r="LU13" i="16"/>
  <c r="LE13" i="16"/>
  <c r="KO13" i="16"/>
  <c r="JY13" i="16"/>
  <c r="JI13" i="16"/>
  <c r="IS13" i="16"/>
  <c r="IC13" i="16"/>
  <c r="HM13" i="16"/>
  <c r="GW13" i="16"/>
  <c r="GG13" i="16"/>
  <c r="FQ13" i="16"/>
  <c r="FA13" i="16"/>
  <c r="EK13" i="16"/>
  <c r="DU13" i="16"/>
  <c r="DE13" i="16"/>
  <c r="CO13" i="16"/>
  <c r="BY13" i="16"/>
  <c r="OG14" i="16"/>
  <c r="NQ14" i="16"/>
  <c r="NA14" i="16"/>
  <c r="MK14" i="16"/>
  <c r="LU14" i="16"/>
  <c r="LE14" i="16"/>
  <c r="KO14" i="16"/>
  <c r="JY14" i="16"/>
  <c r="JI14" i="16"/>
  <c r="IS14" i="16"/>
  <c r="IC14" i="16"/>
  <c r="HM14" i="16"/>
  <c r="GW14" i="16"/>
  <c r="GG14" i="16"/>
  <c r="FQ14" i="16"/>
  <c r="BI13" i="16"/>
  <c r="OG14" i="13"/>
  <c r="OG13" i="15"/>
  <c r="NQ13" i="15"/>
  <c r="NA13" i="15"/>
  <c r="MK13" i="15"/>
  <c r="LU13" i="15"/>
  <c r="LE13" i="15"/>
  <c r="KO13" i="15"/>
  <c r="JY13" i="15"/>
  <c r="JI13" i="15"/>
  <c r="IS13" i="15"/>
  <c r="IC13" i="15"/>
  <c r="HM13" i="15"/>
  <c r="GW13" i="15"/>
  <c r="GG13" i="15"/>
  <c r="FQ13" i="15"/>
  <c r="FA13" i="15"/>
  <c r="EK13" i="15"/>
  <c r="DU13" i="15"/>
  <c r="DE13" i="15"/>
  <c r="CO13" i="15"/>
  <c r="BY13" i="15"/>
  <c r="BI13" i="15"/>
  <c r="OG14" i="15"/>
  <c r="NQ14" i="15"/>
  <c r="NA14" i="15"/>
  <c r="MK14" i="15"/>
  <c r="LU14" i="15"/>
  <c r="LE14" i="15"/>
  <c r="KO14" i="15"/>
  <c r="JY14" i="15"/>
  <c r="JI14" i="15"/>
  <c r="IS14" i="15"/>
  <c r="IC14" i="15"/>
  <c r="HM14" i="15"/>
  <c r="GW14" i="15"/>
  <c r="GG14" i="15"/>
  <c r="FQ14" i="15"/>
  <c r="FA14" i="15"/>
  <c r="EK14" i="15"/>
  <c r="DU14" i="15"/>
  <c r="DE14" i="15"/>
  <c r="CO14" i="15"/>
  <c r="BY14" i="15"/>
  <c r="BI13" i="13"/>
  <c r="BI14" i="15"/>
  <c r="AQ6" i="13"/>
  <c r="Y6" i="13"/>
  <c r="M4" i="13" s="1"/>
  <c r="B75" i="27" l="1"/>
  <c r="B88" i="27"/>
  <c r="B76" i="27"/>
  <c r="B68" i="27"/>
  <c r="B66" i="27"/>
  <c r="B69" i="27"/>
  <c r="B64" i="27"/>
  <c r="B67" i="27"/>
  <c r="B6" i="27"/>
  <c r="B102" i="27"/>
  <c r="B65" i="27"/>
  <c r="B104" i="27"/>
  <c r="B103" i="27"/>
  <c r="B84" i="27"/>
  <c r="B85" i="27"/>
  <c r="B95" i="27"/>
  <c r="B94" i="27"/>
  <c r="B93" i="27"/>
  <c r="B84" i="24"/>
  <c r="B66" i="24"/>
  <c r="B102" i="24"/>
  <c r="B73" i="24"/>
  <c r="B88" i="24"/>
  <c r="B93" i="24"/>
  <c r="B86" i="24"/>
  <c r="B95" i="24"/>
  <c r="B75" i="24"/>
  <c r="B65" i="24"/>
  <c r="B67" i="24"/>
  <c r="B104" i="24"/>
  <c r="B64" i="24"/>
  <c r="B85" i="24"/>
  <c r="B94" i="24"/>
  <c r="B69" i="24"/>
  <c r="B96" i="24"/>
  <c r="B76" i="24"/>
  <c r="B74" i="24"/>
  <c r="B84" i="17"/>
  <c r="B102" i="16"/>
  <c r="B103" i="16"/>
  <c r="B104" i="16"/>
  <c r="E4" i="27"/>
  <c r="D5" i="27"/>
  <c r="B84" i="16"/>
  <c r="B88" i="16"/>
  <c r="AE102" i="24"/>
  <c r="AE84" i="24"/>
  <c r="CP6" i="24"/>
  <c r="CP7" i="24" s="1"/>
  <c r="CO7" i="24"/>
  <c r="CN7" i="24"/>
  <c r="CL7" i="24"/>
  <c r="C6" i="27"/>
  <c r="C104" i="27"/>
  <c r="C94" i="27"/>
  <c r="C93" i="27"/>
  <c r="C88" i="27"/>
  <c r="C86" i="27"/>
  <c r="C85" i="27"/>
  <c r="C84" i="27"/>
  <c r="C76" i="27"/>
  <c r="C75" i="27"/>
  <c r="C73" i="27"/>
  <c r="C69" i="27"/>
  <c r="C68" i="27"/>
  <c r="C66" i="27"/>
  <c r="C64" i="27"/>
  <c r="C95" i="27"/>
  <c r="C103" i="27"/>
  <c r="C74" i="27"/>
  <c r="C67" i="27"/>
  <c r="C65" i="27"/>
  <c r="C102" i="27"/>
  <c r="C96" i="27"/>
  <c r="N104" i="17"/>
  <c r="N103" i="17"/>
  <c r="N102" i="17"/>
  <c r="N96" i="17"/>
  <c r="N95" i="17"/>
  <c r="N94" i="17"/>
  <c r="N93" i="17"/>
  <c r="N88" i="17"/>
  <c r="N86" i="17"/>
  <c r="N85" i="17"/>
  <c r="N84" i="17"/>
  <c r="N76" i="17"/>
  <c r="N75" i="17"/>
  <c r="N74" i="17"/>
  <c r="N73" i="17"/>
  <c r="N69" i="17"/>
  <c r="N68" i="17"/>
  <c r="N67" i="17"/>
  <c r="N66" i="17"/>
  <c r="N65" i="17"/>
  <c r="N64" i="17"/>
  <c r="P4" i="17"/>
  <c r="Q4" i="16"/>
  <c r="O104" i="16"/>
  <c r="D104" i="16" s="1"/>
  <c r="O103" i="16"/>
  <c r="D103" i="16" s="1"/>
  <c r="O102" i="16"/>
  <c r="D102" i="16" s="1"/>
  <c r="O96" i="16"/>
  <c r="O95" i="16"/>
  <c r="O94" i="16"/>
  <c r="O93" i="16"/>
  <c r="O88" i="16"/>
  <c r="O86" i="16"/>
  <c r="O85" i="16"/>
  <c r="O84" i="16"/>
  <c r="O76" i="16"/>
  <c r="O75" i="16"/>
  <c r="O74" i="16"/>
  <c r="O73" i="16"/>
  <c r="O69" i="16"/>
  <c r="O68" i="16"/>
  <c r="O67" i="16"/>
  <c r="O66" i="16"/>
  <c r="O65" i="16"/>
  <c r="O64" i="16"/>
  <c r="N104" i="16"/>
  <c r="C104" i="16" s="1"/>
  <c r="N103" i="16"/>
  <c r="C103" i="16" s="1"/>
  <c r="N102" i="16"/>
  <c r="C102" i="16" s="1"/>
  <c r="N96" i="16"/>
  <c r="N95" i="16"/>
  <c r="N94" i="16"/>
  <c r="N93" i="16"/>
  <c r="N88" i="16"/>
  <c r="N86" i="16"/>
  <c r="N85" i="16"/>
  <c r="N84" i="16"/>
  <c r="N76" i="16"/>
  <c r="N75" i="16"/>
  <c r="N74" i="16"/>
  <c r="N73" i="16"/>
  <c r="N69" i="16"/>
  <c r="N68" i="16"/>
  <c r="N67" i="16"/>
  <c r="N66" i="16"/>
  <c r="N65" i="16"/>
  <c r="N64" i="16"/>
  <c r="M104" i="15"/>
  <c r="B104" i="15" s="1"/>
  <c r="M103" i="15"/>
  <c r="B103" i="15" s="1"/>
  <c r="M102" i="15"/>
  <c r="B102" i="15" s="1"/>
  <c r="M96" i="15"/>
  <c r="B96" i="15" s="1"/>
  <c r="M95" i="15"/>
  <c r="B95" i="15" s="1"/>
  <c r="M94" i="15"/>
  <c r="B94" i="15" s="1"/>
  <c r="M93" i="15"/>
  <c r="B93" i="15" s="1"/>
  <c r="M88" i="15"/>
  <c r="B88" i="15" s="1"/>
  <c r="M86" i="15"/>
  <c r="B86" i="15" s="1"/>
  <c r="M85" i="15"/>
  <c r="B85" i="15" s="1"/>
  <c r="M84" i="15"/>
  <c r="B84" i="15" s="1"/>
  <c r="M76" i="15"/>
  <c r="B76" i="15" s="1"/>
  <c r="M75" i="15"/>
  <c r="B75" i="15" s="1"/>
  <c r="M74" i="15"/>
  <c r="B74" i="15" s="1"/>
  <c r="M73" i="15"/>
  <c r="B73" i="15" s="1"/>
  <c r="M69" i="15"/>
  <c r="B69" i="15" s="1"/>
  <c r="M68" i="15"/>
  <c r="B68" i="15" s="1"/>
  <c r="M67" i="15"/>
  <c r="B67" i="15" s="1"/>
  <c r="M66" i="15"/>
  <c r="B66" i="15" s="1"/>
  <c r="M65" i="15"/>
  <c r="B65" i="15" s="1"/>
  <c r="M64" i="15"/>
  <c r="B64" i="15" s="1"/>
  <c r="N104" i="15"/>
  <c r="N103" i="15"/>
  <c r="N102" i="15"/>
  <c r="N96" i="15"/>
  <c r="N95" i="15"/>
  <c r="N94" i="15"/>
  <c r="N93" i="15"/>
  <c r="N88" i="15"/>
  <c r="N86" i="15"/>
  <c r="N85" i="15"/>
  <c r="N84" i="15"/>
  <c r="N76" i="15"/>
  <c r="N75" i="15"/>
  <c r="N74" i="15"/>
  <c r="N73" i="15"/>
  <c r="N69" i="15"/>
  <c r="N68" i="15"/>
  <c r="N67" i="15"/>
  <c r="N66" i="15"/>
  <c r="N65" i="15"/>
  <c r="N64" i="15"/>
  <c r="P4" i="15"/>
  <c r="P8" i="9"/>
  <c r="P5" i="9" s="1"/>
  <c r="AX95" i="25" a="1"/>
  <c r="AX95" i="25" s="1"/>
  <c r="AX85" i="25" a="1"/>
  <c r="AX85" i="25" s="1"/>
  <c r="AX94" i="25" a="1"/>
  <c r="AX94" i="25" s="1"/>
  <c r="AX84" i="25" a="1"/>
  <c r="AX84" i="25" s="1"/>
  <c r="AX69" i="25" a="1"/>
  <c r="AX69" i="25" s="1"/>
  <c r="AX104" i="25" a="1"/>
  <c r="AX104" i="25" s="1"/>
  <c r="AX76" i="25" a="1"/>
  <c r="AX76" i="25" s="1"/>
  <c r="AX68" i="25" a="1"/>
  <c r="AX68" i="25" s="1"/>
  <c r="AX103" i="25" a="1"/>
  <c r="AX103" i="25" s="1"/>
  <c r="AX93" i="25" a="1"/>
  <c r="AX93" i="25" s="1"/>
  <c r="AX67" i="25" a="1"/>
  <c r="AX67" i="25" s="1"/>
  <c r="AX102" i="25" a="1"/>
  <c r="AX102" i="25" s="1"/>
  <c r="AX75" i="25" a="1"/>
  <c r="AX75" i="25" s="1"/>
  <c r="AX66" i="25" a="1"/>
  <c r="AX66" i="25" s="1"/>
  <c r="AX88" i="25" a="1"/>
  <c r="AX88" i="25" s="1"/>
  <c r="AX74" i="25" a="1"/>
  <c r="AX74" i="25" s="1"/>
  <c r="AX65" i="25" a="1"/>
  <c r="AX65" i="25" s="1"/>
  <c r="AX96" i="25" a="1"/>
  <c r="AX96" i="25" s="1"/>
  <c r="AX86" i="25" a="1"/>
  <c r="AX86" i="25" s="1"/>
  <c r="AX64" i="25" a="1"/>
  <c r="AX64" i="25" s="1"/>
  <c r="AX73" i="25" a="1"/>
  <c r="AX73" i="25" s="1"/>
  <c r="AY5" i="25"/>
  <c r="B64" i="25"/>
  <c r="B94" i="25"/>
  <c r="B85" i="25"/>
  <c r="B93" i="25"/>
  <c r="B67" i="25"/>
  <c r="B84" i="25"/>
  <c r="B74" i="25"/>
  <c r="B86" i="25"/>
  <c r="B69" i="25"/>
  <c r="B75" i="25"/>
  <c r="B102" i="25"/>
  <c r="B95" i="25"/>
  <c r="B103" i="25"/>
  <c r="B66" i="25"/>
  <c r="B68" i="25"/>
  <c r="B96" i="25"/>
  <c r="B73" i="25"/>
  <c r="B65" i="25"/>
  <c r="B76" i="25"/>
  <c r="B104" i="25"/>
  <c r="B88" i="25"/>
  <c r="B67" i="16"/>
  <c r="B86" i="16"/>
  <c r="B66" i="17"/>
  <c r="B93" i="16"/>
  <c r="B66" i="16"/>
  <c r="B73" i="16"/>
  <c r="B85" i="16"/>
  <c r="B65" i="17"/>
  <c r="B93" i="17"/>
  <c r="B65" i="16"/>
  <c r="B69" i="16"/>
  <c r="B76" i="16"/>
  <c r="B94" i="16"/>
  <c r="B68" i="17"/>
  <c r="B75" i="17"/>
  <c r="B104" i="17"/>
  <c r="B68" i="16"/>
  <c r="B75" i="16"/>
  <c r="B95" i="17"/>
  <c r="B102" i="17"/>
  <c r="B64" i="16"/>
  <c r="B64" i="17"/>
  <c r="B96" i="16"/>
  <c r="B95" i="16"/>
  <c r="B74" i="16"/>
  <c r="Z84" i="16" a="1"/>
  <c r="Z84" i="16" s="1"/>
  <c r="BW6" i="24"/>
  <c r="BX6" i="24" s="1"/>
  <c r="AR6" i="13"/>
  <c r="AR84" i="13" a="1"/>
  <c r="AR84" i="13" s="1"/>
  <c r="CH84" i="9"/>
  <c r="CH67" i="9"/>
  <c r="CH85" i="9"/>
  <c r="CH103" i="9"/>
  <c r="CH68" i="9"/>
  <c r="CH86" i="9"/>
  <c r="CH104" i="9"/>
  <c r="CH88" i="9"/>
  <c r="CH93" i="9"/>
  <c r="CH65" i="9"/>
  <c r="CH69" i="9"/>
  <c r="CH76" i="9"/>
  <c r="CH102" i="9"/>
  <c r="CH94" i="9"/>
  <c r="CH95" i="9"/>
  <c r="CH96" i="9"/>
  <c r="CH73" i="9"/>
  <c r="CH64" i="9"/>
  <c r="CH66" i="9"/>
  <c r="CH74" i="9"/>
  <c r="CH75" i="9"/>
  <c r="AR94" i="9"/>
  <c r="AR103" i="9"/>
  <c r="AR69" i="9"/>
  <c r="AR88" i="9"/>
  <c r="AR95" i="9"/>
  <c r="AR65" i="9"/>
  <c r="AR96" i="9"/>
  <c r="AR74" i="9"/>
  <c r="AR73" i="9"/>
  <c r="AR68" i="9"/>
  <c r="AR64" i="9"/>
  <c r="AR66" i="9"/>
  <c r="AR104" i="9"/>
  <c r="AR67" i="9"/>
  <c r="AR93" i="9"/>
  <c r="AR102" i="9"/>
  <c r="AR85" i="9"/>
  <c r="AR86" i="9"/>
  <c r="AR84" i="9"/>
  <c r="OH13" i="17"/>
  <c r="AS5" i="15"/>
  <c r="AR84" i="15" a="1"/>
  <c r="AR84" i="15" s="1"/>
  <c r="AR6" i="15"/>
  <c r="BF75" i="9"/>
  <c r="BF69" i="9"/>
  <c r="BF86" i="9"/>
  <c r="BF104" i="9"/>
  <c r="BF95" i="9"/>
  <c r="BF68" i="9"/>
  <c r="BF64" i="9"/>
  <c r="BF84" i="9"/>
  <c r="BF93" i="9"/>
  <c r="BF74" i="9"/>
  <c r="BF94" i="9"/>
  <c r="BF85" i="9"/>
  <c r="BF76" i="9"/>
  <c r="BF66" i="9"/>
  <c r="BF67" i="9"/>
  <c r="BF88" i="9"/>
  <c r="BF102" i="9"/>
  <c r="BF73" i="9"/>
  <c r="BF103" i="9"/>
  <c r="BF65" i="9"/>
  <c r="BF96" i="9"/>
  <c r="AS102" i="24"/>
  <c r="AS104" i="24"/>
  <c r="AS85" i="24"/>
  <c r="AS68" i="24"/>
  <c r="AS75" i="24"/>
  <c r="AS86" i="24"/>
  <c r="AS66" i="24"/>
  <c r="AS67" i="24"/>
  <c r="AS84" i="24"/>
  <c r="AS96" i="24"/>
  <c r="AS65" i="24"/>
  <c r="AS103" i="24"/>
  <c r="AS74" i="24"/>
  <c r="AS76" i="24"/>
  <c r="AS88" i="24"/>
  <c r="AS73" i="24"/>
  <c r="AS64" i="24"/>
  <c r="AS94" i="24"/>
  <c r="AS69" i="24"/>
  <c r="AS93" i="24"/>
  <c r="AS95" i="24"/>
  <c r="Q64" i="24"/>
  <c r="Q65" i="24"/>
  <c r="Q88" i="24"/>
  <c r="Q86" i="24"/>
  <c r="Q85" i="24"/>
  <c r="Q84" i="24"/>
  <c r="Q104" i="24"/>
  <c r="Q103" i="24"/>
  <c r="Q76" i="24"/>
  <c r="Q96" i="24"/>
  <c r="Q67" i="24"/>
  <c r="Q66" i="24"/>
  <c r="Q102" i="24"/>
  <c r="Q68" i="24"/>
  <c r="Q75" i="24"/>
  <c r="Q95" i="24"/>
  <c r="Q74" i="24"/>
  <c r="Q69" i="24"/>
  <c r="Q93" i="24"/>
  <c r="Q73" i="24"/>
  <c r="Q94" i="24"/>
  <c r="AD84" i="9"/>
  <c r="BG94" i="24"/>
  <c r="BG65" i="24"/>
  <c r="BG96" i="24"/>
  <c r="BG67" i="24"/>
  <c r="BG103" i="24"/>
  <c r="BG95" i="24"/>
  <c r="BG84" i="24"/>
  <c r="BG104" i="24"/>
  <c r="BG68" i="24"/>
  <c r="BG64" i="24"/>
  <c r="BG102" i="24"/>
  <c r="BG85" i="24"/>
  <c r="BG66" i="24"/>
  <c r="BG74" i="24"/>
  <c r="BG73" i="24"/>
  <c r="BG93" i="24"/>
  <c r="BG75" i="24"/>
  <c r="BG69" i="24"/>
  <c r="AD67" i="9"/>
  <c r="AD73" i="9"/>
  <c r="BU95" i="24"/>
  <c r="BU104" i="24"/>
  <c r="BU102" i="24"/>
  <c r="BU75" i="24"/>
  <c r="BU67" i="24"/>
  <c r="BU65" i="24"/>
  <c r="BU85" i="24"/>
  <c r="BU66" i="24"/>
  <c r="BU76" i="24"/>
  <c r="BU103" i="24"/>
  <c r="BU86" i="24"/>
  <c r="BU96" i="24"/>
  <c r="BU94" i="24"/>
  <c r="BU64" i="24"/>
  <c r="BU68" i="24"/>
  <c r="BU74" i="24"/>
  <c r="BU84" i="24"/>
  <c r="BU69" i="24"/>
  <c r="AE94" i="24"/>
  <c r="BU93" i="24"/>
  <c r="AD103" i="9"/>
  <c r="AD95" i="9"/>
  <c r="AD86" i="9"/>
  <c r="AD75" i="9"/>
  <c r="AD65" i="9"/>
  <c r="AD64" i="9"/>
  <c r="AD104" i="9"/>
  <c r="AD96" i="9"/>
  <c r="AD74" i="9"/>
  <c r="AD94" i="9"/>
  <c r="AD69" i="9"/>
  <c r="AD93" i="9"/>
  <c r="AD68" i="9"/>
  <c r="AD76" i="9"/>
  <c r="AD66" i="9"/>
  <c r="Z84" i="15" a="1"/>
  <c r="Z84" i="15" s="1"/>
  <c r="AA84" i="15" s="1" a="1"/>
  <c r="AA84" i="15" s="1"/>
  <c r="CI86" i="24"/>
  <c r="CI67" i="24"/>
  <c r="CI102" i="24"/>
  <c r="CI76" i="24"/>
  <c r="CI96" i="24"/>
  <c r="CI75" i="24"/>
  <c r="CI73" i="24"/>
  <c r="CI66" i="24"/>
  <c r="CI93" i="24"/>
  <c r="CI68" i="24"/>
  <c r="CI85" i="24"/>
  <c r="CI64" i="24"/>
  <c r="CI84" i="24"/>
  <c r="CI95" i="24"/>
  <c r="CI104" i="24"/>
  <c r="CI65" i="24"/>
  <c r="CI103" i="24"/>
  <c r="CI69" i="24"/>
  <c r="BG88" i="24"/>
  <c r="AE85" i="24"/>
  <c r="C85" i="24" s="1"/>
  <c r="AE95" i="24"/>
  <c r="AE73" i="24"/>
  <c r="BU73" i="24"/>
  <c r="CI94" i="24"/>
  <c r="BT69" i="9"/>
  <c r="BT67" i="9"/>
  <c r="BT66" i="9"/>
  <c r="BT73" i="9"/>
  <c r="BT103" i="9"/>
  <c r="BT75" i="9"/>
  <c r="BT88" i="9"/>
  <c r="BT93" i="9"/>
  <c r="BT74" i="9"/>
  <c r="BT76" i="9"/>
  <c r="BT65" i="9"/>
  <c r="BT96" i="9"/>
  <c r="BT85" i="9"/>
  <c r="BT68" i="9"/>
  <c r="BT104" i="9"/>
  <c r="BT86" i="9"/>
  <c r="BT102" i="9"/>
  <c r="BT94" i="9"/>
  <c r="BT95" i="9"/>
  <c r="BT64" i="9"/>
  <c r="BT84" i="9"/>
  <c r="Z84" i="17" a="1"/>
  <c r="Z84" i="17" s="1"/>
  <c r="BG86" i="24"/>
  <c r="BG76" i="24"/>
  <c r="BU88" i="24"/>
  <c r="CI74" i="24"/>
  <c r="AD102" i="9"/>
  <c r="AE67" i="24"/>
  <c r="AE96" i="24"/>
  <c r="AE75" i="24"/>
  <c r="AE68" i="24"/>
  <c r="C68" i="24" s="1"/>
  <c r="AE65" i="24"/>
  <c r="AE64" i="24"/>
  <c r="AE69" i="24"/>
  <c r="C69" i="24" s="1"/>
  <c r="AE66" i="24"/>
  <c r="AE103" i="24"/>
  <c r="AE76" i="24"/>
  <c r="AE74" i="24"/>
  <c r="C74" i="24" s="1"/>
  <c r="AE104" i="24"/>
  <c r="AE88" i="24"/>
  <c r="AE93" i="24"/>
  <c r="C93" i="24" s="1"/>
  <c r="AD85" i="9"/>
  <c r="AU6" i="24"/>
  <c r="AT7" i="24"/>
  <c r="C85" i="25"/>
  <c r="AH6" i="24"/>
  <c r="AG7" i="24"/>
  <c r="S6" i="24"/>
  <c r="R7" i="24"/>
  <c r="CJ5" i="24"/>
  <c r="BV5" i="24"/>
  <c r="BH5" i="24"/>
  <c r="AT5" i="24"/>
  <c r="AF5" i="24"/>
  <c r="R5" i="24"/>
  <c r="B105" i="12"/>
  <c r="B110" i="16"/>
  <c r="B111" i="16" s="1"/>
  <c r="NB6" i="13"/>
  <c r="KP6" i="13"/>
  <c r="ML6" i="13"/>
  <c r="AS5" i="17"/>
  <c r="AR6" i="17"/>
  <c r="AS5" i="16"/>
  <c r="AR6" i="16"/>
  <c r="CI5" i="9"/>
  <c r="CJ5" i="9" s="1"/>
  <c r="AR86" i="13" a="1"/>
  <c r="AR86" i="13" s="1"/>
  <c r="AR103" i="13" a="1"/>
  <c r="AR103" i="13" s="1"/>
  <c r="AR64" i="13" a="1"/>
  <c r="AR64" i="13" s="1"/>
  <c r="AR93" i="13" a="1"/>
  <c r="AR93" i="13" s="1"/>
  <c r="AR88" i="13" a="1"/>
  <c r="AR88" i="13" s="1"/>
  <c r="AR76" i="13" a="1"/>
  <c r="AR76" i="13" s="1"/>
  <c r="AR94" i="13" a="1"/>
  <c r="AR94" i="13" s="1"/>
  <c r="AR66" i="13" a="1"/>
  <c r="AR66" i="13" s="1"/>
  <c r="AR104" i="13" a="1"/>
  <c r="AR104" i="13" s="1"/>
  <c r="AR96" i="13" a="1"/>
  <c r="AR96" i="13" s="1"/>
  <c r="AR102" i="13" a="1"/>
  <c r="AR102" i="13" s="1"/>
  <c r="B110" i="17"/>
  <c r="B111" i="17" s="1"/>
  <c r="B110" i="15"/>
  <c r="B111" i="15" s="1"/>
  <c r="AS66" i="17" a="1"/>
  <c r="AS66" i="17" s="1"/>
  <c r="AS93" i="17" a="1"/>
  <c r="AS93" i="17" s="1"/>
  <c r="AS96" i="17" a="1"/>
  <c r="AS96" i="17" s="1"/>
  <c r="AA102" i="17" a="1"/>
  <c r="AA102" i="17" s="1"/>
  <c r="AS85" i="17" a="1"/>
  <c r="AS85" i="17" s="1"/>
  <c r="AA5" i="17"/>
  <c r="AA84" i="16" a="1"/>
  <c r="AA84" i="16" s="1"/>
  <c r="AS66" i="16" a="1"/>
  <c r="AS66" i="16" s="1"/>
  <c r="AA5" i="16"/>
  <c r="AS66" i="15" a="1"/>
  <c r="AS66" i="15" s="1"/>
  <c r="AA5" i="15"/>
  <c r="Z66" i="17" a="1"/>
  <c r="Z66" i="17" s="1"/>
  <c r="AR68" i="17" a="1"/>
  <c r="AR68" i="17" s="1"/>
  <c r="AS68" i="17" s="1" a="1"/>
  <c r="AS68" i="17" s="1"/>
  <c r="Z64" i="17" a="1"/>
  <c r="Z64" i="17" s="1"/>
  <c r="Z69" i="17" a="1"/>
  <c r="Z69" i="17" s="1"/>
  <c r="Z75" i="17" a="1"/>
  <c r="Z75" i="17" s="1"/>
  <c r="Z65" i="17" a="1"/>
  <c r="Z65" i="17" s="1"/>
  <c r="Z85" i="17" a="1"/>
  <c r="Z85" i="17" s="1"/>
  <c r="Z73" i="17" a="1"/>
  <c r="Z73" i="17" s="1"/>
  <c r="Z76" i="17" a="1"/>
  <c r="Z76" i="17" s="1"/>
  <c r="Z74" i="17" a="1"/>
  <c r="Z74" i="17" s="1"/>
  <c r="Z88" i="17" a="1"/>
  <c r="Z88" i="17" s="1"/>
  <c r="Z94" i="17" a="1"/>
  <c r="Z94" i="17" s="1"/>
  <c r="Z86" i="17" a="1"/>
  <c r="Z86" i="17" s="1"/>
  <c r="Z96" i="17" a="1"/>
  <c r="Z96" i="17" s="1"/>
  <c r="Z93" i="17" a="1"/>
  <c r="Z93" i="17" s="1"/>
  <c r="Z95" i="17" a="1"/>
  <c r="Z95" i="17" s="1"/>
  <c r="Z67" i="16" a="1"/>
  <c r="Z67" i="16" s="1"/>
  <c r="AR74" i="16" a="1"/>
  <c r="AR74" i="16" s="1"/>
  <c r="Z73" i="16" a="1"/>
  <c r="Z73" i="16" s="1"/>
  <c r="Z65" i="16" a="1"/>
  <c r="Z65" i="16" s="1"/>
  <c r="Z66" i="16" a="1"/>
  <c r="Z66" i="16" s="1"/>
  <c r="Z64" i="16" a="1"/>
  <c r="Z64" i="16" s="1"/>
  <c r="Z68" i="16" a="1"/>
  <c r="Z68" i="16" s="1"/>
  <c r="Z75" i="16" a="1"/>
  <c r="Z75" i="16" s="1"/>
  <c r="Z69" i="16" a="1"/>
  <c r="Z69" i="16" s="1"/>
  <c r="Z88" i="16" a="1"/>
  <c r="Z88" i="16" s="1"/>
  <c r="Z94" i="16" a="1"/>
  <c r="Z94" i="16" s="1"/>
  <c r="Z102" i="16" a="1"/>
  <c r="Z102" i="16" s="1"/>
  <c r="Z96" i="16" a="1"/>
  <c r="Z96" i="16" s="1"/>
  <c r="Z95" i="16" a="1"/>
  <c r="Z95" i="16" s="1"/>
  <c r="AA93" i="16" a="1"/>
  <c r="AA93" i="16" s="1"/>
  <c r="Z103" i="16" a="1"/>
  <c r="Z103" i="16" s="1"/>
  <c r="Z104" i="16" a="1"/>
  <c r="Z104" i="16" s="1"/>
  <c r="Z69" i="15" a="1"/>
  <c r="Z69" i="15" s="1"/>
  <c r="AA66" i="15" a="1"/>
  <c r="AA66" i="15" s="1"/>
  <c r="AA67" i="15" a="1"/>
  <c r="AA67" i="15" s="1"/>
  <c r="AA65" i="15" a="1"/>
  <c r="AA65" i="15" s="1"/>
  <c r="AA75" i="15" a="1"/>
  <c r="AA75" i="15" s="1"/>
  <c r="Z64" i="15" a="1"/>
  <c r="Z64" i="15" s="1"/>
  <c r="AR65" i="15" a="1"/>
  <c r="AR65" i="15" s="1"/>
  <c r="AS65" i="15" s="1" a="1"/>
  <c r="AS65" i="15" s="1"/>
  <c r="Z85" i="15" a="1"/>
  <c r="Z85" i="15" s="1"/>
  <c r="AA76" i="15" a="1"/>
  <c r="AA76" i="15" s="1"/>
  <c r="Z74" i="15" a="1"/>
  <c r="Z74" i="15" s="1"/>
  <c r="AA86" i="15" a="1"/>
  <c r="AA86" i="15" s="1"/>
  <c r="AA88" i="15" a="1"/>
  <c r="AA88" i="15" s="1"/>
  <c r="Z93" i="15" a="1"/>
  <c r="Z93" i="15" s="1"/>
  <c r="Z102" i="15" a="1"/>
  <c r="Z102" i="15" s="1"/>
  <c r="Z94" i="15" a="1"/>
  <c r="Z94" i="15" s="1"/>
  <c r="AA96" i="15" a="1"/>
  <c r="AA96" i="15" s="1"/>
  <c r="AA103" i="15" a="1"/>
  <c r="AA103" i="15" s="1"/>
  <c r="AA95" i="15" a="1"/>
  <c r="AA95" i="15" s="1"/>
  <c r="AR103" i="15" a="1"/>
  <c r="AR103" i="15" s="1"/>
  <c r="AS103" i="15" s="1" a="1"/>
  <c r="AS103" i="15" s="1"/>
  <c r="Z104" i="15" a="1"/>
  <c r="Z104" i="15" s="1"/>
  <c r="OH5" i="17"/>
  <c r="OI6" i="17" s="1"/>
  <c r="ML6" i="16"/>
  <c r="AR67" i="13" a="1"/>
  <c r="AR67" i="13" s="1"/>
  <c r="AR68" i="13" a="1"/>
  <c r="AR68" i="13" s="1"/>
  <c r="AR85" i="13" a="1"/>
  <c r="AR85" i="13" s="1"/>
  <c r="AR95" i="13" a="1"/>
  <c r="AR95" i="13" s="1"/>
  <c r="AR73" i="13" a="1"/>
  <c r="AR73" i="13" s="1"/>
  <c r="AR69" i="13" a="1"/>
  <c r="AR69" i="13" s="1"/>
  <c r="AR74" i="13" a="1"/>
  <c r="AR74" i="13" s="1"/>
  <c r="AR75" i="13" a="1"/>
  <c r="AR75" i="13" s="1"/>
  <c r="AR65" i="13" a="1"/>
  <c r="AR65" i="13" s="1"/>
  <c r="AR5" i="13"/>
  <c r="Z5" i="13"/>
  <c r="C104" i="24" l="1"/>
  <c r="C94" i="24"/>
  <c r="C67" i="24"/>
  <c r="C66" i="24"/>
  <c r="C86" i="24"/>
  <c r="C64" i="24"/>
  <c r="C65" i="24"/>
  <c r="C75" i="24"/>
  <c r="C73" i="24"/>
  <c r="C76" i="24"/>
  <c r="C103" i="24"/>
  <c r="C96" i="24"/>
  <c r="C95" i="24"/>
  <c r="C84" i="24"/>
  <c r="C102" i="24"/>
  <c r="C88" i="24"/>
  <c r="F4" i="27"/>
  <c r="E5" i="27"/>
  <c r="BW7" i="24"/>
  <c r="B86" i="17"/>
  <c r="B67" i="17"/>
  <c r="B96" i="17"/>
  <c r="B74" i="17"/>
  <c r="B94" i="17"/>
  <c r="B88" i="17"/>
  <c r="B73" i="17"/>
  <c r="B103" i="17"/>
  <c r="B76" i="17"/>
  <c r="B69" i="17"/>
  <c r="B85" i="17"/>
  <c r="D103" i="27"/>
  <c r="D68" i="27"/>
  <c r="D65" i="27"/>
  <c r="D96" i="27"/>
  <c r="D104" i="27"/>
  <c r="D95" i="27"/>
  <c r="D94" i="27"/>
  <c r="D93" i="27"/>
  <c r="D88" i="27"/>
  <c r="D86" i="27"/>
  <c r="D85" i="27"/>
  <c r="D84" i="27"/>
  <c r="D76" i="27"/>
  <c r="D75" i="27"/>
  <c r="D74" i="27"/>
  <c r="D73" i="27"/>
  <c r="D69" i="27"/>
  <c r="D67" i="27"/>
  <c r="D66" i="27"/>
  <c r="D64" i="27"/>
  <c r="D6" i="27"/>
  <c r="D102" i="27"/>
  <c r="M103" i="13"/>
  <c r="M85" i="13"/>
  <c r="M67" i="13"/>
  <c r="M102" i="13"/>
  <c r="M84" i="13"/>
  <c r="B84" i="13" s="1"/>
  <c r="M66" i="13"/>
  <c r="M96" i="13"/>
  <c r="M76" i="13"/>
  <c r="M65" i="13"/>
  <c r="M95" i="13"/>
  <c r="M75" i="13"/>
  <c r="M64" i="13"/>
  <c r="M94" i="13"/>
  <c r="M74" i="13"/>
  <c r="M93" i="13"/>
  <c r="M73" i="13"/>
  <c r="M6" i="13"/>
  <c r="M88" i="13"/>
  <c r="M69" i="13"/>
  <c r="M104" i="13"/>
  <c r="M86" i="13"/>
  <c r="M68" i="13"/>
  <c r="O104" i="17"/>
  <c r="O103" i="17"/>
  <c r="O102" i="17"/>
  <c r="O96" i="17"/>
  <c r="O95" i="17"/>
  <c r="O94" i="17"/>
  <c r="O93" i="17"/>
  <c r="O88" i="17"/>
  <c r="O86" i="17"/>
  <c r="O85" i="17"/>
  <c r="O84" i="17"/>
  <c r="O76" i="17"/>
  <c r="O75" i="17"/>
  <c r="O74" i="17"/>
  <c r="O73" i="17"/>
  <c r="O69" i="17"/>
  <c r="O68" i="17"/>
  <c r="O67" i="17"/>
  <c r="O66" i="17"/>
  <c r="O65" i="17"/>
  <c r="O64" i="17"/>
  <c r="Q4" i="17"/>
  <c r="P104" i="16"/>
  <c r="E104" i="16" s="1"/>
  <c r="P103" i="16"/>
  <c r="E103" i="16" s="1"/>
  <c r="P102" i="16"/>
  <c r="E102" i="16" s="1"/>
  <c r="P96" i="16"/>
  <c r="P95" i="16"/>
  <c r="P94" i="16"/>
  <c r="P93" i="16"/>
  <c r="P88" i="16"/>
  <c r="P86" i="16"/>
  <c r="P85" i="16"/>
  <c r="P84" i="16"/>
  <c r="P76" i="16"/>
  <c r="P75" i="16"/>
  <c r="P74" i="16"/>
  <c r="P73" i="16"/>
  <c r="P69" i="16"/>
  <c r="P68" i="16"/>
  <c r="P67" i="16"/>
  <c r="P66" i="16"/>
  <c r="P65" i="16"/>
  <c r="P64" i="16"/>
  <c r="R4" i="16"/>
  <c r="O104" i="15"/>
  <c r="O103" i="15"/>
  <c r="O102" i="15"/>
  <c r="O96" i="15"/>
  <c r="O95" i="15"/>
  <c r="O94" i="15"/>
  <c r="O93" i="15"/>
  <c r="O88" i="15"/>
  <c r="O86" i="15"/>
  <c r="O85" i="15"/>
  <c r="O84" i="15"/>
  <c r="O76" i="15"/>
  <c r="O75" i="15"/>
  <c r="O74" i="15"/>
  <c r="O73" i="15"/>
  <c r="O69" i="15"/>
  <c r="O68" i="15"/>
  <c r="O67" i="15"/>
  <c r="O66" i="15"/>
  <c r="O65" i="15"/>
  <c r="O64" i="15"/>
  <c r="Q4" i="15"/>
  <c r="AY95" i="25" a="1"/>
  <c r="AY95" i="25" s="1"/>
  <c r="AY76" i="25" a="1"/>
  <c r="AY76" i="25" s="1"/>
  <c r="AY66" i="25" a="1"/>
  <c r="AY66" i="25" s="1"/>
  <c r="AY65" i="25" a="1"/>
  <c r="AY65" i="25" s="1"/>
  <c r="AY94" i="25" a="1"/>
  <c r="AY94" i="25" s="1"/>
  <c r="AY75" i="25" a="1"/>
  <c r="AY75" i="25" s="1"/>
  <c r="AY93" i="25" a="1"/>
  <c r="AY93" i="25" s="1"/>
  <c r="AY74" i="25" a="1"/>
  <c r="AY74" i="25" s="1"/>
  <c r="AY104" i="25" a="1"/>
  <c r="AY104" i="25" s="1"/>
  <c r="AY88" i="25" a="1"/>
  <c r="AY88" i="25" s="1"/>
  <c r="AY73" i="25" a="1"/>
  <c r="AY73" i="25" s="1"/>
  <c r="AY103" i="25" a="1"/>
  <c r="AY103" i="25" s="1"/>
  <c r="AY86" i="25" a="1"/>
  <c r="AY86" i="25" s="1"/>
  <c r="AY69" i="25" a="1"/>
  <c r="AY69" i="25" s="1"/>
  <c r="AY102" i="25" a="1"/>
  <c r="AY102" i="25" s="1"/>
  <c r="AY85" i="25" a="1"/>
  <c r="AY85" i="25" s="1"/>
  <c r="AY68" i="25" a="1"/>
  <c r="AY68" i="25" s="1"/>
  <c r="AZ5" i="25"/>
  <c r="AY96" i="25" a="1"/>
  <c r="AY96" i="25" s="1"/>
  <c r="AY84" i="25" a="1"/>
  <c r="AY84" i="25" s="1"/>
  <c r="AY67" i="25" a="1"/>
  <c r="AY67" i="25" s="1"/>
  <c r="AY64" i="25" a="1"/>
  <c r="AY64" i="25" s="1"/>
  <c r="C93" i="25"/>
  <c r="C75" i="25"/>
  <c r="C96" i="25"/>
  <c r="C68" i="25"/>
  <c r="C84" i="25"/>
  <c r="C94" i="25"/>
  <c r="C67" i="25"/>
  <c r="C86" i="25"/>
  <c r="C73" i="25"/>
  <c r="C95" i="25"/>
  <c r="C74" i="25"/>
  <c r="C102" i="25"/>
  <c r="C76" i="25"/>
  <c r="C103" i="25"/>
  <c r="C69" i="25"/>
  <c r="C64" i="25"/>
  <c r="C104" i="25"/>
  <c r="C66" i="25"/>
  <c r="C65" i="25"/>
  <c r="C88" i="25"/>
  <c r="AA73" i="15" a="1"/>
  <c r="AA73" i="15" s="1"/>
  <c r="AA68" i="15" a="1"/>
  <c r="AA68" i="15" s="1"/>
  <c r="AS67" i="17" a="1"/>
  <c r="AS67" i="17" s="1"/>
  <c r="AT96" i="24"/>
  <c r="AT65" i="24"/>
  <c r="AT104" i="24"/>
  <c r="AT94" i="24"/>
  <c r="AT86" i="24"/>
  <c r="AT85" i="24"/>
  <c r="AT84" i="24"/>
  <c r="AT75" i="24"/>
  <c r="AT68" i="24"/>
  <c r="AT102" i="24"/>
  <c r="AT66" i="24"/>
  <c r="AT103" i="24"/>
  <c r="AT67" i="24"/>
  <c r="AT74" i="24"/>
  <c r="AT76" i="24"/>
  <c r="AT95" i="24"/>
  <c r="AT69" i="24"/>
  <c r="AT93" i="24"/>
  <c r="AT73" i="24"/>
  <c r="AT64" i="24"/>
  <c r="AT88" i="24"/>
  <c r="AS64" i="15" a="1"/>
  <c r="AS64" i="15" s="1"/>
  <c r="AA84" i="17" a="1"/>
  <c r="AA84" i="17" s="1"/>
  <c r="CI6" i="9"/>
  <c r="CI9" i="9" s="1"/>
  <c r="CI85" i="9"/>
  <c r="CI104" i="9"/>
  <c r="CI75" i="9"/>
  <c r="CI73" i="9"/>
  <c r="CI102" i="9"/>
  <c r="CI93" i="9"/>
  <c r="CI86" i="9"/>
  <c r="CI84" i="9"/>
  <c r="CI88" i="9"/>
  <c r="CI103" i="9"/>
  <c r="CI74" i="9"/>
  <c r="CI67" i="9"/>
  <c r="CI94" i="9"/>
  <c r="CI69" i="9"/>
  <c r="CI76" i="9"/>
  <c r="CI65" i="9"/>
  <c r="CI95" i="9"/>
  <c r="CI66" i="9"/>
  <c r="CI68" i="9"/>
  <c r="CI96" i="9"/>
  <c r="CI64" i="9"/>
  <c r="BH73" i="24"/>
  <c r="BH68" i="24"/>
  <c r="BH66" i="24"/>
  <c r="BH64" i="24"/>
  <c r="BH67" i="24"/>
  <c r="BH65" i="24"/>
  <c r="BH104" i="24"/>
  <c r="BH86" i="24"/>
  <c r="BH102" i="24"/>
  <c r="BH85" i="24"/>
  <c r="BH103" i="24"/>
  <c r="BH96" i="24"/>
  <c r="BH69" i="24"/>
  <c r="BH88" i="24"/>
  <c r="BH76" i="24"/>
  <c r="BH94" i="24"/>
  <c r="BH84" i="24"/>
  <c r="BH93" i="24"/>
  <c r="BH75" i="24"/>
  <c r="BH74" i="24"/>
  <c r="BH95" i="24"/>
  <c r="AS84" i="15" a="1"/>
  <c r="AS84" i="15" s="1"/>
  <c r="BV94" i="24"/>
  <c r="BV103" i="24"/>
  <c r="BV96" i="24"/>
  <c r="BV86" i="24"/>
  <c r="BV85" i="24"/>
  <c r="BV84" i="24"/>
  <c r="BV76" i="24"/>
  <c r="BV68" i="24"/>
  <c r="BV74" i="24"/>
  <c r="BV66" i="24"/>
  <c r="BV104" i="24"/>
  <c r="BV64" i="24"/>
  <c r="BV95" i="24"/>
  <c r="BV67" i="24"/>
  <c r="BV75" i="24"/>
  <c r="BV102" i="24"/>
  <c r="BV65" i="24"/>
  <c r="BV88" i="24"/>
  <c r="BV93" i="24"/>
  <c r="BV69" i="24"/>
  <c r="BV73" i="24"/>
  <c r="AV6" i="24"/>
  <c r="AU7" i="24"/>
  <c r="AS84" i="17" a="1"/>
  <c r="AS84" i="17" s="1"/>
  <c r="AA104" i="17" a="1"/>
  <c r="AA104" i="17" s="1"/>
  <c r="CJ104" i="24"/>
  <c r="CJ85" i="24"/>
  <c r="CJ66" i="24"/>
  <c r="CJ96" i="24"/>
  <c r="CJ75" i="24"/>
  <c r="CJ95" i="24"/>
  <c r="CJ102" i="24"/>
  <c r="CJ76" i="24"/>
  <c r="CJ103" i="24"/>
  <c r="CJ84" i="24"/>
  <c r="CJ68" i="24"/>
  <c r="CJ64" i="24"/>
  <c r="CJ86" i="24"/>
  <c r="CJ67" i="24"/>
  <c r="CJ65" i="24"/>
  <c r="CJ93" i="24"/>
  <c r="CJ88" i="24"/>
  <c r="CJ74" i="24"/>
  <c r="CJ73" i="24"/>
  <c r="CJ94" i="24"/>
  <c r="CJ69" i="24"/>
  <c r="AS68" i="16" a="1"/>
  <c r="AS68" i="16" s="1"/>
  <c r="R86" i="24"/>
  <c r="R85" i="24"/>
  <c r="R84" i="24"/>
  <c r="R64" i="24"/>
  <c r="R104" i="24"/>
  <c r="R103" i="24"/>
  <c r="R76" i="24"/>
  <c r="R102" i="24"/>
  <c r="R96" i="24"/>
  <c r="R95" i="24"/>
  <c r="R68" i="24"/>
  <c r="R67" i="24"/>
  <c r="R66" i="24"/>
  <c r="R75" i="24"/>
  <c r="R65" i="24"/>
  <c r="R94" i="24"/>
  <c r="R74" i="24"/>
  <c r="R88" i="24"/>
  <c r="R93" i="24"/>
  <c r="R73" i="24"/>
  <c r="R69" i="24"/>
  <c r="BY6" i="24"/>
  <c r="BX7" i="24"/>
  <c r="AS74" i="16" a="1"/>
  <c r="AS74" i="16" s="1"/>
  <c r="AS102" i="16" a="1"/>
  <c r="AS102" i="16" s="1"/>
  <c r="P94" i="9"/>
  <c r="B94" i="9" s="1"/>
  <c r="P75" i="9"/>
  <c r="B75" i="9" s="1"/>
  <c r="P64" i="9"/>
  <c r="B64" i="9" s="1"/>
  <c r="P95" i="9"/>
  <c r="B95" i="9" s="1"/>
  <c r="P74" i="9"/>
  <c r="B74" i="9" s="1"/>
  <c r="P84" i="9"/>
  <c r="B84" i="9" s="1"/>
  <c r="P86" i="9"/>
  <c r="B86" i="9" s="1"/>
  <c r="P65" i="9"/>
  <c r="B65" i="9" s="1"/>
  <c r="P68" i="9"/>
  <c r="B68" i="9" s="1"/>
  <c r="P103" i="9"/>
  <c r="B103" i="9" s="1"/>
  <c r="P85" i="9"/>
  <c r="B85" i="9" s="1"/>
  <c r="P76" i="9"/>
  <c r="B76" i="9" s="1"/>
  <c r="P67" i="9"/>
  <c r="B67" i="9" s="1"/>
  <c r="P66" i="9"/>
  <c r="B66" i="9" s="1"/>
  <c r="P104" i="9"/>
  <c r="B104" i="9" s="1"/>
  <c r="P88" i="9"/>
  <c r="B88" i="9" s="1"/>
  <c r="P69" i="9"/>
  <c r="B69" i="9" s="1"/>
  <c r="P73" i="9"/>
  <c r="B73" i="9" s="1"/>
  <c r="P102" i="9"/>
  <c r="B102" i="9" s="1"/>
  <c r="P93" i="9"/>
  <c r="B93" i="9" s="1"/>
  <c r="P96" i="9"/>
  <c r="B96" i="9" s="1"/>
  <c r="Z84" i="13" a="1"/>
  <c r="Z84" i="13" s="1"/>
  <c r="AA76" i="16" a="1"/>
  <c r="AA76" i="16" s="1"/>
  <c r="AS76" i="16" a="1"/>
  <c r="AS76" i="16" s="1"/>
  <c r="AS65" i="17" a="1"/>
  <c r="AS65" i="17" s="1"/>
  <c r="CJ68" i="9"/>
  <c r="CJ64" i="9"/>
  <c r="CJ75" i="9"/>
  <c r="CJ104" i="9"/>
  <c r="CJ65" i="9"/>
  <c r="CJ95" i="9"/>
  <c r="CJ73" i="9"/>
  <c r="CJ93" i="9"/>
  <c r="CJ74" i="9"/>
  <c r="CJ94" i="9"/>
  <c r="CJ88" i="9"/>
  <c r="CJ84" i="9"/>
  <c r="CJ85" i="9"/>
  <c r="CJ86" i="9"/>
  <c r="CJ96" i="9"/>
  <c r="CJ66" i="9"/>
  <c r="CJ67" i="9"/>
  <c r="CJ69" i="9"/>
  <c r="CJ103" i="9"/>
  <c r="CJ102" i="9"/>
  <c r="CJ76" i="9"/>
  <c r="AF66" i="24"/>
  <c r="AF75" i="24"/>
  <c r="AF68" i="24"/>
  <c r="AF65" i="24"/>
  <c r="AF64" i="24"/>
  <c r="AF76" i="24"/>
  <c r="AF103" i="24"/>
  <c r="AF96" i="24"/>
  <c r="AF104" i="24"/>
  <c r="AF88" i="24"/>
  <c r="AF74" i="24"/>
  <c r="AF69" i="24"/>
  <c r="AF85" i="24"/>
  <c r="AF102" i="24"/>
  <c r="AF86" i="24"/>
  <c r="D86" i="24" s="1"/>
  <c r="AF95" i="24"/>
  <c r="AF93" i="24"/>
  <c r="AF73" i="24"/>
  <c r="AF67" i="24"/>
  <c r="AF84" i="24"/>
  <c r="AF94" i="24"/>
  <c r="D94" i="24" s="1"/>
  <c r="AS84" i="16" a="1"/>
  <c r="AS84" i="16" s="1"/>
  <c r="AI6" i="24"/>
  <c r="AH7" i="24"/>
  <c r="T6" i="24"/>
  <c r="S7" i="24"/>
  <c r="CK5" i="24"/>
  <c r="BW5" i="24"/>
  <c r="BI5" i="24"/>
  <c r="AU5" i="24"/>
  <c r="AG5" i="24"/>
  <c r="S5" i="24"/>
  <c r="AS68" i="15" a="1"/>
  <c r="AS68" i="15" s="1"/>
  <c r="AS76" i="15" a="1"/>
  <c r="AS76" i="15" s="1"/>
  <c r="AS85" i="15" a="1"/>
  <c r="AS85" i="15" s="1"/>
  <c r="AS86" i="15" a="1"/>
  <c r="AS86" i="15" s="1"/>
  <c r="AS95" i="15" a="1"/>
  <c r="AS95" i="15" s="1"/>
  <c r="AS102" i="15" a="1"/>
  <c r="AS102" i="15" s="1"/>
  <c r="AA67" i="17" a="1"/>
  <c r="AA67" i="17" s="1"/>
  <c r="AB67" i="17" s="1" a="1"/>
  <c r="AB67" i="17" s="1"/>
  <c r="AS74" i="15" a="1"/>
  <c r="AS74" i="15" s="1"/>
  <c r="AA103" i="17" a="1"/>
  <c r="AA103" i="17" s="1"/>
  <c r="AS67" i="15" a="1"/>
  <c r="AS67" i="15" s="1"/>
  <c r="AA68" i="17" a="1"/>
  <c r="AA68" i="17" s="1"/>
  <c r="AS73" i="17" a="1"/>
  <c r="AS73" i="17" s="1"/>
  <c r="AS95" i="16" a="1"/>
  <c r="AS95" i="16" s="1"/>
  <c r="AS96" i="16" a="1"/>
  <c r="AS96" i="16" s="1"/>
  <c r="AS88" i="17" a="1"/>
  <c r="AS88" i="17" s="1"/>
  <c r="Z76" i="13" a="1"/>
  <c r="Z76" i="13" s="1"/>
  <c r="AA76" i="13" s="1" a="1"/>
  <c r="AA76" i="13" s="1"/>
  <c r="Z95" i="13" a="1"/>
  <c r="Z95" i="13" s="1"/>
  <c r="Z73" i="13" a="1"/>
  <c r="Z73" i="13" s="1"/>
  <c r="AA73" i="13" s="1" a="1"/>
  <c r="AA73" i="13" s="1"/>
  <c r="Z86" i="13" a="1"/>
  <c r="Z86" i="13" s="1"/>
  <c r="Z74" i="13" a="1"/>
  <c r="Z74" i="13" s="1"/>
  <c r="Z103" i="13" a="1"/>
  <c r="Z103" i="13" s="1"/>
  <c r="Z75" i="13" a="1"/>
  <c r="Z75" i="13" s="1"/>
  <c r="AA75" i="13" s="1" a="1"/>
  <c r="AA75" i="13" s="1"/>
  <c r="Z67" i="13" a="1"/>
  <c r="Z67" i="13" s="1"/>
  <c r="AA67" i="13" s="1" a="1"/>
  <c r="AA67" i="13" s="1"/>
  <c r="Z93" i="13" a="1"/>
  <c r="Z93" i="13" s="1"/>
  <c r="AA93" i="13" s="1" a="1"/>
  <c r="AA93" i="13" s="1"/>
  <c r="Z102" i="13" a="1"/>
  <c r="Z102" i="13" s="1"/>
  <c r="Z68" i="13" a="1"/>
  <c r="Z68" i="13" s="1"/>
  <c r="AA68" i="13" s="1" a="1"/>
  <c r="AA68" i="13" s="1"/>
  <c r="Z88" i="13" a="1"/>
  <c r="Z88" i="13" s="1"/>
  <c r="AA88" i="13" s="1" a="1"/>
  <c r="AA88" i="13" s="1"/>
  <c r="Z85" i="13" a="1"/>
  <c r="Z85" i="13" s="1"/>
  <c r="AA85" i="13" s="1" a="1"/>
  <c r="AA85" i="13" s="1"/>
  <c r="Z65" i="13" a="1"/>
  <c r="Z65" i="13" s="1"/>
  <c r="Z66" i="13" a="1"/>
  <c r="Z66" i="13" s="1"/>
  <c r="Z64" i="13" a="1"/>
  <c r="Z64" i="13" s="1"/>
  <c r="AA64" i="13" s="1" a="1"/>
  <c r="AA64" i="13" s="1"/>
  <c r="Z94" i="13" a="1"/>
  <c r="Z94" i="13" s="1"/>
  <c r="AA94" i="13" s="1" a="1"/>
  <c r="AA94" i="13" s="1"/>
  <c r="Z104" i="13" a="1"/>
  <c r="Z104" i="13" s="1"/>
  <c r="Z96" i="13" a="1"/>
  <c r="Z96" i="13" s="1"/>
  <c r="AA96" i="13" s="1" a="1"/>
  <c r="AA96" i="13" s="1"/>
  <c r="Z69" i="13" a="1"/>
  <c r="Z69" i="13" s="1"/>
  <c r="AA69" i="13" s="1" a="1"/>
  <c r="AA69" i="13" s="1"/>
  <c r="CK5" i="9"/>
  <c r="CJ6" i="9"/>
  <c r="CJ9" i="9" s="1"/>
  <c r="AS103" i="17" a="1"/>
  <c r="AS103" i="17" s="1"/>
  <c r="AS95" i="17" a="1"/>
  <c r="AS95" i="17" s="1"/>
  <c r="AS6" i="17"/>
  <c r="AT5" i="17"/>
  <c r="AS86" i="17" a="1"/>
  <c r="AS86" i="17" s="1"/>
  <c r="AS94" i="17" a="1"/>
  <c r="AS94" i="17" s="1"/>
  <c r="AT66" i="17" a="1"/>
  <c r="AT66" i="17" s="1"/>
  <c r="AB5" i="17"/>
  <c r="AA6" i="17"/>
  <c r="AS76" i="17" a="1"/>
  <c r="AS76" i="17" s="1"/>
  <c r="AS75" i="17" a="1"/>
  <c r="AS75" i="17" s="1"/>
  <c r="AS74" i="17" a="1"/>
  <c r="AS74" i="17" s="1"/>
  <c r="AT96" i="17" a="1"/>
  <c r="AT96" i="17" s="1"/>
  <c r="AS102" i="17" a="1"/>
  <c r="AS102" i="17" s="1"/>
  <c r="AT102" i="17" s="1" a="1"/>
  <c r="AT102" i="17" s="1"/>
  <c r="AS104" i="17" a="1"/>
  <c r="AS104" i="17" s="1"/>
  <c r="AS69" i="17" a="1"/>
  <c r="AS69" i="17" s="1"/>
  <c r="AT69" i="17" s="1" a="1"/>
  <c r="AT69" i="17" s="1"/>
  <c r="AS64" i="17" a="1"/>
  <c r="AS64" i="17" s="1"/>
  <c r="AA6" i="16"/>
  <c r="AB5" i="16"/>
  <c r="AS73" i="16" a="1"/>
  <c r="AS73" i="16" s="1"/>
  <c r="AS103" i="16" a="1"/>
  <c r="AS103" i="16" s="1"/>
  <c r="AS69" i="16" a="1"/>
  <c r="AS69" i="16" s="1"/>
  <c r="AS64" i="16" a="1"/>
  <c r="AS64" i="16" s="1"/>
  <c r="AA74" i="16" a="1"/>
  <c r="AA74" i="16" s="1"/>
  <c r="AS67" i="16" a="1"/>
  <c r="AS67" i="16" s="1"/>
  <c r="AS86" i="16" a="1"/>
  <c r="AS86" i="16" s="1"/>
  <c r="AS65" i="16" a="1"/>
  <c r="AS65" i="16" s="1"/>
  <c r="AS93" i="16" a="1"/>
  <c r="AS93" i="16" s="1"/>
  <c r="AS88" i="16" a="1"/>
  <c r="AS88" i="16" s="1"/>
  <c r="AS75" i="16" a="1"/>
  <c r="AS75" i="16" s="1"/>
  <c r="AA86" i="16" a="1"/>
  <c r="AA86" i="16" s="1"/>
  <c r="AA85" i="16" a="1"/>
  <c r="AA85" i="16" s="1"/>
  <c r="AB85" i="16" s="1" a="1"/>
  <c r="AB85" i="16" s="1"/>
  <c r="AS6" i="16"/>
  <c r="AT5" i="16"/>
  <c r="AS85" i="16" a="1"/>
  <c r="AS85" i="16" s="1"/>
  <c r="AS104" i="16" a="1"/>
  <c r="AS104" i="16" s="1"/>
  <c r="AS94" i="16" a="1"/>
  <c r="AS94" i="16" s="1"/>
  <c r="AT66" i="15" a="1"/>
  <c r="AT66" i="15" s="1"/>
  <c r="AT5" i="15"/>
  <c r="AS6" i="15"/>
  <c r="AS75" i="15" a="1"/>
  <c r="AS75" i="15" s="1"/>
  <c r="AS93" i="15" a="1"/>
  <c r="AS93" i="15" s="1"/>
  <c r="AB84" i="15" a="1"/>
  <c r="AB84" i="15" s="1"/>
  <c r="AA6" i="15"/>
  <c r="AB5" i="15"/>
  <c r="AS88" i="15" a="1"/>
  <c r="AS88" i="15" s="1"/>
  <c r="AS69" i="15" a="1"/>
  <c r="AS69" i="15" s="1"/>
  <c r="AS104" i="15" a="1"/>
  <c r="AS104" i="15" s="1"/>
  <c r="AS94" i="15" a="1"/>
  <c r="AS94" i="15" s="1"/>
  <c r="AS96" i="15" a="1"/>
  <c r="AS96" i="15" s="1"/>
  <c r="AS73" i="15" a="1"/>
  <c r="AS73" i="15" s="1"/>
  <c r="AA96" i="17" a="1"/>
  <c r="AA96" i="17" s="1"/>
  <c r="AA74" i="17" a="1"/>
  <c r="AA74" i="17" s="1"/>
  <c r="AA65" i="17" a="1"/>
  <c r="AA65" i="17" s="1"/>
  <c r="AA64" i="17" a="1"/>
  <c r="AA64" i="17" s="1"/>
  <c r="AA88" i="17" a="1"/>
  <c r="AA88" i="17" s="1"/>
  <c r="AA66" i="17" a="1"/>
  <c r="AA66" i="17" s="1"/>
  <c r="AA85" i="17" a="1"/>
  <c r="AA85" i="17" s="1"/>
  <c r="AA95" i="17" a="1"/>
  <c r="AA95" i="17" s="1"/>
  <c r="AA93" i="17" a="1"/>
  <c r="AA93" i="17" s="1"/>
  <c r="AA86" i="17" a="1"/>
  <c r="AA86" i="17" s="1"/>
  <c r="AA76" i="17" a="1"/>
  <c r="AA76" i="17" s="1"/>
  <c r="AA73" i="17" a="1"/>
  <c r="AA73" i="17" s="1"/>
  <c r="AA75" i="17" a="1"/>
  <c r="AA75" i="17" s="1"/>
  <c r="AA69" i="17" a="1"/>
  <c r="AA69" i="17" s="1"/>
  <c r="AA94" i="17" a="1"/>
  <c r="AA94" i="17" s="1"/>
  <c r="AA104" i="16" a="1"/>
  <c r="AA104" i="16" s="1"/>
  <c r="AA66" i="16" a="1"/>
  <c r="AA66" i="16" s="1"/>
  <c r="AA65" i="16" a="1"/>
  <c r="AA65" i="16" s="1"/>
  <c r="AA96" i="16" a="1"/>
  <c r="AA96" i="16" s="1"/>
  <c r="AA88" i="16" a="1"/>
  <c r="AA88" i="16" s="1"/>
  <c r="AA95" i="16" a="1"/>
  <c r="AA95" i="16" s="1"/>
  <c r="AA64" i="16" a="1"/>
  <c r="AA64" i="16" s="1"/>
  <c r="AA102" i="16" a="1"/>
  <c r="AA102" i="16" s="1"/>
  <c r="AA73" i="16" a="1"/>
  <c r="AA73" i="16" s="1"/>
  <c r="AA94" i="16" a="1"/>
  <c r="AA94" i="16" s="1"/>
  <c r="AA68" i="16" a="1"/>
  <c r="AA68" i="16" s="1"/>
  <c r="AA103" i="16" a="1"/>
  <c r="AA103" i="16" s="1"/>
  <c r="AA69" i="16" a="1"/>
  <c r="AA69" i="16" s="1"/>
  <c r="AA75" i="16" a="1"/>
  <c r="AA75" i="16" s="1"/>
  <c r="AA67" i="16" a="1"/>
  <c r="AA67" i="16" s="1"/>
  <c r="AA85" i="15" a="1"/>
  <c r="AA85" i="15" s="1"/>
  <c r="AB65" i="15" a="1"/>
  <c r="AB65" i="15" s="1"/>
  <c r="AB75" i="15" a="1"/>
  <c r="AB75" i="15" s="1"/>
  <c r="AA102" i="15" a="1"/>
  <c r="AA102" i="15" s="1"/>
  <c r="AB86" i="15" a="1"/>
  <c r="AB86" i="15" s="1"/>
  <c r="AB67" i="15" a="1"/>
  <c r="AB67" i="15" s="1"/>
  <c r="AA104" i="15" a="1"/>
  <c r="AA104" i="15" s="1"/>
  <c r="AB88" i="15" a="1"/>
  <c r="AB88" i="15" s="1"/>
  <c r="AA69" i="15" a="1"/>
  <c r="AA69" i="15" s="1"/>
  <c r="AA74" i="15" a="1"/>
  <c r="AA74" i="15" s="1"/>
  <c r="AA94" i="15" a="1"/>
  <c r="AA94" i="15" s="1"/>
  <c r="AA93" i="15" a="1"/>
  <c r="AA93" i="15" s="1"/>
  <c r="AA64" i="15" a="1"/>
  <c r="AA64" i="15" s="1"/>
  <c r="Z6" i="13"/>
  <c r="N4" i="13" s="1"/>
  <c r="AS69" i="13" a="1"/>
  <c r="AS69" i="13" s="1"/>
  <c r="AS5" i="13"/>
  <c r="AA5" i="13"/>
  <c r="D103" i="24" l="1"/>
  <c r="D73" i="24"/>
  <c r="D93" i="24"/>
  <c r="D66" i="24"/>
  <c r="D96" i="24"/>
  <c r="D88" i="24"/>
  <c r="D95" i="24"/>
  <c r="D85" i="24"/>
  <c r="D104" i="24"/>
  <c r="D76" i="24"/>
  <c r="D64" i="24"/>
  <c r="D102" i="24"/>
  <c r="D84" i="24"/>
  <c r="D69" i="24"/>
  <c r="D65" i="24"/>
  <c r="D67" i="24"/>
  <c r="D74" i="24"/>
  <c r="D68" i="24"/>
  <c r="D75" i="24"/>
  <c r="G4" i="27"/>
  <c r="F5" i="27"/>
  <c r="E96" i="27"/>
  <c r="E75" i="27"/>
  <c r="E66" i="27"/>
  <c r="E102" i="27"/>
  <c r="E94" i="27"/>
  <c r="E84" i="27"/>
  <c r="E69" i="27"/>
  <c r="E65" i="27"/>
  <c r="E103" i="27"/>
  <c r="E95" i="27"/>
  <c r="E88" i="27"/>
  <c r="E86" i="27"/>
  <c r="E76" i="27"/>
  <c r="E73" i="27"/>
  <c r="E68" i="27"/>
  <c r="E64" i="27"/>
  <c r="E6" i="27"/>
  <c r="E104" i="27"/>
  <c r="E93" i="27"/>
  <c r="E85" i="27"/>
  <c r="E74" i="27"/>
  <c r="E67" i="27"/>
  <c r="R4" i="17"/>
  <c r="P104" i="17"/>
  <c r="P103" i="17"/>
  <c r="P102" i="17"/>
  <c r="P96" i="17"/>
  <c r="P95" i="17"/>
  <c r="P94" i="17"/>
  <c r="P93" i="17"/>
  <c r="P88" i="17"/>
  <c r="P86" i="17"/>
  <c r="P85" i="17"/>
  <c r="P84" i="17"/>
  <c r="P76" i="17"/>
  <c r="P75" i="17"/>
  <c r="P74" i="17"/>
  <c r="P73" i="17"/>
  <c r="P69" i="17"/>
  <c r="P68" i="17"/>
  <c r="P67" i="17"/>
  <c r="P66" i="17"/>
  <c r="P65" i="17"/>
  <c r="P64" i="17"/>
  <c r="Q104" i="16"/>
  <c r="F104" i="16" s="1"/>
  <c r="Q103" i="16"/>
  <c r="F103" i="16" s="1"/>
  <c r="Q102" i="16"/>
  <c r="F102" i="16" s="1"/>
  <c r="Q96" i="16"/>
  <c r="Q95" i="16"/>
  <c r="Q94" i="16"/>
  <c r="Q93" i="16"/>
  <c r="Q88" i="16"/>
  <c r="Q86" i="16"/>
  <c r="Q85" i="16"/>
  <c r="Q84" i="16"/>
  <c r="Q76" i="16"/>
  <c r="Q75" i="16"/>
  <c r="Q74" i="16"/>
  <c r="Q73" i="16"/>
  <c r="Q69" i="16"/>
  <c r="Q68" i="16"/>
  <c r="Q67" i="16"/>
  <c r="Q66" i="16"/>
  <c r="Q65" i="16"/>
  <c r="Q64" i="16"/>
  <c r="S4" i="16"/>
  <c r="R4" i="15"/>
  <c r="P104" i="15"/>
  <c r="P103" i="15"/>
  <c r="P102" i="15"/>
  <c r="P96" i="15"/>
  <c r="P95" i="15"/>
  <c r="P94" i="15"/>
  <c r="P93" i="15"/>
  <c r="P88" i="15"/>
  <c r="P86" i="15"/>
  <c r="P85" i="15"/>
  <c r="P84" i="15"/>
  <c r="P76" i="15"/>
  <c r="P75" i="15"/>
  <c r="P74" i="15"/>
  <c r="P73" i="15"/>
  <c r="P69" i="15"/>
  <c r="P68" i="15"/>
  <c r="P67" i="15"/>
  <c r="P66" i="15"/>
  <c r="P65" i="15"/>
  <c r="P64" i="15"/>
  <c r="Q8" i="9"/>
  <c r="Q5" i="9" s="1"/>
  <c r="AZ102" i="25" a="1"/>
  <c r="AZ102" i="25" s="1"/>
  <c r="AZ84" i="25" a="1"/>
  <c r="AZ84" i="25" s="1"/>
  <c r="AZ67" i="25" a="1"/>
  <c r="AZ67" i="25" s="1"/>
  <c r="AZ96" i="25" a="1"/>
  <c r="AZ96" i="25" s="1"/>
  <c r="AZ95" i="25" a="1"/>
  <c r="AZ95" i="25" s="1"/>
  <c r="AZ76" i="25" a="1"/>
  <c r="AZ76" i="25" s="1"/>
  <c r="AZ66" i="25" a="1"/>
  <c r="AZ66" i="25" s="1"/>
  <c r="AZ94" i="25" a="1"/>
  <c r="AZ94" i="25" s="1"/>
  <c r="AZ75" i="25" a="1"/>
  <c r="AZ75" i="25" s="1"/>
  <c r="AZ65" i="25" a="1"/>
  <c r="AZ65" i="25" s="1"/>
  <c r="AZ93" i="25" a="1"/>
  <c r="AZ93" i="25" s="1"/>
  <c r="AZ74" i="25" a="1"/>
  <c r="AZ74" i="25" s="1"/>
  <c r="AZ104" i="25" a="1"/>
  <c r="AZ104" i="25" s="1"/>
  <c r="AZ88" i="25" a="1"/>
  <c r="AZ88" i="25" s="1"/>
  <c r="AZ73" i="25" a="1"/>
  <c r="AZ73" i="25" s="1"/>
  <c r="BA5" i="25"/>
  <c r="AZ103" i="25" a="1"/>
  <c r="AZ103" i="25" s="1"/>
  <c r="AZ86" i="25" a="1"/>
  <c r="AZ86" i="25" s="1"/>
  <c r="AZ69" i="25" a="1"/>
  <c r="AZ69" i="25" s="1"/>
  <c r="AZ85" i="25" a="1"/>
  <c r="AZ85" i="25" s="1"/>
  <c r="AZ68" i="25" a="1"/>
  <c r="AZ68" i="25" s="1"/>
  <c r="AZ64" i="25" a="1"/>
  <c r="AZ64" i="25" s="1"/>
  <c r="D73" i="25"/>
  <c r="D85" i="25"/>
  <c r="D84" i="25"/>
  <c r="D86" i="25"/>
  <c r="D68" i="25"/>
  <c r="D75" i="25"/>
  <c r="D93" i="25"/>
  <c r="D104" i="25"/>
  <c r="D65" i="25"/>
  <c r="D67" i="25"/>
  <c r="D96" i="25"/>
  <c r="D88" i="25"/>
  <c r="D74" i="25"/>
  <c r="D76" i="25"/>
  <c r="D69" i="25"/>
  <c r="D64" i="25"/>
  <c r="D95" i="25"/>
  <c r="D102" i="25"/>
  <c r="D103" i="25"/>
  <c r="D66" i="25"/>
  <c r="D94" i="25"/>
  <c r="AA104" i="13" a="1"/>
  <c r="AA104" i="13" s="1"/>
  <c r="AB104" i="13" s="1" a="1"/>
  <c r="AB104" i="13" s="1"/>
  <c r="AA102" i="13" a="1"/>
  <c r="AA102" i="13" s="1"/>
  <c r="AA95" i="13" a="1"/>
  <c r="AA95" i="13" s="1"/>
  <c r="AA66" i="13" a="1"/>
  <c r="AA66" i="13" s="1"/>
  <c r="AA65" i="13" a="1"/>
  <c r="AA65" i="13" s="1"/>
  <c r="AA103" i="13" a="1"/>
  <c r="AA103" i="13" s="1"/>
  <c r="AA74" i="13" a="1"/>
  <c r="AA74" i="13" s="1"/>
  <c r="AA86" i="13" a="1"/>
  <c r="AA86" i="13" s="1"/>
  <c r="AA84" i="13" a="1"/>
  <c r="AA84" i="13" s="1"/>
  <c r="AB96" i="15" a="1"/>
  <c r="AB96" i="15" s="1"/>
  <c r="AB104" i="17" a="1"/>
  <c r="AB104" i="17" s="1"/>
  <c r="AT65" i="17" a="1"/>
  <c r="AT65" i="17" s="1"/>
  <c r="AB86" i="16" a="1"/>
  <c r="AB86" i="16" s="1"/>
  <c r="AB93" i="16" a="1"/>
  <c r="AB93" i="16" s="1"/>
  <c r="AB76" i="16" a="1"/>
  <c r="AB76" i="16" s="1"/>
  <c r="AC76" i="16" s="1" a="1"/>
  <c r="AC76" i="16" s="1"/>
  <c r="AB84" i="16" a="1"/>
  <c r="AB84" i="16" s="1"/>
  <c r="AU102" i="24"/>
  <c r="AU76" i="24"/>
  <c r="AU103" i="24"/>
  <c r="AU68" i="24"/>
  <c r="AU67" i="24"/>
  <c r="AU75" i="24"/>
  <c r="AU66" i="24"/>
  <c r="AU86" i="24"/>
  <c r="AU96" i="24"/>
  <c r="AU84" i="24"/>
  <c r="AU65" i="24"/>
  <c r="AU94" i="24"/>
  <c r="AU104" i="24"/>
  <c r="AU74" i="24"/>
  <c r="AU93" i="24"/>
  <c r="AU88" i="24"/>
  <c r="AU69" i="24"/>
  <c r="AU85" i="24"/>
  <c r="AU95" i="24"/>
  <c r="AU64" i="24"/>
  <c r="AU73" i="24"/>
  <c r="BI84" i="24"/>
  <c r="BI96" i="24"/>
  <c r="BI75" i="24"/>
  <c r="BI67" i="24"/>
  <c r="BI104" i="24"/>
  <c r="BI102" i="24"/>
  <c r="BI85" i="24"/>
  <c r="BI76" i="24"/>
  <c r="BI68" i="24"/>
  <c r="BI64" i="24"/>
  <c r="BI86" i="24"/>
  <c r="BI66" i="24"/>
  <c r="BI103" i="24"/>
  <c r="BI65" i="24"/>
  <c r="BI69" i="24"/>
  <c r="BI94" i="24"/>
  <c r="BI88" i="24"/>
  <c r="BI74" i="24"/>
  <c r="BI73" i="24"/>
  <c r="BI93" i="24"/>
  <c r="BI95" i="24"/>
  <c r="AS65" i="13" a="1"/>
  <c r="AS65" i="13" s="1"/>
  <c r="AB95" i="15" a="1"/>
  <c r="AB95" i="15" s="1"/>
  <c r="AC95" i="15" s="1" a="1"/>
  <c r="AC95" i="15" s="1"/>
  <c r="AB84" i="17" a="1"/>
  <c r="AB84" i="17" s="1"/>
  <c r="AC84" i="17" s="1" a="1"/>
  <c r="AC84" i="17" s="1"/>
  <c r="CK104" i="9"/>
  <c r="CK86" i="9"/>
  <c r="CK68" i="9"/>
  <c r="CK94" i="9"/>
  <c r="CK67" i="9"/>
  <c r="CK65" i="9"/>
  <c r="CK74" i="9"/>
  <c r="CK88" i="9"/>
  <c r="CK66" i="9"/>
  <c r="CK102" i="9"/>
  <c r="CK103" i="9"/>
  <c r="CK75" i="9"/>
  <c r="CK73" i="9"/>
  <c r="CK85" i="9"/>
  <c r="CK84" i="9"/>
  <c r="CK64" i="9"/>
  <c r="CK93" i="9"/>
  <c r="CK95" i="9"/>
  <c r="CK96" i="9"/>
  <c r="CK69" i="9"/>
  <c r="CK76" i="9"/>
  <c r="BW102" i="24"/>
  <c r="BW75" i="24"/>
  <c r="BW67" i="24"/>
  <c r="BW103" i="24"/>
  <c r="BW65" i="24"/>
  <c r="BW66" i="24"/>
  <c r="BW76" i="24"/>
  <c r="BW86" i="24"/>
  <c r="BW96" i="24"/>
  <c r="BW94" i="24"/>
  <c r="BW64" i="24"/>
  <c r="BW84" i="24"/>
  <c r="BW74" i="24"/>
  <c r="BW104" i="24"/>
  <c r="BW85" i="24"/>
  <c r="BW95" i="24"/>
  <c r="BW68" i="24"/>
  <c r="BW73" i="24"/>
  <c r="BW93" i="24"/>
  <c r="BW69" i="24"/>
  <c r="BW88" i="24"/>
  <c r="AT84" i="17" a="1"/>
  <c r="AT84" i="17" s="1"/>
  <c r="AS84" i="13" a="1"/>
  <c r="AS84" i="13" s="1"/>
  <c r="CK103" i="24"/>
  <c r="CK84" i="24"/>
  <c r="CK65" i="24"/>
  <c r="CK95" i="24"/>
  <c r="CK86" i="24"/>
  <c r="CK67" i="24"/>
  <c r="CK68" i="24"/>
  <c r="CK64" i="24"/>
  <c r="CK85" i="24"/>
  <c r="CK102" i="24"/>
  <c r="CK66" i="24"/>
  <c r="CK75" i="24"/>
  <c r="CK104" i="24"/>
  <c r="CK96" i="24"/>
  <c r="CK76" i="24"/>
  <c r="CK94" i="24"/>
  <c r="CK88" i="24"/>
  <c r="CK74" i="24"/>
  <c r="CK73" i="24"/>
  <c r="CK69" i="24"/>
  <c r="CK93" i="24"/>
  <c r="AT84" i="15" a="1"/>
  <c r="AT84" i="15" s="1"/>
  <c r="AT67" i="16" a="1"/>
  <c r="AT67" i="16" s="1"/>
  <c r="T5" i="24"/>
  <c r="S104" i="24"/>
  <c r="S103" i="24"/>
  <c r="S102" i="24"/>
  <c r="S96" i="24"/>
  <c r="S95" i="24"/>
  <c r="S68" i="24"/>
  <c r="S67" i="24"/>
  <c r="S66" i="24"/>
  <c r="S86" i="24"/>
  <c r="S85" i="24"/>
  <c r="S94" i="24"/>
  <c r="S84" i="24"/>
  <c r="S93" i="24"/>
  <c r="S74" i="24"/>
  <c r="S73" i="24"/>
  <c r="S64" i="24"/>
  <c r="S75" i="24"/>
  <c r="S88" i="24"/>
  <c r="S69" i="24"/>
  <c r="S65" i="24"/>
  <c r="S76" i="24"/>
  <c r="AT84" i="16" a="1"/>
  <c r="AT84" i="16" s="1"/>
  <c r="AW6" i="24"/>
  <c r="AV7" i="24"/>
  <c r="AB66" i="15" a="1"/>
  <c r="AB66" i="15" s="1"/>
  <c r="AB103" i="15" a="1"/>
  <c r="AB103" i="15" s="1"/>
  <c r="AB76" i="15" a="1"/>
  <c r="AB76" i="15" s="1"/>
  <c r="AB74" i="16" a="1"/>
  <c r="AB74" i="16" s="1"/>
  <c r="AC74" i="16" s="1" a="1"/>
  <c r="AC74" i="16" s="1"/>
  <c r="AG76" i="24"/>
  <c r="AG94" i="24"/>
  <c r="AG68" i="24"/>
  <c r="AG64" i="24"/>
  <c r="AG65" i="24"/>
  <c r="AG66" i="24"/>
  <c r="AG103" i="24"/>
  <c r="AG104" i="24"/>
  <c r="AG96" i="24"/>
  <c r="AG85" i="24"/>
  <c r="AG84" i="24"/>
  <c r="AG95" i="24"/>
  <c r="AG88" i="24"/>
  <c r="AG74" i="24"/>
  <c r="AG69" i="24"/>
  <c r="AG102" i="24"/>
  <c r="AG93" i="24"/>
  <c r="AG86" i="24"/>
  <c r="AG73" i="24"/>
  <c r="AG67" i="24"/>
  <c r="AG75" i="24"/>
  <c r="BZ6" i="24"/>
  <c r="BY7" i="24"/>
  <c r="AJ6" i="24"/>
  <c r="AI7" i="24"/>
  <c r="U6" i="24"/>
  <c r="T7" i="24"/>
  <c r="CL5" i="24"/>
  <c r="BX5" i="24"/>
  <c r="BJ5" i="24"/>
  <c r="AV5" i="24"/>
  <c r="AH5" i="24"/>
  <c r="AT88" i="15" a="1"/>
  <c r="AT88" i="15" s="1"/>
  <c r="AT104" i="17" a="1"/>
  <c r="AT104" i="17" s="1"/>
  <c r="AT86" i="15" a="1"/>
  <c r="AT86" i="15" s="1"/>
  <c r="AS64" i="13" a="1"/>
  <c r="AS64" i="13" s="1"/>
  <c r="AT73" i="17" a="1"/>
  <c r="AT73" i="17" s="1"/>
  <c r="AT68" i="17" a="1"/>
  <c r="AT68" i="17" s="1"/>
  <c r="AT88" i="17" a="1"/>
  <c r="AT88" i="17" s="1"/>
  <c r="AT93" i="17" a="1"/>
  <c r="AT93" i="17" s="1"/>
  <c r="AT74" i="17" a="1"/>
  <c r="AT74" i="17" s="1"/>
  <c r="AT95" i="17" a="1"/>
  <c r="AT95" i="17" s="1"/>
  <c r="AT73" i="15" a="1"/>
  <c r="AT73" i="15" s="1"/>
  <c r="AT104" i="15" a="1"/>
  <c r="AT104" i="15" s="1"/>
  <c r="AT93" i="15" a="1"/>
  <c r="AT93" i="15" s="1"/>
  <c r="AT85" i="16" a="1"/>
  <c r="AT85" i="16" s="1"/>
  <c r="AT75" i="17" a="1"/>
  <c r="AT75" i="17" s="1"/>
  <c r="AT94" i="17" a="1"/>
  <c r="AT94" i="17" s="1"/>
  <c r="AT94" i="15" a="1"/>
  <c r="AT94" i="15" s="1"/>
  <c r="AT65" i="15" a="1"/>
  <c r="AT65" i="15" s="1"/>
  <c r="AT64" i="17" a="1"/>
  <c r="AT64" i="17" s="1"/>
  <c r="AT76" i="17" a="1"/>
  <c r="AT76" i="17" s="1"/>
  <c r="AT86" i="17" a="1"/>
  <c r="AT86" i="17" s="1"/>
  <c r="AS85" i="13" a="1"/>
  <c r="AS85" i="13" s="1"/>
  <c r="AS74" i="13" a="1"/>
  <c r="AS74" i="13" s="1"/>
  <c r="AS66" i="13" a="1"/>
  <c r="AS66" i="13" s="1"/>
  <c r="AS88" i="13" a="1"/>
  <c r="AS88" i="13" s="1"/>
  <c r="AS86" i="13" a="1"/>
  <c r="AS86" i="13" s="1"/>
  <c r="AS94" i="13" a="1"/>
  <c r="AS94" i="13" s="1"/>
  <c r="AS103" i="13" a="1"/>
  <c r="AS103" i="13" s="1"/>
  <c r="AS96" i="13" a="1"/>
  <c r="AS96" i="13" s="1"/>
  <c r="AS68" i="13" a="1"/>
  <c r="AS68" i="13" s="1"/>
  <c r="AS93" i="13" a="1"/>
  <c r="AS93" i="13" s="1"/>
  <c r="AS73" i="13" a="1"/>
  <c r="AS73" i="13" s="1"/>
  <c r="AS104" i="13" a="1"/>
  <c r="AS104" i="13" s="1"/>
  <c r="AS95" i="13" a="1"/>
  <c r="AS95" i="13" s="1"/>
  <c r="AS76" i="13" a="1"/>
  <c r="AS76" i="13" s="1"/>
  <c r="AS102" i="13" a="1"/>
  <c r="AS102" i="13" s="1"/>
  <c r="AS67" i="13" a="1"/>
  <c r="AS67" i="13" s="1"/>
  <c r="AS75" i="13" a="1"/>
  <c r="AS75" i="13" s="1"/>
  <c r="CL5" i="9"/>
  <c r="CK6" i="9"/>
  <c r="CK9" i="9" s="1"/>
  <c r="AT103" i="17" a="1"/>
  <c r="AT103" i="17" s="1"/>
  <c r="AB6" i="17"/>
  <c r="AC5" i="17"/>
  <c r="AB102" i="17" a="1"/>
  <c r="AB102" i="17" s="1"/>
  <c r="AB103" i="17" a="1"/>
  <c r="AB103" i="17" s="1"/>
  <c r="AB68" i="17" a="1"/>
  <c r="AB68" i="17" s="1"/>
  <c r="AT6" i="17"/>
  <c r="AU5" i="17"/>
  <c r="AU69" i="17" a="1"/>
  <c r="AU69" i="17" s="1"/>
  <c r="AT67" i="17" a="1"/>
  <c r="AT67" i="17" s="1"/>
  <c r="AT85" i="17" a="1"/>
  <c r="AT85" i="17" s="1"/>
  <c r="AT6" i="16"/>
  <c r="AT73" i="16" a="1"/>
  <c r="AT73" i="16" s="1"/>
  <c r="AU5" i="16"/>
  <c r="AT65" i="16" a="1"/>
  <c r="AT65" i="16" s="1"/>
  <c r="AT76" i="16" a="1"/>
  <c r="AT76" i="16" s="1"/>
  <c r="AT86" i="16" a="1"/>
  <c r="AT86" i="16" s="1"/>
  <c r="AT96" i="16" a="1"/>
  <c r="AT96" i="16" s="1"/>
  <c r="AT74" i="16" a="1"/>
  <c r="AT74" i="16" s="1"/>
  <c r="AT68" i="16" a="1"/>
  <c r="AT68" i="16" s="1"/>
  <c r="AT102" i="16" a="1"/>
  <c r="AT102" i="16" s="1"/>
  <c r="AT64" i="16" a="1"/>
  <c r="AT64" i="16" s="1"/>
  <c r="AT95" i="16" a="1"/>
  <c r="AT95" i="16" s="1"/>
  <c r="AT94" i="16" a="1"/>
  <c r="AT94" i="16" s="1"/>
  <c r="AT75" i="16" a="1"/>
  <c r="AT75" i="16" s="1"/>
  <c r="AC5" i="16"/>
  <c r="AB6" i="16"/>
  <c r="AT104" i="16" a="1"/>
  <c r="AT104" i="16" s="1"/>
  <c r="AT88" i="16" a="1"/>
  <c r="AT88" i="16" s="1"/>
  <c r="AT69" i="16" a="1"/>
  <c r="AT69" i="16" s="1"/>
  <c r="AT93" i="16" a="1"/>
  <c r="AT93" i="16" s="1"/>
  <c r="AT103" i="16" a="1"/>
  <c r="AT103" i="16" s="1"/>
  <c r="AT66" i="16" a="1"/>
  <c r="AT66" i="16" s="1"/>
  <c r="AT6" i="15"/>
  <c r="AU5" i="15"/>
  <c r="AT102" i="15" a="1"/>
  <c r="AT102" i="15" s="1"/>
  <c r="AU102" i="15" s="1" a="1"/>
  <c r="AU102" i="15" s="1"/>
  <c r="AT96" i="15" a="1"/>
  <c r="AT96" i="15" s="1"/>
  <c r="AB6" i="15"/>
  <c r="AC5" i="15"/>
  <c r="AB68" i="15" a="1"/>
  <c r="AB68" i="15" s="1"/>
  <c r="AB73" i="15" a="1"/>
  <c r="AB73" i="15" s="1"/>
  <c r="AT64" i="15" a="1"/>
  <c r="AT64" i="15" s="1"/>
  <c r="AU64" i="15" s="1" a="1"/>
  <c r="AU64" i="15" s="1"/>
  <c r="AT76" i="15" a="1"/>
  <c r="AT76" i="15" s="1"/>
  <c r="AT74" i="15" a="1"/>
  <c r="AT74" i="15" s="1"/>
  <c r="AT67" i="15" a="1"/>
  <c r="AT67" i="15" s="1"/>
  <c r="AU67" i="15" s="1" a="1"/>
  <c r="AU67" i="15" s="1"/>
  <c r="AT103" i="15" a="1"/>
  <c r="AT103" i="15" s="1"/>
  <c r="AU103" i="15" s="1" a="1"/>
  <c r="AU103" i="15" s="1"/>
  <c r="AT95" i="15" a="1"/>
  <c r="AT95" i="15" s="1"/>
  <c r="AT69" i="15" a="1"/>
  <c r="AT69" i="15" s="1"/>
  <c r="AT75" i="15" a="1"/>
  <c r="AT75" i="15" s="1"/>
  <c r="AT85" i="15" a="1"/>
  <c r="AT85" i="15" s="1"/>
  <c r="AU85" i="15" s="1" a="1"/>
  <c r="AU85" i="15" s="1"/>
  <c r="AT68" i="15" a="1"/>
  <c r="AT68" i="15" s="1"/>
  <c r="AU68" i="15" s="1" a="1"/>
  <c r="AU68" i="15" s="1"/>
  <c r="AB95" i="17" a="1"/>
  <c r="AB95" i="17" s="1"/>
  <c r="AB86" i="17" a="1"/>
  <c r="AB86" i="17" s="1"/>
  <c r="AB88" i="17" a="1"/>
  <c r="AB88" i="17" s="1"/>
  <c r="AB76" i="17" a="1"/>
  <c r="AB76" i="17" s="1"/>
  <c r="AB74" i="17" a="1"/>
  <c r="AB74" i="17" s="1"/>
  <c r="AB93" i="17" a="1"/>
  <c r="AB93" i="17" s="1"/>
  <c r="AB69" i="17" a="1"/>
  <c r="AB69" i="17" s="1"/>
  <c r="AB75" i="17" a="1"/>
  <c r="AB75" i="17" s="1"/>
  <c r="AB85" i="17" a="1"/>
  <c r="AB85" i="17" s="1"/>
  <c r="AB64" i="17" a="1"/>
  <c r="AB64" i="17" s="1"/>
  <c r="AB96" i="17" a="1"/>
  <c r="AB96" i="17" s="1"/>
  <c r="AB94" i="17" a="1"/>
  <c r="AB94" i="17" s="1"/>
  <c r="AB73" i="17" a="1"/>
  <c r="AB73" i="17" s="1"/>
  <c r="AB66" i="17" a="1"/>
  <c r="AB66" i="17" s="1"/>
  <c r="AB65" i="17" a="1"/>
  <c r="AB65" i="17" s="1"/>
  <c r="AB66" i="16" a="1"/>
  <c r="AB66" i="16" s="1"/>
  <c r="AB102" i="16" a="1"/>
  <c r="AB102" i="16" s="1"/>
  <c r="AB88" i="16" a="1"/>
  <c r="AB88" i="16" s="1"/>
  <c r="AB104" i="16" a="1"/>
  <c r="AB104" i="16" s="1"/>
  <c r="AB69" i="16" a="1"/>
  <c r="AB69" i="16" s="1"/>
  <c r="AB103" i="16" a="1"/>
  <c r="AB103" i="16" s="1"/>
  <c r="AB64" i="16" a="1"/>
  <c r="AB64" i="16" s="1"/>
  <c r="AB75" i="16" a="1"/>
  <c r="AB75" i="16" s="1"/>
  <c r="AB94" i="16" a="1"/>
  <c r="AB94" i="16" s="1"/>
  <c r="AB96" i="16" a="1"/>
  <c r="AB96" i="16" s="1"/>
  <c r="AB95" i="16" a="1"/>
  <c r="AB95" i="16" s="1"/>
  <c r="AB67" i="16" a="1"/>
  <c r="AB67" i="16" s="1"/>
  <c r="AB68" i="16" a="1"/>
  <c r="AB68" i="16" s="1"/>
  <c r="AB73" i="16" a="1"/>
  <c r="AB73" i="16" s="1"/>
  <c r="AB65" i="16" a="1"/>
  <c r="AB65" i="16" s="1"/>
  <c r="AB85" i="15" a="1"/>
  <c r="AB85" i="15" s="1"/>
  <c r="AB94" i="15" a="1"/>
  <c r="AB94" i="15" s="1"/>
  <c r="AC66" i="15" a="1"/>
  <c r="AC66" i="15" s="1"/>
  <c r="AC75" i="15" a="1"/>
  <c r="AC75" i="15" s="1"/>
  <c r="AC86" i="15" a="1"/>
  <c r="AC86" i="15" s="1"/>
  <c r="AB64" i="15" a="1"/>
  <c r="AB64" i="15" s="1"/>
  <c r="AB74" i="15" a="1"/>
  <c r="AB74" i="15" s="1"/>
  <c r="AB104" i="15" a="1"/>
  <c r="AB104" i="15" s="1"/>
  <c r="AC65" i="15" a="1"/>
  <c r="AC65" i="15" s="1"/>
  <c r="AB93" i="15" a="1"/>
  <c r="AB93" i="15" s="1"/>
  <c r="AB69" i="15" a="1"/>
  <c r="AB69" i="15" s="1"/>
  <c r="AB102" i="15" a="1"/>
  <c r="AB102" i="15" s="1"/>
  <c r="AB96" i="13" a="1"/>
  <c r="AB96" i="13" s="1"/>
  <c r="AT6" i="13"/>
  <c r="AS6" i="13"/>
  <c r="AA6" i="13"/>
  <c r="O4" i="13" s="1"/>
  <c r="AT5" i="13"/>
  <c r="AB5" i="13"/>
  <c r="E73" i="24" l="1"/>
  <c r="E104" i="24"/>
  <c r="E74" i="24"/>
  <c r="E75" i="24"/>
  <c r="E67" i="24"/>
  <c r="E95" i="24"/>
  <c r="E64" i="24"/>
  <c r="E88" i="24"/>
  <c r="E65" i="24"/>
  <c r="E68" i="24"/>
  <c r="E94" i="24"/>
  <c r="E84" i="24"/>
  <c r="E86" i="24"/>
  <c r="E93" i="24"/>
  <c r="E96" i="24"/>
  <c r="E76" i="24"/>
  <c r="E102" i="24"/>
  <c r="E69" i="24"/>
  <c r="E103" i="24"/>
  <c r="E85" i="24"/>
  <c r="E66" i="24"/>
  <c r="H4" i="27"/>
  <c r="H5" i="27" s="1"/>
  <c r="G5" i="27"/>
  <c r="U5" i="24"/>
  <c r="F6" i="27"/>
  <c r="F104" i="27"/>
  <c r="F103" i="27"/>
  <c r="F102" i="27"/>
  <c r="F96" i="27"/>
  <c r="F95" i="27"/>
  <c r="F94" i="27"/>
  <c r="F93" i="27"/>
  <c r="F88" i="27"/>
  <c r="F86" i="27"/>
  <c r="F85" i="27"/>
  <c r="F84" i="27"/>
  <c r="F76" i="27"/>
  <c r="F75" i="27"/>
  <c r="F74" i="27"/>
  <c r="F73" i="27"/>
  <c r="F69" i="27"/>
  <c r="F68" i="27"/>
  <c r="F67" i="27"/>
  <c r="F66" i="27"/>
  <c r="F65" i="27"/>
  <c r="F64" i="27"/>
  <c r="Q104" i="17"/>
  <c r="Q103" i="17"/>
  <c r="Q102" i="17"/>
  <c r="Q96" i="17"/>
  <c r="Q95" i="17"/>
  <c r="Q94" i="17"/>
  <c r="Q93" i="17"/>
  <c r="Q88" i="17"/>
  <c r="Q86" i="17"/>
  <c r="Q85" i="17"/>
  <c r="Q84" i="17"/>
  <c r="Q76" i="17"/>
  <c r="Q75" i="17"/>
  <c r="Q74" i="17"/>
  <c r="Q73" i="17"/>
  <c r="Q69" i="17"/>
  <c r="Q68" i="17"/>
  <c r="Q67" i="17"/>
  <c r="Q66" i="17"/>
  <c r="Q65" i="17"/>
  <c r="Q64" i="17"/>
  <c r="S4" i="17"/>
  <c r="S104" i="16"/>
  <c r="H104" i="16" s="1"/>
  <c r="S103" i="16"/>
  <c r="H103" i="16" s="1"/>
  <c r="S102" i="16"/>
  <c r="H102" i="16" s="1"/>
  <c r="S96" i="16"/>
  <c r="S95" i="16"/>
  <c r="S94" i="16"/>
  <c r="S93" i="16"/>
  <c r="S88" i="16"/>
  <c r="S86" i="16"/>
  <c r="S85" i="16"/>
  <c r="S84" i="16"/>
  <c r="S76" i="16"/>
  <c r="S75" i="16"/>
  <c r="S74" i="16"/>
  <c r="S73" i="16"/>
  <c r="S69" i="16"/>
  <c r="S68" i="16"/>
  <c r="S67" i="16"/>
  <c r="S66" i="16"/>
  <c r="S65" i="16"/>
  <c r="S64" i="16"/>
  <c r="R104" i="16"/>
  <c r="G104" i="16" s="1"/>
  <c r="R103" i="16"/>
  <c r="G103" i="16" s="1"/>
  <c r="R102" i="16"/>
  <c r="G102" i="16" s="1"/>
  <c r="R96" i="16"/>
  <c r="R95" i="16"/>
  <c r="R94" i="16"/>
  <c r="R93" i="16"/>
  <c r="R88" i="16"/>
  <c r="R86" i="16"/>
  <c r="R85" i="16"/>
  <c r="R84" i="16"/>
  <c r="R76" i="16"/>
  <c r="R75" i="16"/>
  <c r="R74" i="16"/>
  <c r="R73" i="16"/>
  <c r="R69" i="16"/>
  <c r="R68" i="16"/>
  <c r="R67" i="16"/>
  <c r="R66" i="16"/>
  <c r="R65" i="16"/>
  <c r="R64" i="16"/>
  <c r="Q104" i="15"/>
  <c r="Q103" i="15"/>
  <c r="Q102" i="15"/>
  <c r="Q96" i="15"/>
  <c r="Q95" i="15"/>
  <c r="Q94" i="15"/>
  <c r="Q93" i="15"/>
  <c r="Q88" i="15"/>
  <c r="Q86" i="15"/>
  <c r="Q85" i="15"/>
  <c r="Q84" i="15"/>
  <c r="Q76" i="15"/>
  <c r="Q75" i="15"/>
  <c r="Q74" i="15"/>
  <c r="Q73" i="15"/>
  <c r="Q69" i="15"/>
  <c r="Q68" i="15"/>
  <c r="Q67" i="15"/>
  <c r="Q66" i="15"/>
  <c r="Q65" i="15"/>
  <c r="Q64" i="15"/>
  <c r="S4" i="15"/>
  <c r="BA102" i="25" a="1"/>
  <c r="BA102" i="25" s="1"/>
  <c r="BA85" i="25" a="1"/>
  <c r="BA85" i="25" s="1"/>
  <c r="BA84" i="25" a="1"/>
  <c r="BA84" i="25" s="1"/>
  <c r="BA67" i="25" a="1"/>
  <c r="BA67" i="25" s="1"/>
  <c r="BA96" i="25" a="1"/>
  <c r="BA96" i="25" s="1"/>
  <c r="BA76" i="25" a="1"/>
  <c r="BA76" i="25" s="1"/>
  <c r="BA66" i="25" a="1"/>
  <c r="BA66" i="25" s="1"/>
  <c r="BA95" i="25" a="1"/>
  <c r="BA95" i="25" s="1"/>
  <c r="BA75" i="25" a="1"/>
  <c r="BA75" i="25" s="1"/>
  <c r="BA94" i="25" a="1"/>
  <c r="BA94" i="25" s="1"/>
  <c r="BA74" i="25" a="1"/>
  <c r="BA74" i="25" s="1"/>
  <c r="BA65" i="25" a="1"/>
  <c r="BA65" i="25" s="1"/>
  <c r="BB5" i="25"/>
  <c r="BA93" i="25" a="1"/>
  <c r="BA93" i="25" s="1"/>
  <c r="BA73" i="25" a="1"/>
  <c r="BA73" i="25" s="1"/>
  <c r="BA104" i="25" a="1"/>
  <c r="BA104" i="25" s="1"/>
  <c r="BA88" i="25" a="1"/>
  <c r="BA88" i="25" s="1"/>
  <c r="BA69" i="25" a="1"/>
  <c r="BA69" i="25" s="1"/>
  <c r="BA103" i="25" a="1"/>
  <c r="BA103" i="25" s="1"/>
  <c r="BA86" i="25" a="1"/>
  <c r="BA86" i="25" s="1"/>
  <c r="BA68" i="25" a="1"/>
  <c r="BA68" i="25" s="1"/>
  <c r="BA64" i="25" a="1"/>
  <c r="BA64" i="25" s="1"/>
  <c r="E66" i="25"/>
  <c r="E102" i="25"/>
  <c r="E68" i="25"/>
  <c r="E85" i="25"/>
  <c r="E96" i="25"/>
  <c r="E74" i="25"/>
  <c r="E67" i="25"/>
  <c r="E104" i="25"/>
  <c r="E84" i="25"/>
  <c r="E95" i="25"/>
  <c r="E69" i="25"/>
  <c r="E88" i="25"/>
  <c r="E64" i="25"/>
  <c r="E93" i="25"/>
  <c r="E103" i="25"/>
  <c r="E76" i="25"/>
  <c r="E73" i="25"/>
  <c r="E75" i="25"/>
  <c r="E94" i="25"/>
  <c r="E86" i="25"/>
  <c r="E65" i="25"/>
  <c r="R8" i="9"/>
  <c r="R5" i="9" s="1"/>
  <c r="AU84" i="17" a="1"/>
  <c r="AU84" i="17" s="1"/>
  <c r="AU95" i="17" a="1"/>
  <c r="AU95" i="17" s="1"/>
  <c r="AC104" i="17" a="1"/>
  <c r="AC104" i="17" s="1"/>
  <c r="AC76" i="15" a="1"/>
  <c r="AC76" i="15" s="1"/>
  <c r="AD76" i="15" s="1" a="1"/>
  <c r="AD76" i="15" s="1"/>
  <c r="AC84" i="16" a="1"/>
  <c r="AC84" i="16" s="1"/>
  <c r="BX96" i="24"/>
  <c r="BX86" i="24"/>
  <c r="BX102" i="24"/>
  <c r="BX74" i="24"/>
  <c r="BX66" i="24"/>
  <c r="BX104" i="24"/>
  <c r="BX64" i="24"/>
  <c r="BX94" i="24"/>
  <c r="BX76" i="24"/>
  <c r="BX103" i="24"/>
  <c r="BX67" i="24"/>
  <c r="BX84" i="24"/>
  <c r="BX68" i="24"/>
  <c r="BX75" i="24"/>
  <c r="BX85" i="24"/>
  <c r="BX65" i="24"/>
  <c r="BX95" i="24"/>
  <c r="BX88" i="24"/>
  <c r="BX69" i="24"/>
  <c r="BX73" i="24"/>
  <c r="BX93" i="24"/>
  <c r="AX6" i="24"/>
  <c r="AW7" i="24"/>
  <c r="AT84" i="13" a="1"/>
  <c r="AT84" i="13" s="1"/>
  <c r="CL102" i="24"/>
  <c r="CL76" i="24"/>
  <c r="CL64" i="24"/>
  <c r="CL68" i="24"/>
  <c r="CL103" i="24"/>
  <c r="CL95" i="24"/>
  <c r="CL66" i="24"/>
  <c r="CL75" i="24"/>
  <c r="CL104" i="24"/>
  <c r="CL84" i="24"/>
  <c r="CL96" i="24"/>
  <c r="CL67" i="24"/>
  <c r="CL86" i="24"/>
  <c r="CL85" i="24"/>
  <c r="CL65" i="24"/>
  <c r="CL74" i="24"/>
  <c r="CL73" i="24"/>
  <c r="CL94" i="24"/>
  <c r="CL69" i="24"/>
  <c r="CL93" i="24"/>
  <c r="CL88" i="24"/>
  <c r="AB64" i="13" a="1"/>
  <c r="AB64" i="13" s="1"/>
  <c r="AB84" i="13" a="1"/>
  <c r="AB84" i="13" s="1"/>
  <c r="AC67" i="17" a="1"/>
  <c r="AC67" i="17" s="1"/>
  <c r="Q94" i="9"/>
  <c r="Q103" i="9"/>
  <c r="Q73" i="9"/>
  <c r="Q93" i="9"/>
  <c r="Q74" i="9"/>
  <c r="Q85" i="9"/>
  <c r="Q88" i="9"/>
  <c r="Q75" i="9"/>
  <c r="Q86" i="9"/>
  <c r="Q68" i="9"/>
  <c r="Q102" i="9"/>
  <c r="Q84" i="9"/>
  <c r="Q95" i="9"/>
  <c r="Q67" i="9"/>
  <c r="Q69" i="9"/>
  <c r="Q66" i="9"/>
  <c r="Q76" i="9"/>
  <c r="Q64" i="9"/>
  <c r="Q104" i="9"/>
  <c r="Q96" i="9"/>
  <c r="Q65" i="9"/>
  <c r="AC84" i="15" a="1"/>
  <c r="AC84" i="15" s="1"/>
  <c r="AU84" i="16" a="1"/>
  <c r="AU84" i="16" s="1"/>
  <c r="CL104" i="9"/>
  <c r="CL86" i="9"/>
  <c r="CL75" i="9"/>
  <c r="CL103" i="9"/>
  <c r="CL74" i="9"/>
  <c r="CL64" i="9"/>
  <c r="CL85" i="9"/>
  <c r="CL95" i="9"/>
  <c r="CL68" i="9"/>
  <c r="CL94" i="9"/>
  <c r="CL88" i="9"/>
  <c r="CL93" i="9"/>
  <c r="CL67" i="9"/>
  <c r="CL84" i="9"/>
  <c r="CL76" i="9"/>
  <c r="CL96" i="9"/>
  <c r="CL66" i="9"/>
  <c r="CL102" i="9"/>
  <c r="CL65" i="9"/>
  <c r="CL69" i="9"/>
  <c r="CL73" i="9"/>
  <c r="AC93" i="16" a="1"/>
  <c r="AC93" i="16" s="1"/>
  <c r="AH85" i="24"/>
  <c r="AH104" i="24"/>
  <c r="AH88" i="24"/>
  <c r="AH75" i="24"/>
  <c r="AH73" i="24"/>
  <c r="AH65" i="24"/>
  <c r="AH66" i="24"/>
  <c r="AH103" i="24"/>
  <c r="AH96" i="24"/>
  <c r="AH68" i="24"/>
  <c r="AH86" i="24"/>
  <c r="AH64" i="24"/>
  <c r="AH67" i="24"/>
  <c r="AH102" i="24"/>
  <c r="AH74" i="24"/>
  <c r="AH84" i="24"/>
  <c r="AH69" i="24"/>
  <c r="AH76" i="24"/>
  <c r="AH95" i="24"/>
  <c r="AH93" i="24"/>
  <c r="AH94" i="24"/>
  <c r="U68" i="24"/>
  <c r="U103" i="24"/>
  <c r="U102" i="24"/>
  <c r="U96" i="24"/>
  <c r="U95" i="24"/>
  <c r="U67" i="24"/>
  <c r="U66" i="24"/>
  <c r="U85" i="24"/>
  <c r="U84" i="24"/>
  <c r="U104" i="24"/>
  <c r="U86" i="24"/>
  <c r="U74" i="24"/>
  <c r="U69" i="24"/>
  <c r="U73" i="24"/>
  <c r="U94" i="24"/>
  <c r="U88" i="24"/>
  <c r="U64" i="24"/>
  <c r="U65" i="24"/>
  <c r="U93" i="24"/>
  <c r="U76" i="24"/>
  <c r="U75" i="24"/>
  <c r="CA6" i="24"/>
  <c r="BZ7" i="24"/>
  <c r="T104" i="24"/>
  <c r="T93" i="24"/>
  <c r="T103" i="24"/>
  <c r="T102" i="24"/>
  <c r="T96" i="24"/>
  <c r="T95" i="24"/>
  <c r="T68" i="24"/>
  <c r="T67" i="24"/>
  <c r="T66" i="24"/>
  <c r="T86" i="24"/>
  <c r="T85" i="24"/>
  <c r="T94" i="24"/>
  <c r="T84" i="24"/>
  <c r="T88" i="24"/>
  <c r="T74" i="24"/>
  <c r="T65" i="24"/>
  <c r="T64" i="24"/>
  <c r="T73" i="24"/>
  <c r="T76" i="24"/>
  <c r="T75" i="24"/>
  <c r="T69" i="24"/>
  <c r="AU84" i="15" a="1"/>
  <c r="AU84" i="15" s="1"/>
  <c r="AV104" i="24"/>
  <c r="AV86" i="24"/>
  <c r="AV84" i="24"/>
  <c r="AV102" i="24"/>
  <c r="AV85" i="24"/>
  <c r="AV76" i="24"/>
  <c r="AV66" i="24"/>
  <c r="AV64" i="24"/>
  <c r="AV96" i="24"/>
  <c r="AV103" i="24"/>
  <c r="AV74" i="24"/>
  <c r="AV67" i="24"/>
  <c r="AV93" i="24"/>
  <c r="AV68" i="24"/>
  <c r="AV94" i="24"/>
  <c r="AV73" i="24"/>
  <c r="AV95" i="24"/>
  <c r="AV88" i="24"/>
  <c r="AV75" i="24"/>
  <c r="AV69" i="24"/>
  <c r="AV65" i="24"/>
  <c r="AC85" i="16" a="1"/>
  <c r="AC85" i="16" s="1"/>
  <c r="BJ68" i="24"/>
  <c r="BJ84" i="24"/>
  <c r="BJ64" i="24"/>
  <c r="BJ103" i="24"/>
  <c r="BJ76" i="24"/>
  <c r="BJ104" i="24"/>
  <c r="BJ102" i="24"/>
  <c r="BJ85" i="24"/>
  <c r="BJ75" i="24"/>
  <c r="BJ67" i="24"/>
  <c r="BJ65" i="24"/>
  <c r="BJ93" i="24"/>
  <c r="BJ96" i="24"/>
  <c r="BJ95" i="24"/>
  <c r="BJ88" i="24"/>
  <c r="BJ94" i="24"/>
  <c r="BJ66" i="24"/>
  <c r="BJ86" i="24"/>
  <c r="BJ73" i="24"/>
  <c r="BJ74" i="24"/>
  <c r="BJ69" i="24"/>
  <c r="AK6" i="24"/>
  <c r="AJ7" i="24"/>
  <c r="V6" i="24"/>
  <c r="V5" i="24" s="1"/>
  <c r="U7" i="24"/>
  <c r="CM5" i="24"/>
  <c r="BY5" i="24"/>
  <c r="BK5" i="24"/>
  <c r="AW5" i="24"/>
  <c r="AI5" i="24"/>
  <c r="AC67" i="15" a="1"/>
  <c r="AC67" i="15" s="1"/>
  <c r="AC103" i="15" a="1"/>
  <c r="AC103" i="15" s="1"/>
  <c r="AC86" i="16" a="1"/>
  <c r="AC86" i="16" s="1"/>
  <c r="AD86" i="16" s="1" a="1"/>
  <c r="AD86" i="16" s="1"/>
  <c r="AU95" i="16" a="1"/>
  <c r="AU95" i="16" s="1"/>
  <c r="AU86" i="16" a="1"/>
  <c r="AU86" i="16" s="1"/>
  <c r="AU75" i="16" a="1"/>
  <c r="AU75" i="16" s="1"/>
  <c r="AU67" i="16" a="1"/>
  <c r="AU67" i="16" s="1"/>
  <c r="AU86" i="15" a="1"/>
  <c r="AU86" i="15" s="1"/>
  <c r="AU88" i="16" a="1"/>
  <c r="AU88" i="16" s="1"/>
  <c r="Q6" i="9"/>
  <c r="Q9" i="9" s="1"/>
  <c r="AB76" i="13" a="1"/>
  <c r="AB76" i="13" s="1"/>
  <c r="AT93" i="13" a="1"/>
  <c r="AT93" i="13" s="1"/>
  <c r="AT95" i="13" a="1"/>
  <c r="AT95" i="13" s="1"/>
  <c r="AT74" i="13" a="1"/>
  <c r="AT74" i="13" s="1"/>
  <c r="AT75" i="13" a="1"/>
  <c r="AT75" i="13" s="1"/>
  <c r="AT86" i="13" a="1"/>
  <c r="AT86" i="13" s="1"/>
  <c r="AT69" i="13" a="1"/>
  <c r="AT69" i="13" s="1"/>
  <c r="AT73" i="13" a="1"/>
  <c r="AT73" i="13" s="1"/>
  <c r="AT76" i="13" a="1"/>
  <c r="AT76" i="13" s="1"/>
  <c r="AT64" i="13" a="1"/>
  <c r="AT64" i="13" s="1"/>
  <c r="AB88" i="13" a="1"/>
  <c r="AB88" i="13" s="1"/>
  <c r="AB102" i="13" a="1"/>
  <c r="AB102" i="13" s="1"/>
  <c r="AT96" i="13" a="1"/>
  <c r="AT96" i="13" s="1"/>
  <c r="AT85" i="13" a="1"/>
  <c r="AT85" i="13" s="1"/>
  <c r="AT104" i="13" a="1"/>
  <c r="AT104" i="13" s="1"/>
  <c r="AU5" i="13"/>
  <c r="AT103" i="13" a="1"/>
  <c r="AT103" i="13" s="1"/>
  <c r="AT68" i="13" a="1"/>
  <c r="AT68" i="13" s="1"/>
  <c r="AT94" i="13" a="1"/>
  <c r="AT94" i="13" s="1"/>
  <c r="AT67" i="13" a="1"/>
  <c r="AT67" i="13" s="1"/>
  <c r="AT88" i="13" a="1"/>
  <c r="AT88" i="13" s="1"/>
  <c r="AT65" i="13" a="1"/>
  <c r="AT65" i="13" s="1"/>
  <c r="AT102" i="13" a="1"/>
  <c r="AT102" i="13" s="1"/>
  <c r="AT66" i="13" a="1"/>
  <c r="AT66" i="13" s="1"/>
  <c r="AB65" i="13" a="1"/>
  <c r="AB65" i="13" s="1"/>
  <c r="AB68" i="13" a="1"/>
  <c r="AB68" i="13" s="1"/>
  <c r="AB69" i="13" a="1"/>
  <c r="AB69" i="13" s="1"/>
  <c r="AB94" i="13" a="1"/>
  <c r="AB94" i="13" s="1"/>
  <c r="AB66" i="13" a="1"/>
  <c r="AB66" i="13" s="1"/>
  <c r="AB74" i="13" a="1"/>
  <c r="AB74" i="13" s="1"/>
  <c r="AB93" i="13" a="1"/>
  <c r="AB93" i="13" s="1"/>
  <c r="AB103" i="13" a="1"/>
  <c r="AB103" i="13" s="1"/>
  <c r="AB73" i="13" a="1"/>
  <c r="AB73" i="13" s="1"/>
  <c r="AB75" i="13" a="1"/>
  <c r="AB75" i="13" s="1"/>
  <c r="AB67" i="13" a="1"/>
  <c r="AB67" i="13" s="1"/>
  <c r="AB95" i="13" a="1"/>
  <c r="AB95" i="13" s="1"/>
  <c r="AB86" i="13" a="1"/>
  <c r="AB86" i="13" s="1"/>
  <c r="AB85" i="13" a="1"/>
  <c r="AB85" i="13" s="1"/>
  <c r="CL6" i="9"/>
  <c r="CL9" i="9" s="1"/>
  <c r="CM5" i="9"/>
  <c r="AU64" i="17" a="1"/>
  <c r="AU64" i="17" s="1"/>
  <c r="AV5" i="17"/>
  <c r="AV84" i="17" a="1"/>
  <c r="AV84" i="17" s="1"/>
  <c r="AU6" i="17"/>
  <c r="AU102" i="17" a="1"/>
  <c r="AU102" i="17" s="1"/>
  <c r="AU88" i="17" a="1"/>
  <c r="AU88" i="17" s="1"/>
  <c r="AU93" i="17" a="1"/>
  <c r="AU93" i="17" s="1"/>
  <c r="AU86" i="17" a="1"/>
  <c r="AU86" i="17" s="1"/>
  <c r="AU73" i="17" a="1"/>
  <c r="AU73" i="17" s="1"/>
  <c r="AU96" i="17" a="1"/>
  <c r="AU96" i="17" s="1"/>
  <c r="AU104" i="17" a="1"/>
  <c r="AU104" i="17" s="1"/>
  <c r="AU74" i="17" a="1"/>
  <c r="AU74" i="17" s="1"/>
  <c r="AU85" i="17" a="1"/>
  <c r="AU85" i="17" s="1"/>
  <c r="AU66" i="17" a="1"/>
  <c r="AU66" i="17" s="1"/>
  <c r="AU103" i="17" a="1"/>
  <c r="AU103" i="17" s="1"/>
  <c r="AU76" i="17" a="1"/>
  <c r="AU76" i="17" s="1"/>
  <c r="AU68" i="17" a="1"/>
  <c r="AU68" i="17" s="1"/>
  <c r="AU67" i="17" a="1"/>
  <c r="AU67" i="17" s="1"/>
  <c r="AV67" i="17" s="1" a="1"/>
  <c r="AV67" i="17" s="1"/>
  <c r="AD5" i="17"/>
  <c r="AC6" i="17"/>
  <c r="AD84" i="17" a="1"/>
  <c r="AD84" i="17" s="1"/>
  <c r="AC102" i="17" a="1"/>
  <c r="AC102" i="17" s="1"/>
  <c r="AC103" i="17" a="1"/>
  <c r="AC103" i="17" s="1"/>
  <c r="AC68" i="17" a="1"/>
  <c r="AC68" i="17" s="1"/>
  <c r="AU75" i="17" a="1"/>
  <c r="AU75" i="17" s="1"/>
  <c r="AU94" i="17" a="1"/>
  <c r="AU94" i="17" s="1"/>
  <c r="AV94" i="17" s="1" a="1"/>
  <c r="AV94" i="17" s="1"/>
  <c r="AU65" i="17" a="1"/>
  <c r="AU65" i="17" s="1"/>
  <c r="AU64" i="16" a="1"/>
  <c r="AU64" i="16" s="1"/>
  <c r="AU85" i="16" a="1"/>
  <c r="AU85" i="16" s="1"/>
  <c r="AU103" i="16" a="1"/>
  <c r="AU103" i="16" s="1"/>
  <c r="AD5" i="16"/>
  <c r="AC6" i="16"/>
  <c r="AU76" i="16" a="1"/>
  <c r="AU76" i="16" s="1"/>
  <c r="AU66" i="16" a="1"/>
  <c r="AU66" i="16" s="1"/>
  <c r="AU93" i="16" a="1"/>
  <c r="AU93" i="16" s="1"/>
  <c r="AU102" i="16" a="1"/>
  <c r="AU102" i="16" s="1"/>
  <c r="AU65" i="16" a="1"/>
  <c r="AU65" i="16" s="1"/>
  <c r="AU69" i="16" a="1"/>
  <c r="AU69" i="16" s="1"/>
  <c r="AU68" i="16" a="1"/>
  <c r="AU68" i="16" s="1"/>
  <c r="AU74" i="16" a="1"/>
  <c r="AU74" i="16" s="1"/>
  <c r="AU73" i="16" a="1"/>
  <c r="AU73" i="16" s="1"/>
  <c r="AU6" i="16"/>
  <c r="AV5" i="16"/>
  <c r="AU104" i="16" a="1"/>
  <c r="AU104" i="16" s="1"/>
  <c r="AV104" i="16" s="1" a="1"/>
  <c r="AV104" i="16" s="1"/>
  <c r="AU94" i="16" a="1"/>
  <c r="AU94" i="16" s="1"/>
  <c r="AU96" i="16" a="1"/>
  <c r="AU96" i="16" s="1"/>
  <c r="AU75" i="15" a="1"/>
  <c r="AU75" i="15" s="1"/>
  <c r="AU69" i="15" a="1"/>
  <c r="AU69" i="15" s="1"/>
  <c r="AU95" i="15" a="1"/>
  <c r="AU95" i="15" s="1"/>
  <c r="AU74" i="15" a="1"/>
  <c r="AU74" i="15" s="1"/>
  <c r="AC6" i="15"/>
  <c r="AD5" i="15"/>
  <c r="AD103" i="15" a="1"/>
  <c r="AD103" i="15" s="1"/>
  <c r="AC68" i="15" a="1"/>
  <c r="AC68" i="15" s="1"/>
  <c r="AC73" i="15" a="1"/>
  <c r="AC73" i="15" s="1"/>
  <c r="AU73" i="15" a="1"/>
  <c r="AU73" i="15" s="1"/>
  <c r="AU104" i="15" a="1"/>
  <c r="AU104" i="15" s="1"/>
  <c r="AU76" i="15" a="1"/>
  <c r="AU76" i="15" s="1"/>
  <c r="AU6" i="15"/>
  <c r="AV5" i="15"/>
  <c r="AV103" i="15" a="1"/>
  <c r="AV103" i="15" s="1"/>
  <c r="AU88" i="15" a="1"/>
  <c r="AU88" i="15" s="1"/>
  <c r="AU93" i="15" a="1"/>
  <c r="AU93" i="15" s="1"/>
  <c r="AC96" i="15" a="1"/>
  <c r="AC96" i="15" s="1"/>
  <c r="AC88" i="15" a="1"/>
  <c r="AC88" i="15" s="1"/>
  <c r="AU65" i="15" a="1"/>
  <c r="AU65" i="15" s="1"/>
  <c r="AU94" i="15" a="1"/>
  <c r="AU94" i="15" s="1"/>
  <c r="AU96" i="15" a="1"/>
  <c r="AU96" i="15" s="1"/>
  <c r="AU66" i="15" a="1"/>
  <c r="AU66" i="15" s="1"/>
  <c r="AC65" i="17" a="1"/>
  <c r="AC65" i="17" s="1"/>
  <c r="AC85" i="17" a="1"/>
  <c r="AC85" i="17" s="1"/>
  <c r="AC93" i="17" a="1"/>
  <c r="AC93" i="17" s="1"/>
  <c r="AC64" i="17" a="1"/>
  <c r="AC64" i="17" s="1"/>
  <c r="AC96" i="17" a="1"/>
  <c r="AC96" i="17" s="1"/>
  <c r="AC94" i="17" a="1"/>
  <c r="AC94" i="17" s="1"/>
  <c r="AC74" i="17" a="1"/>
  <c r="AC74" i="17" s="1"/>
  <c r="AC66" i="17" a="1"/>
  <c r="AC66" i="17" s="1"/>
  <c r="AC75" i="17" a="1"/>
  <c r="AC75" i="17" s="1"/>
  <c r="AC76" i="17" a="1"/>
  <c r="AC76" i="17" s="1"/>
  <c r="AC86" i="17" a="1"/>
  <c r="AC86" i="17" s="1"/>
  <c r="AC73" i="17" a="1"/>
  <c r="AC73" i="17" s="1"/>
  <c r="AC69" i="17" a="1"/>
  <c r="AC69" i="17" s="1"/>
  <c r="AC88" i="17" a="1"/>
  <c r="AC88" i="17" s="1"/>
  <c r="AC95" i="17" a="1"/>
  <c r="AC95" i="17" s="1"/>
  <c r="AC64" i="16" a="1"/>
  <c r="AC64" i="16" s="1"/>
  <c r="AC104" i="16" a="1"/>
  <c r="AC104" i="16" s="1"/>
  <c r="AC68" i="16" a="1"/>
  <c r="AC68" i="16" s="1"/>
  <c r="AC67" i="16" a="1"/>
  <c r="AC67" i="16" s="1"/>
  <c r="AC103" i="16" a="1"/>
  <c r="AC103" i="16" s="1"/>
  <c r="AC66" i="16" a="1"/>
  <c r="AC66" i="16" s="1"/>
  <c r="AC65" i="16" a="1"/>
  <c r="AC65" i="16" s="1"/>
  <c r="AC96" i="16" a="1"/>
  <c r="AC96" i="16" s="1"/>
  <c r="AC88" i="16" a="1"/>
  <c r="AC88" i="16" s="1"/>
  <c r="AC102" i="16" a="1"/>
  <c r="AC102" i="16" s="1"/>
  <c r="AC94" i="16" a="1"/>
  <c r="AC94" i="16" s="1"/>
  <c r="AD76" i="16" a="1"/>
  <c r="AD76" i="16" s="1"/>
  <c r="AC73" i="16" a="1"/>
  <c r="AC73" i="16" s="1"/>
  <c r="AC95" i="16" a="1"/>
  <c r="AC95" i="16" s="1"/>
  <c r="AC75" i="16" a="1"/>
  <c r="AC75" i="16" s="1"/>
  <c r="AC69" i="16" a="1"/>
  <c r="AC69" i="16" s="1"/>
  <c r="AD67" i="15" a="1"/>
  <c r="AD67" i="15" s="1"/>
  <c r="AC64" i="15" a="1"/>
  <c r="AC64" i="15" s="1"/>
  <c r="AC69" i="15" a="1"/>
  <c r="AC69" i="15" s="1"/>
  <c r="AC104" i="15" a="1"/>
  <c r="AC104" i="15" s="1"/>
  <c r="AC93" i="15" a="1"/>
  <c r="AC93" i="15" s="1"/>
  <c r="AC94" i="15" a="1"/>
  <c r="AC94" i="15" s="1"/>
  <c r="AC102" i="15" a="1"/>
  <c r="AC102" i="15" s="1"/>
  <c r="AD65" i="15" a="1"/>
  <c r="AD65" i="15" s="1"/>
  <c r="AC74" i="15" a="1"/>
  <c r="AC74" i="15" s="1"/>
  <c r="AC85" i="15" a="1"/>
  <c r="AC85" i="15" s="1"/>
  <c r="AU6" i="13"/>
  <c r="AB6" i="13"/>
  <c r="S8" i="9" s="1"/>
  <c r="AC5" i="13"/>
  <c r="F104" i="24" l="1"/>
  <c r="F85" i="24"/>
  <c r="F69" i="24"/>
  <c r="F96" i="24"/>
  <c r="F84" i="24"/>
  <c r="F103" i="24"/>
  <c r="F74" i="24"/>
  <c r="F66" i="24"/>
  <c r="F102" i="24"/>
  <c r="F65" i="24"/>
  <c r="F94" i="24"/>
  <c r="F67" i="24"/>
  <c r="F73" i="24"/>
  <c r="F93" i="24"/>
  <c r="F64" i="24"/>
  <c r="F75" i="24"/>
  <c r="F95" i="24"/>
  <c r="F86" i="24"/>
  <c r="F88" i="24"/>
  <c r="F76" i="24"/>
  <c r="F68" i="24"/>
  <c r="H6" i="27"/>
  <c r="H104" i="27"/>
  <c r="H103" i="27"/>
  <c r="H102" i="27"/>
  <c r="H96" i="27"/>
  <c r="H95" i="27"/>
  <c r="H94" i="27"/>
  <c r="H93" i="27"/>
  <c r="H88" i="27"/>
  <c r="H86" i="27"/>
  <c r="H85" i="27"/>
  <c r="H84" i="27"/>
  <c r="H76" i="27"/>
  <c r="H75" i="27"/>
  <c r="H74" i="27"/>
  <c r="H73" i="27"/>
  <c r="H69" i="27"/>
  <c r="H68" i="27"/>
  <c r="H67" i="27"/>
  <c r="H66" i="27"/>
  <c r="H65" i="27"/>
  <c r="H64" i="27"/>
  <c r="G6" i="27"/>
  <c r="G104" i="27"/>
  <c r="G103" i="27"/>
  <c r="G102" i="27"/>
  <c r="G96" i="27"/>
  <c r="G95" i="27"/>
  <c r="G94" i="27"/>
  <c r="G93" i="27"/>
  <c r="G88" i="27"/>
  <c r="G86" i="27"/>
  <c r="G85" i="27"/>
  <c r="G84" i="27"/>
  <c r="G76" i="27"/>
  <c r="G75" i="27"/>
  <c r="G74" i="27"/>
  <c r="G73" i="27"/>
  <c r="G69" i="27"/>
  <c r="G68" i="27"/>
  <c r="G67" i="27"/>
  <c r="G66" i="27"/>
  <c r="G65" i="27"/>
  <c r="G64" i="27"/>
  <c r="P4" i="13"/>
  <c r="Q4" i="13" s="1"/>
  <c r="R4" i="13" s="1"/>
  <c r="S4" i="13" s="1"/>
  <c r="N93" i="13"/>
  <c r="N73" i="13"/>
  <c r="N88" i="13"/>
  <c r="N69" i="13"/>
  <c r="N104" i="13"/>
  <c r="N86" i="13"/>
  <c r="N68" i="13"/>
  <c r="N103" i="13"/>
  <c r="N85" i="13"/>
  <c r="N67" i="13"/>
  <c r="N102" i="13"/>
  <c r="N84" i="13"/>
  <c r="N66" i="13"/>
  <c r="N6" i="13"/>
  <c r="N96" i="13"/>
  <c r="N76" i="13"/>
  <c r="N65" i="13"/>
  <c r="N95" i="13"/>
  <c r="N75" i="13"/>
  <c r="N64" i="13"/>
  <c r="N94" i="13"/>
  <c r="N74" i="13"/>
  <c r="R104" i="17"/>
  <c r="R103" i="17"/>
  <c r="R102" i="17"/>
  <c r="R96" i="17"/>
  <c r="R95" i="17"/>
  <c r="R94" i="17"/>
  <c r="R93" i="17"/>
  <c r="R88" i="17"/>
  <c r="R86" i="17"/>
  <c r="R85" i="17"/>
  <c r="R84" i="17"/>
  <c r="R76" i="17"/>
  <c r="R75" i="17"/>
  <c r="R74" i="17"/>
  <c r="R73" i="17"/>
  <c r="R69" i="17"/>
  <c r="R68" i="17"/>
  <c r="R67" i="17"/>
  <c r="R66" i="17"/>
  <c r="R65" i="17"/>
  <c r="R64" i="17"/>
  <c r="S104" i="17"/>
  <c r="S103" i="17"/>
  <c r="S102" i="17"/>
  <c r="S96" i="17"/>
  <c r="S95" i="17"/>
  <c r="S94" i="17"/>
  <c r="S93" i="17"/>
  <c r="S88" i="17"/>
  <c r="S86" i="17"/>
  <c r="S85" i="17"/>
  <c r="S84" i="17"/>
  <c r="S76" i="17"/>
  <c r="S75" i="17"/>
  <c r="S74" i="17"/>
  <c r="S73" i="17"/>
  <c r="S69" i="17"/>
  <c r="S68" i="17"/>
  <c r="S67" i="17"/>
  <c r="S66" i="17"/>
  <c r="S65" i="17"/>
  <c r="S64" i="17"/>
  <c r="S104" i="15"/>
  <c r="S103" i="15"/>
  <c r="S102" i="15"/>
  <c r="S96" i="15"/>
  <c r="S95" i="15"/>
  <c r="S94" i="15"/>
  <c r="S93" i="15"/>
  <c r="S88" i="15"/>
  <c r="S86" i="15"/>
  <c r="S85" i="15"/>
  <c r="S84" i="15"/>
  <c r="S76" i="15"/>
  <c r="S75" i="15"/>
  <c r="S74" i="15"/>
  <c r="S73" i="15"/>
  <c r="S69" i="15"/>
  <c r="S68" i="15"/>
  <c r="S67" i="15"/>
  <c r="S66" i="15"/>
  <c r="S65" i="15"/>
  <c r="S64" i="15"/>
  <c r="R104" i="15"/>
  <c r="R103" i="15"/>
  <c r="R102" i="15"/>
  <c r="R96" i="15"/>
  <c r="R95" i="15"/>
  <c r="R94" i="15"/>
  <c r="R93" i="15"/>
  <c r="R88" i="15"/>
  <c r="R86" i="15"/>
  <c r="R85" i="15"/>
  <c r="R84" i="15"/>
  <c r="R76" i="15"/>
  <c r="R75" i="15"/>
  <c r="R74" i="15"/>
  <c r="R73" i="15"/>
  <c r="R69" i="15"/>
  <c r="R68" i="15"/>
  <c r="R67" i="15"/>
  <c r="R66" i="15"/>
  <c r="R65" i="15"/>
  <c r="R64" i="15"/>
  <c r="BB96" i="25" a="1"/>
  <c r="BB96" i="25" s="1"/>
  <c r="BB69" i="25" a="1"/>
  <c r="BB69" i="25" s="1"/>
  <c r="BB95" i="25" a="1"/>
  <c r="BB95" i="25" s="1"/>
  <c r="BB85" i="25" a="1"/>
  <c r="BB85" i="25" s="1"/>
  <c r="BB68" i="25" a="1"/>
  <c r="BB68" i="25" s="1"/>
  <c r="BB67" i="25" a="1"/>
  <c r="BB67" i="25" s="1"/>
  <c r="BB94" i="25" a="1"/>
  <c r="BB94" i="25" s="1"/>
  <c r="BB84" i="25" a="1"/>
  <c r="BB84" i="25" s="1"/>
  <c r="BB66" i="25" a="1"/>
  <c r="BB66" i="25" s="1"/>
  <c r="BC5" i="25"/>
  <c r="BB93" i="25" a="1"/>
  <c r="BB93" i="25" s="1"/>
  <c r="BB76" i="25" a="1"/>
  <c r="BB76" i="25" s="1"/>
  <c r="BB65" i="25" a="1"/>
  <c r="BB65" i="25" s="1"/>
  <c r="BB104" i="25" a="1"/>
  <c r="BB104" i="25" s="1"/>
  <c r="BB75" i="25" a="1"/>
  <c r="BB75" i="25" s="1"/>
  <c r="BB103" i="25" a="1"/>
  <c r="BB103" i="25" s="1"/>
  <c r="BB88" i="25" a="1"/>
  <c r="BB88" i="25" s="1"/>
  <c r="BB74" i="25" a="1"/>
  <c r="BB74" i="25" s="1"/>
  <c r="BB102" i="25" a="1"/>
  <c r="BB102" i="25" s="1"/>
  <c r="BB86" i="25" a="1"/>
  <c r="BB86" i="25" s="1"/>
  <c r="BB73" i="25" a="1"/>
  <c r="BB73" i="25" s="1"/>
  <c r="BB64" i="25" a="1"/>
  <c r="BB64" i="25" s="1"/>
  <c r="F86" i="25"/>
  <c r="F88" i="25"/>
  <c r="F103" i="25"/>
  <c r="F65" i="25"/>
  <c r="F104" i="25"/>
  <c r="F93" i="25"/>
  <c r="F74" i="25"/>
  <c r="F69" i="25"/>
  <c r="F67" i="25"/>
  <c r="F76" i="25"/>
  <c r="F73" i="25"/>
  <c r="F85" i="25"/>
  <c r="F96" i="25"/>
  <c r="F64" i="25"/>
  <c r="F84" i="25"/>
  <c r="F66" i="25"/>
  <c r="F75" i="25"/>
  <c r="F95" i="25"/>
  <c r="F68" i="25"/>
  <c r="F94" i="25"/>
  <c r="F102" i="25"/>
  <c r="AC84" i="13" a="1"/>
  <c r="AC84" i="13" s="1"/>
  <c r="AD67" i="17" a="1"/>
  <c r="AD67" i="17" s="1"/>
  <c r="AE67" i="17" s="1" a="1"/>
  <c r="AE67" i="17" s="1"/>
  <c r="AV75" i="17" a="1"/>
  <c r="AV75" i="17" s="1"/>
  <c r="AV68" i="17" a="1"/>
  <c r="AV68" i="17" s="1"/>
  <c r="AV103" i="16" a="1"/>
  <c r="AV103" i="16" s="1"/>
  <c r="AV74" i="17" a="1"/>
  <c r="AV74" i="17" s="1"/>
  <c r="AV102" i="17" a="1"/>
  <c r="AV102" i="17" s="1"/>
  <c r="AV73" i="16" a="1"/>
  <c r="AV73" i="16" s="1"/>
  <c r="AV104" i="17" a="1"/>
  <c r="AV104" i="17" s="1"/>
  <c r="AV93" i="16" a="1"/>
  <c r="AV93" i="16" s="1"/>
  <c r="AV66" i="16" a="1"/>
  <c r="AV66" i="16" s="1"/>
  <c r="AV84" i="16" a="1"/>
  <c r="AV84" i="16" s="1"/>
  <c r="AV74" i="16" a="1"/>
  <c r="AV74" i="16" s="1"/>
  <c r="AV96" i="16" a="1"/>
  <c r="AV96" i="16" s="1"/>
  <c r="AD85" i="16" a="1"/>
  <c r="AD85" i="16" s="1"/>
  <c r="AV94" i="16" a="1"/>
  <c r="AV94" i="16" s="1"/>
  <c r="AV68" i="16" a="1"/>
  <c r="AV68" i="16" s="1"/>
  <c r="BY104" i="24"/>
  <c r="BY95" i="24"/>
  <c r="BY85" i="24"/>
  <c r="BY103" i="24"/>
  <c r="BY65" i="24"/>
  <c r="BY86" i="24"/>
  <c r="BY67" i="24"/>
  <c r="BY96" i="24"/>
  <c r="BY94" i="24"/>
  <c r="BY84" i="24"/>
  <c r="BY64" i="24"/>
  <c r="BY74" i="24"/>
  <c r="BY68" i="24"/>
  <c r="BY76" i="24"/>
  <c r="BY75" i="24"/>
  <c r="BY102" i="24"/>
  <c r="BY66" i="24"/>
  <c r="BY93" i="24"/>
  <c r="BY73" i="24"/>
  <c r="BY69" i="24"/>
  <c r="BY88" i="24"/>
  <c r="CM96" i="24"/>
  <c r="CM75" i="24"/>
  <c r="CM68" i="24"/>
  <c r="CM86" i="24"/>
  <c r="CM67" i="24"/>
  <c r="CM102" i="24"/>
  <c r="CM76" i="24"/>
  <c r="CM103" i="24"/>
  <c r="CM84" i="24"/>
  <c r="CM95" i="24"/>
  <c r="CM104" i="24"/>
  <c r="CM85" i="24"/>
  <c r="CM65" i="24"/>
  <c r="CM66" i="24"/>
  <c r="CM64" i="24"/>
  <c r="CM69" i="24"/>
  <c r="CM74" i="24"/>
  <c r="CM94" i="24"/>
  <c r="CM93" i="24"/>
  <c r="CM88" i="24"/>
  <c r="CM73" i="24"/>
  <c r="AD84" i="15" a="1"/>
  <c r="AD84" i="15" s="1"/>
  <c r="V85" i="24"/>
  <c r="V102" i="24"/>
  <c r="V96" i="24"/>
  <c r="V95" i="24"/>
  <c r="V74" i="24"/>
  <c r="V66" i="24"/>
  <c r="V68" i="24"/>
  <c r="V67" i="24"/>
  <c r="V86" i="24"/>
  <c r="V84" i="24"/>
  <c r="V103" i="24"/>
  <c r="V104" i="24"/>
  <c r="V73" i="24"/>
  <c r="V69" i="24"/>
  <c r="V93" i="24"/>
  <c r="V65" i="24"/>
  <c r="V64" i="24"/>
  <c r="V76" i="24"/>
  <c r="V75" i="24"/>
  <c r="V88" i="24"/>
  <c r="V94" i="24"/>
  <c r="AU84" i="13" a="1"/>
  <c r="AU84" i="13" s="1"/>
  <c r="AV76" i="17" a="1"/>
  <c r="AV76" i="17" s="1"/>
  <c r="AV94" i="15" a="1"/>
  <c r="AV94" i="15" s="1"/>
  <c r="AC88" i="13" a="1"/>
  <c r="AC88" i="13" s="1"/>
  <c r="AD75" i="15" a="1"/>
  <c r="AD75" i="15" s="1"/>
  <c r="AE75" i="15" s="1" a="1"/>
  <c r="AE75" i="15" s="1"/>
  <c r="AV103" i="17" a="1"/>
  <c r="AV103" i="17" s="1"/>
  <c r="CM86" i="9"/>
  <c r="CM103" i="9"/>
  <c r="CM64" i="9"/>
  <c r="CM85" i="9"/>
  <c r="CM104" i="9"/>
  <c r="CM88" i="9"/>
  <c r="CM74" i="9"/>
  <c r="CM102" i="9"/>
  <c r="CM65" i="9"/>
  <c r="CM73" i="9"/>
  <c r="CM67" i="9"/>
  <c r="CM75" i="9"/>
  <c r="CM84" i="9"/>
  <c r="CM93" i="9"/>
  <c r="CM76" i="9"/>
  <c r="CM95" i="9"/>
  <c r="CM68" i="9"/>
  <c r="CM66" i="9"/>
  <c r="CM69" i="9"/>
  <c r="CM96" i="9"/>
  <c r="CM94" i="9"/>
  <c r="AD84" i="16" a="1"/>
  <c r="AD84" i="16" s="1"/>
  <c r="CB6" i="24"/>
  <c r="CB7" i="24" s="1"/>
  <c r="CA7" i="24"/>
  <c r="AY6" i="24"/>
  <c r="AX7" i="24"/>
  <c r="R73" i="9"/>
  <c r="R93" i="9"/>
  <c r="R68" i="9"/>
  <c r="R65" i="9"/>
  <c r="R84" i="9"/>
  <c r="R88" i="9"/>
  <c r="R94" i="9"/>
  <c r="R75" i="9"/>
  <c r="R103" i="9"/>
  <c r="R64" i="9"/>
  <c r="R96" i="9"/>
  <c r="R67" i="9"/>
  <c r="R76" i="9"/>
  <c r="R85" i="9"/>
  <c r="R86" i="9"/>
  <c r="R69" i="9"/>
  <c r="R95" i="9"/>
  <c r="R104" i="9"/>
  <c r="R66" i="9"/>
  <c r="R74" i="9"/>
  <c r="R102" i="9"/>
  <c r="AI103" i="24"/>
  <c r="AI95" i="24"/>
  <c r="AI66" i="24"/>
  <c r="AI96" i="24"/>
  <c r="AI104" i="24"/>
  <c r="AI88" i="24"/>
  <c r="AI86" i="24"/>
  <c r="AI68" i="24"/>
  <c r="AI67" i="24"/>
  <c r="AI64" i="24"/>
  <c r="AI65" i="24"/>
  <c r="AI93" i="24"/>
  <c r="AI69" i="24"/>
  <c r="AI85" i="24"/>
  <c r="AI74" i="24"/>
  <c r="AI102" i="24"/>
  <c r="AI84" i="24"/>
  <c r="G84" i="24" s="1"/>
  <c r="AI94" i="24"/>
  <c r="AI76" i="24"/>
  <c r="AI73" i="24"/>
  <c r="AI75" i="24"/>
  <c r="AV84" i="15" a="1"/>
  <c r="AV84" i="15" s="1"/>
  <c r="AD74" i="16" a="1"/>
  <c r="AD74" i="16" s="1"/>
  <c r="AC104" i="13" a="1"/>
  <c r="AC104" i="13" s="1"/>
  <c r="AD93" i="16" a="1"/>
  <c r="AD93" i="16" s="1"/>
  <c r="AV67" i="15" a="1"/>
  <c r="AV67" i="15" s="1"/>
  <c r="AC76" i="13" a="1"/>
  <c r="AC76" i="13" s="1"/>
  <c r="AD96" i="15" a="1"/>
  <c r="AD96" i="15" s="1"/>
  <c r="AE96" i="15" s="1" a="1"/>
  <c r="AE96" i="15" s="1"/>
  <c r="AV102" i="16" a="1"/>
  <c r="AV102" i="16" s="1"/>
  <c r="AW76" i="24"/>
  <c r="AW103" i="24"/>
  <c r="AW85" i="24"/>
  <c r="AW68" i="24"/>
  <c r="AW67" i="24"/>
  <c r="AW66" i="24"/>
  <c r="AW86" i="24"/>
  <c r="AW84" i="24"/>
  <c r="AW104" i="24"/>
  <c r="AW95" i="24"/>
  <c r="AW88" i="24"/>
  <c r="AW73" i="24"/>
  <c r="AW74" i="24"/>
  <c r="AW69" i="24"/>
  <c r="AW75" i="24"/>
  <c r="AW102" i="24"/>
  <c r="AW93" i="24"/>
  <c r="AW96" i="24"/>
  <c r="AW94" i="24"/>
  <c r="AW65" i="24"/>
  <c r="AW64" i="24"/>
  <c r="BK66" i="24"/>
  <c r="BK67" i="24"/>
  <c r="BK104" i="24"/>
  <c r="BK102" i="24"/>
  <c r="BK84" i="24"/>
  <c r="BK68" i="24"/>
  <c r="BK103" i="24"/>
  <c r="BK75" i="24"/>
  <c r="BK69" i="24"/>
  <c r="BK96" i="24"/>
  <c r="BK95" i="24"/>
  <c r="BK76" i="24"/>
  <c r="BK73" i="24"/>
  <c r="BK74" i="24"/>
  <c r="BK65" i="24"/>
  <c r="BK85" i="24"/>
  <c r="BK64" i="24"/>
  <c r="BK94" i="24"/>
  <c r="BK93" i="24"/>
  <c r="BK86" i="24"/>
  <c r="BK88" i="24"/>
  <c r="AL6" i="24"/>
  <c r="AL7" i="24" s="1"/>
  <c r="AK7" i="24"/>
  <c r="W6" i="24"/>
  <c r="W5" i="24" s="1"/>
  <c r="V7" i="24"/>
  <c r="CN5" i="24"/>
  <c r="BZ5" i="24"/>
  <c r="BL5" i="24"/>
  <c r="AX5" i="24"/>
  <c r="AJ5" i="24"/>
  <c r="AU74" i="13" a="1"/>
  <c r="AU74" i="13" s="1"/>
  <c r="AD88" i="15" a="1"/>
  <c r="AD88" i="15" s="1"/>
  <c r="AD86" i="15" a="1"/>
  <c r="AD86" i="15" s="1"/>
  <c r="AV93" i="15" a="1"/>
  <c r="AV93" i="15" s="1"/>
  <c r="AD104" i="17" a="1"/>
  <c r="AD104" i="17" s="1"/>
  <c r="AD66" i="15" a="1"/>
  <c r="AD66" i="15" s="1"/>
  <c r="AD95" i="15" a="1"/>
  <c r="AD95" i="15" s="1"/>
  <c r="AE95" i="15" s="1" a="1"/>
  <c r="AE95" i="15" s="1"/>
  <c r="AV66" i="15" a="1"/>
  <c r="AV66" i="15" s="1"/>
  <c r="AV85" i="15" a="1"/>
  <c r="AV85" i="15" s="1"/>
  <c r="AV96" i="15" a="1"/>
  <c r="AV96" i="15" s="1"/>
  <c r="AV95" i="15" a="1"/>
  <c r="AV95" i="15" s="1"/>
  <c r="AU95" i="13" a="1"/>
  <c r="AU95" i="13" s="1"/>
  <c r="AV73" i="15" a="1"/>
  <c r="AV73" i="15" s="1"/>
  <c r="AU86" i="13" a="1"/>
  <c r="AU86" i="13" s="1"/>
  <c r="AU104" i="13" a="1"/>
  <c r="AU104" i="13" s="1"/>
  <c r="AV65" i="15" a="1"/>
  <c r="AV65" i="15" s="1"/>
  <c r="AU94" i="13" a="1"/>
  <c r="AU94" i="13" s="1"/>
  <c r="AU85" i="13" a="1"/>
  <c r="AU85" i="13" s="1"/>
  <c r="AU65" i="13" a="1"/>
  <c r="AU65" i="13" s="1"/>
  <c r="AU69" i="13" a="1"/>
  <c r="AU69" i="13" s="1"/>
  <c r="AU88" i="13" a="1"/>
  <c r="AU88" i="13" s="1"/>
  <c r="AU67" i="13" a="1"/>
  <c r="AU67" i="13" s="1"/>
  <c r="AU76" i="13" a="1"/>
  <c r="AU76" i="13" s="1"/>
  <c r="AU96" i="13" a="1"/>
  <c r="AU96" i="13" s="1"/>
  <c r="S5" i="9"/>
  <c r="AU68" i="13" a="1"/>
  <c r="AU68" i="13" s="1"/>
  <c r="AU66" i="13" a="1"/>
  <c r="AU66" i="13" s="1"/>
  <c r="AU75" i="13" a="1"/>
  <c r="AU75" i="13" s="1"/>
  <c r="AU64" i="13" a="1"/>
  <c r="AU64" i="13" s="1"/>
  <c r="AU102" i="13" a="1"/>
  <c r="AU102" i="13" s="1"/>
  <c r="AU103" i="13" a="1"/>
  <c r="AU103" i="13" s="1"/>
  <c r="R6" i="9"/>
  <c r="R9" i="9" s="1"/>
  <c r="AC102" i="13" a="1"/>
  <c r="AC102" i="13" s="1"/>
  <c r="AU73" i="13" a="1"/>
  <c r="AU73" i="13" s="1"/>
  <c r="AU93" i="13" a="1"/>
  <c r="AU93" i="13" s="1"/>
  <c r="AC68" i="13" a="1"/>
  <c r="AC68" i="13" s="1"/>
  <c r="AC73" i="13" a="1"/>
  <c r="AC73" i="13" s="1"/>
  <c r="AC69" i="13" a="1"/>
  <c r="AC69" i="13" s="1"/>
  <c r="AC85" i="13" a="1"/>
  <c r="AC85" i="13" s="1"/>
  <c r="AC65" i="13" a="1"/>
  <c r="AC65" i="13" s="1"/>
  <c r="AC93" i="13" a="1"/>
  <c r="AC93" i="13" s="1"/>
  <c r="AC74" i="13" a="1"/>
  <c r="AC74" i="13" s="1"/>
  <c r="AC94" i="13" a="1"/>
  <c r="AC94" i="13" s="1"/>
  <c r="AC66" i="13" a="1"/>
  <c r="AC66" i="13" s="1"/>
  <c r="AC86" i="13" a="1"/>
  <c r="AC86" i="13" s="1"/>
  <c r="AC67" i="13" a="1"/>
  <c r="AC67" i="13" s="1"/>
  <c r="AC103" i="13" a="1"/>
  <c r="AC103" i="13" s="1"/>
  <c r="AC95" i="13" a="1"/>
  <c r="AC95" i="13" s="1"/>
  <c r="AC75" i="13" a="1"/>
  <c r="AC75" i="13" s="1"/>
  <c r="AC96" i="13" a="1"/>
  <c r="AC96" i="13" s="1"/>
  <c r="AC64" i="13" a="1"/>
  <c r="AC64" i="13" s="1"/>
  <c r="CN5" i="9"/>
  <c r="CM6" i="9"/>
  <c r="CM9" i="9" s="1"/>
  <c r="AV6" i="17"/>
  <c r="AW5" i="17"/>
  <c r="AW104" i="17" a="1"/>
  <c r="AW104" i="17" s="1"/>
  <c r="AV66" i="17" a="1"/>
  <c r="AV66" i="17" s="1"/>
  <c r="AV73" i="17" a="1"/>
  <c r="AV73" i="17" s="1"/>
  <c r="AV95" i="17" a="1"/>
  <c r="AV95" i="17" s="1"/>
  <c r="AV96" i="17" a="1"/>
  <c r="AV96" i="17" s="1"/>
  <c r="AD6" i="17"/>
  <c r="AE5" i="17"/>
  <c r="AD68" i="17" a="1"/>
  <c r="AD68" i="17" s="1"/>
  <c r="AD102" i="17" a="1"/>
  <c r="AD102" i="17" s="1"/>
  <c r="AD103" i="17" a="1"/>
  <c r="AD103" i="17" s="1"/>
  <c r="AV86" i="17" a="1"/>
  <c r="AV86" i="17" s="1"/>
  <c r="AV64" i="17" a="1"/>
  <c r="AV64" i="17" s="1"/>
  <c r="AV93" i="17" a="1"/>
  <c r="AV93" i="17" s="1"/>
  <c r="AV69" i="17" a="1"/>
  <c r="AV69" i="17" s="1"/>
  <c r="AW69" i="17" s="1" a="1"/>
  <c r="AW69" i="17" s="1"/>
  <c r="AV65" i="17" a="1"/>
  <c r="AV65" i="17" s="1"/>
  <c r="AV85" i="17" a="1"/>
  <c r="AV85" i="17" s="1"/>
  <c r="AV88" i="17" a="1"/>
  <c r="AV88" i="17" s="1"/>
  <c r="AV65" i="16" a="1"/>
  <c r="AV65" i="16" s="1"/>
  <c r="AE5" i="16"/>
  <c r="AD6" i="16"/>
  <c r="AV85" i="16" a="1"/>
  <c r="AV85" i="16" s="1"/>
  <c r="AW5" i="16"/>
  <c r="AV6" i="16"/>
  <c r="AV69" i="16" a="1"/>
  <c r="AV69" i="16" s="1"/>
  <c r="AV86" i="16" a="1"/>
  <c r="AV86" i="16" s="1"/>
  <c r="AV64" i="16" a="1"/>
  <c r="AV64" i="16" s="1"/>
  <c r="AV95" i="16" a="1"/>
  <c r="AV95" i="16" s="1"/>
  <c r="AV76" i="16" a="1"/>
  <c r="AV76" i="16" s="1"/>
  <c r="AV88" i="16" a="1"/>
  <c r="AV88" i="16" s="1"/>
  <c r="AV67" i="16" a="1"/>
  <c r="AV67" i="16" s="1"/>
  <c r="AW67" i="16" s="1" a="1"/>
  <c r="AW67" i="16" s="1"/>
  <c r="AV75" i="16" a="1"/>
  <c r="AV75" i="16" s="1"/>
  <c r="AV6" i="15"/>
  <c r="AW5" i="15"/>
  <c r="AW67" i="15" a="1"/>
  <c r="AW67" i="15" s="1"/>
  <c r="AV68" i="15" a="1"/>
  <c r="AV68" i="15" s="1"/>
  <c r="AV74" i="15" a="1"/>
  <c r="AV74" i="15" s="1"/>
  <c r="AV69" i="15" a="1"/>
  <c r="AV69" i="15" s="1"/>
  <c r="AV75" i="15" a="1"/>
  <c r="AV75" i="15" s="1"/>
  <c r="AV102" i="15" a="1"/>
  <c r="AV102" i="15" s="1"/>
  <c r="AV64" i="15" a="1"/>
  <c r="AV64" i="15" s="1"/>
  <c r="AW64" i="15" s="1" a="1"/>
  <c r="AW64" i="15" s="1"/>
  <c r="AV88" i="15" a="1"/>
  <c r="AV88" i="15" s="1"/>
  <c r="AV76" i="15" a="1"/>
  <c r="AV76" i="15" s="1"/>
  <c r="AD6" i="15"/>
  <c r="AE5" i="15"/>
  <c r="AD68" i="15" a="1"/>
  <c r="AD68" i="15" s="1"/>
  <c r="AD73" i="15" a="1"/>
  <c r="AD73" i="15" s="1"/>
  <c r="AV104" i="15" a="1"/>
  <c r="AV104" i="15" s="1"/>
  <c r="AV86" i="15" a="1"/>
  <c r="AV86" i="15" s="1"/>
  <c r="AD85" i="17" a="1"/>
  <c r="AD85" i="17" s="1"/>
  <c r="AD76" i="17" a="1"/>
  <c r="AD76" i="17" s="1"/>
  <c r="AD74" i="17" a="1"/>
  <c r="AD74" i="17" s="1"/>
  <c r="AD94" i="17" a="1"/>
  <c r="AD94" i="17" s="1"/>
  <c r="AD96" i="17" a="1"/>
  <c r="AD96" i="17" s="1"/>
  <c r="AD95" i="17" a="1"/>
  <c r="AD95" i="17" s="1"/>
  <c r="AD73" i="17" a="1"/>
  <c r="AD73" i="17" s="1"/>
  <c r="AD75" i="17" a="1"/>
  <c r="AD75" i="17" s="1"/>
  <c r="AD64" i="17" a="1"/>
  <c r="AD64" i="17" s="1"/>
  <c r="AD88" i="17" a="1"/>
  <c r="AD88" i="17" s="1"/>
  <c r="AD69" i="17" a="1"/>
  <c r="AD69" i="17" s="1"/>
  <c r="AD86" i="17" a="1"/>
  <c r="AD86" i="17" s="1"/>
  <c r="AD66" i="17" a="1"/>
  <c r="AD66" i="17" s="1"/>
  <c r="AD93" i="17" a="1"/>
  <c r="AD93" i="17" s="1"/>
  <c r="AD65" i="17" a="1"/>
  <c r="AD65" i="17" s="1"/>
  <c r="AD94" i="16" a="1"/>
  <c r="AD94" i="16" s="1"/>
  <c r="AD95" i="16" a="1"/>
  <c r="AD95" i="16" s="1"/>
  <c r="AD68" i="16" a="1"/>
  <c r="AD68" i="16" s="1"/>
  <c r="AD103" i="16" a="1"/>
  <c r="AD103" i="16" s="1"/>
  <c r="AD66" i="16" a="1"/>
  <c r="AD66" i="16" s="1"/>
  <c r="AD104" i="16" a="1"/>
  <c r="AD104" i="16" s="1"/>
  <c r="AD73" i="16" a="1"/>
  <c r="AD73" i="16" s="1"/>
  <c r="AD88" i="16" a="1"/>
  <c r="AD88" i="16" s="1"/>
  <c r="AD96" i="16" a="1"/>
  <c r="AD96" i="16" s="1"/>
  <c r="AD67" i="16" a="1"/>
  <c r="AD67" i="16" s="1"/>
  <c r="AD69" i="16" a="1"/>
  <c r="AD69" i="16" s="1"/>
  <c r="AD75" i="16" a="1"/>
  <c r="AD75" i="16" s="1"/>
  <c r="AD102" i="16" a="1"/>
  <c r="AD102" i="16" s="1"/>
  <c r="AD65" i="16" a="1"/>
  <c r="AD65" i="16" s="1"/>
  <c r="AD64" i="16" a="1"/>
  <c r="AD64" i="16" s="1"/>
  <c r="AD74" i="15" a="1"/>
  <c r="AD74" i="15" s="1"/>
  <c r="AD104" i="15" a="1"/>
  <c r="AD104" i="15" s="1"/>
  <c r="AE65" i="15" a="1"/>
  <c r="AE65" i="15" s="1"/>
  <c r="AE88" i="15" a="1"/>
  <c r="AE88" i="15" s="1"/>
  <c r="AE86" i="15" a="1"/>
  <c r="AE86" i="15" s="1"/>
  <c r="AD64" i="15" a="1"/>
  <c r="AD64" i="15" s="1"/>
  <c r="AD85" i="15" a="1"/>
  <c r="AD85" i="15" s="1"/>
  <c r="AD93" i="15" a="1"/>
  <c r="AD93" i="15" s="1"/>
  <c r="AD69" i="15" a="1"/>
  <c r="AD69" i="15" s="1"/>
  <c r="AE66" i="15" a="1"/>
  <c r="AE66" i="15" s="1"/>
  <c r="AD102" i="15" a="1"/>
  <c r="AD102" i="15" s="1"/>
  <c r="AD94" i="15" a="1"/>
  <c r="AD94" i="15" s="1"/>
  <c r="AE67" i="15" a="1"/>
  <c r="AE67" i="15" s="1"/>
  <c r="AV5" i="13"/>
  <c r="AV6" i="13"/>
  <c r="AC6" i="13"/>
  <c r="T8" i="9" s="1"/>
  <c r="AD5" i="13"/>
  <c r="G75" i="24" l="1"/>
  <c r="G69" i="24"/>
  <c r="G94" i="24"/>
  <c r="G95" i="24"/>
  <c r="G103" i="24"/>
  <c r="G85" i="24"/>
  <c r="G88" i="24"/>
  <c r="G64" i="24"/>
  <c r="G67" i="24"/>
  <c r="G102" i="24"/>
  <c r="G68" i="24"/>
  <c r="G74" i="24"/>
  <c r="G86" i="24"/>
  <c r="G104" i="24"/>
  <c r="G73" i="24"/>
  <c r="G93" i="24"/>
  <c r="G96" i="24"/>
  <c r="G76" i="24"/>
  <c r="G65" i="24"/>
  <c r="G66" i="24"/>
  <c r="O96" i="13"/>
  <c r="O76" i="13"/>
  <c r="O65" i="13"/>
  <c r="O95" i="13"/>
  <c r="O75" i="13"/>
  <c r="O64" i="13"/>
  <c r="O94" i="13"/>
  <c r="O74" i="13"/>
  <c r="O93" i="13"/>
  <c r="O73" i="13"/>
  <c r="O6" i="13"/>
  <c r="O88" i="13"/>
  <c r="O69" i="13"/>
  <c r="O104" i="13"/>
  <c r="O86" i="13"/>
  <c r="O68" i="13"/>
  <c r="O103" i="13"/>
  <c r="O85" i="13"/>
  <c r="O67" i="13"/>
  <c r="O102" i="13"/>
  <c r="O84" i="13"/>
  <c r="O66" i="13"/>
  <c r="BC96" i="25" a="1"/>
  <c r="BC96" i="25" s="1"/>
  <c r="BC84" i="25" a="1"/>
  <c r="BC84" i="25" s="1"/>
  <c r="BC67" i="25" a="1"/>
  <c r="BC67" i="25" s="1"/>
  <c r="BC95" i="25" a="1"/>
  <c r="BC95" i="25" s="1"/>
  <c r="BC76" i="25" a="1"/>
  <c r="BC76" i="25" s="1"/>
  <c r="BC75" i="25" a="1"/>
  <c r="BC75" i="25" s="1"/>
  <c r="BC66" i="25" a="1"/>
  <c r="BC66" i="25" s="1"/>
  <c r="BD5" i="25"/>
  <c r="BC94" i="25" a="1"/>
  <c r="BC94" i="25" s="1"/>
  <c r="BC74" i="25" a="1"/>
  <c r="BC74" i="25" s="1"/>
  <c r="BC104" i="25" a="1"/>
  <c r="BC104" i="25" s="1"/>
  <c r="BC93" i="25" a="1"/>
  <c r="BC93" i="25" s="1"/>
  <c r="BC73" i="25" a="1"/>
  <c r="BC73" i="25" s="1"/>
  <c r="BC65" i="25" a="1"/>
  <c r="BC65" i="25" s="1"/>
  <c r="BC103" i="25" a="1"/>
  <c r="BC103" i="25" s="1"/>
  <c r="BC88" i="25" a="1"/>
  <c r="BC88" i="25" s="1"/>
  <c r="BC69" i="25" a="1"/>
  <c r="BC69" i="25" s="1"/>
  <c r="BC102" i="25" a="1"/>
  <c r="BC102" i="25" s="1"/>
  <c r="BC86" i="25" a="1"/>
  <c r="BC86" i="25" s="1"/>
  <c r="BC68" i="25" a="1"/>
  <c r="BC68" i="25" s="1"/>
  <c r="BC85" i="25" a="1"/>
  <c r="BC85" i="25" s="1"/>
  <c r="BC64" i="25" a="1"/>
  <c r="BC64" i="25" s="1"/>
  <c r="G67" i="25"/>
  <c r="G76" i="25"/>
  <c r="G64" i="25"/>
  <c r="G95" i="25"/>
  <c r="G66" i="25"/>
  <c r="G102" i="25"/>
  <c r="G94" i="25"/>
  <c r="G96" i="25"/>
  <c r="G73" i="25"/>
  <c r="G69" i="25"/>
  <c r="G103" i="25"/>
  <c r="G68" i="25"/>
  <c r="G65" i="25"/>
  <c r="G75" i="25"/>
  <c r="G85" i="25"/>
  <c r="G104" i="25"/>
  <c r="G84" i="25"/>
  <c r="G86" i="25"/>
  <c r="G74" i="25"/>
  <c r="G93" i="25"/>
  <c r="G88" i="25"/>
  <c r="AE74" i="16" a="1"/>
  <c r="AE74" i="16" s="1"/>
  <c r="AW66" i="15" a="1"/>
  <c r="AW66" i="15" s="1"/>
  <c r="AW93" i="15" a="1"/>
  <c r="AW93" i="15" s="1"/>
  <c r="AW75" i="17" a="1"/>
  <c r="AW75" i="17" s="1"/>
  <c r="AW95" i="17" a="1"/>
  <c r="AW95" i="17" s="1"/>
  <c r="AW73" i="15" a="1"/>
  <c r="AW73" i="15" s="1"/>
  <c r="AW94" i="17" a="1"/>
  <c r="AW94" i="17" s="1"/>
  <c r="AW103" i="17" a="1"/>
  <c r="AW103" i="17" s="1"/>
  <c r="AE85" i="16" a="1"/>
  <c r="AE85" i="16" s="1"/>
  <c r="AE93" i="16" a="1"/>
  <c r="AE93" i="16" s="1"/>
  <c r="AF93" i="16" s="1" a="1"/>
  <c r="AF93" i="16" s="1"/>
  <c r="AE86" i="16" a="1"/>
  <c r="AE86" i="16" s="1"/>
  <c r="AW95" i="16" a="1"/>
  <c r="AW95" i="16" s="1"/>
  <c r="AW68" i="16" a="1"/>
  <c r="AW68" i="16" s="1"/>
  <c r="AW74" i="16" a="1"/>
  <c r="AW74" i="16" s="1"/>
  <c r="AE76" i="16" a="1"/>
  <c r="AE76" i="16" s="1"/>
  <c r="AF76" i="16" s="1" a="1"/>
  <c r="AF76" i="16" s="1"/>
  <c r="AW86" i="16" a="1"/>
  <c r="AW86" i="16" s="1"/>
  <c r="AX86" i="16" s="1" a="1"/>
  <c r="AX86" i="16" s="1"/>
  <c r="AE84" i="16" a="1"/>
  <c r="AE84" i="16" s="1"/>
  <c r="W66" i="24"/>
  <c r="W84" i="24"/>
  <c r="W68" i="24"/>
  <c r="W67" i="24"/>
  <c r="W86" i="24"/>
  <c r="W73" i="24"/>
  <c r="W85" i="24"/>
  <c r="W96" i="24"/>
  <c r="W103" i="24"/>
  <c r="W74" i="24"/>
  <c r="W95" i="24"/>
  <c r="W104" i="24"/>
  <c r="W102" i="24"/>
  <c r="W69" i="24"/>
  <c r="W88" i="24"/>
  <c r="W75" i="24"/>
  <c r="W76" i="24"/>
  <c r="W93" i="24"/>
  <c r="W94" i="24"/>
  <c r="W64" i="24"/>
  <c r="W65" i="24"/>
  <c r="S67" i="9"/>
  <c r="S85" i="9"/>
  <c r="S69" i="9"/>
  <c r="S65" i="9"/>
  <c r="S94" i="9"/>
  <c r="S75" i="9"/>
  <c r="S76" i="9"/>
  <c r="S86" i="9"/>
  <c r="S66" i="9"/>
  <c r="S93" i="9"/>
  <c r="S64" i="9"/>
  <c r="S88" i="9"/>
  <c r="S73" i="9"/>
  <c r="S96" i="9"/>
  <c r="S104" i="9"/>
  <c r="S84" i="9"/>
  <c r="S103" i="9"/>
  <c r="S74" i="9"/>
  <c r="S102" i="9"/>
  <c r="S68" i="9"/>
  <c r="S95" i="9"/>
  <c r="AW84" i="15" a="1"/>
  <c r="AW84" i="15" s="1"/>
  <c r="AJ104" i="24"/>
  <c r="AJ85" i="24"/>
  <c r="AJ103" i="24"/>
  <c r="AJ96" i="24"/>
  <c r="AJ68" i="24"/>
  <c r="AJ67" i="24"/>
  <c r="H67" i="24" s="1"/>
  <c r="AJ64" i="24"/>
  <c r="AJ65" i="24"/>
  <c r="AJ74" i="24"/>
  <c r="AJ75" i="24"/>
  <c r="AJ76" i="24"/>
  <c r="AJ88" i="24"/>
  <c r="AJ102" i="24"/>
  <c r="AJ94" i="24"/>
  <c r="H94" i="24" s="1"/>
  <c r="AJ95" i="24"/>
  <c r="AJ84" i="24"/>
  <c r="AJ93" i="24"/>
  <c r="AJ86" i="24"/>
  <c r="AJ69" i="24"/>
  <c r="AJ66" i="24"/>
  <c r="AJ73" i="24"/>
  <c r="AW96" i="16" a="1"/>
  <c r="AW96" i="16" s="1"/>
  <c r="AE103" i="15" a="1"/>
  <c r="AE103" i="15" s="1"/>
  <c r="AE104" i="17" a="1"/>
  <c r="AE104" i="17" s="1"/>
  <c r="AW75" i="16" a="1"/>
  <c r="AW75" i="16" s="1"/>
  <c r="AD76" i="13" a="1"/>
  <c r="AD76" i="13" s="1"/>
  <c r="AD84" i="13" a="1"/>
  <c r="AD84" i="13" s="1"/>
  <c r="AE84" i="13" s="1" a="1"/>
  <c r="AE84" i="13" s="1"/>
  <c r="AE84" i="17" a="1"/>
  <c r="AE84" i="17" s="1"/>
  <c r="AF84" i="17" s="1" a="1"/>
  <c r="AF84" i="17" s="1"/>
  <c r="AX102" i="24"/>
  <c r="AX104" i="24"/>
  <c r="AX86" i="24"/>
  <c r="AX66" i="24"/>
  <c r="AX103" i="24"/>
  <c r="AX85" i="24"/>
  <c r="AX68" i="24"/>
  <c r="AX84" i="24"/>
  <c r="AX67" i="24"/>
  <c r="AX76" i="24"/>
  <c r="AX69" i="24"/>
  <c r="AX75" i="24"/>
  <c r="AX88" i="24"/>
  <c r="AX74" i="24"/>
  <c r="AX96" i="24"/>
  <c r="AX93" i="24"/>
  <c r="AX64" i="24"/>
  <c r="AX73" i="24"/>
  <c r="AX95" i="24"/>
  <c r="AX65" i="24"/>
  <c r="AX94" i="24"/>
  <c r="AE76" i="15" a="1"/>
  <c r="AE76" i="15" s="1"/>
  <c r="AF76" i="15" s="1" a="1"/>
  <c r="AF76" i="15" s="1"/>
  <c r="AW88" i="16" a="1"/>
  <c r="AW88" i="16" s="1"/>
  <c r="BZ103" i="24"/>
  <c r="BZ94" i="24"/>
  <c r="BZ84" i="24"/>
  <c r="BZ64" i="24"/>
  <c r="BZ95" i="24"/>
  <c r="BZ76" i="24"/>
  <c r="BZ68" i="24"/>
  <c r="BZ86" i="24"/>
  <c r="BZ67" i="24"/>
  <c r="BZ96" i="24"/>
  <c r="BZ74" i="24"/>
  <c r="BZ75" i="24"/>
  <c r="BZ65" i="24"/>
  <c r="BZ102" i="24"/>
  <c r="BZ85" i="24"/>
  <c r="BZ66" i="24"/>
  <c r="BZ104" i="24"/>
  <c r="BZ73" i="24"/>
  <c r="BZ93" i="24"/>
  <c r="BZ88" i="24"/>
  <c r="BZ69" i="24"/>
  <c r="AZ6" i="24"/>
  <c r="AZ7" i="24" s="1"/>
  <c r="AY7" i="24"/>
  <c r="BL65" i="24"/>
  <c r="BL94" i="24"/>
  <c r="BL84" i="24"/>
  <c r="BL66" i="24"/>
  <c r="BL103" i="24"/>
  <c r="BL95" i="24"/>
  <c r="BL68" i="24"/>
  <c r="BL75" i="24"/>
  <c r="BL67" i="24"/>
  <c r="BL104" i="24"/>
  <c r="BL64" i="24"/>
  <c r="BL69" i="24"/>
  <c r="BL96" i="24"/>
  <c r="BL102" i="24"/>
  <c r="BL85" i="24"/>
  <c r="BL73" i="24"/>
  <c r="BL93" i="24"/>
  <c r="BL86" i="24"/>
  <c r="BL74" i="24"/>
  <c r="BL76" i="24"/>
  <c r="BL88" i="24"/>
  <c r="AW104" i="15" a="1"/>
  <c r="AW104" i="15" s="1"/>
  <c r="AW76" i="15" a="1"/>
  <c r="AW76" i="15" s="1"/>
  <c r="AW95" i="15" a="1"/>
  <c r="AW95" i="15" s="1"/>
  <c r="AW88" i="15" a="1"/>
  <c r="AW88" i="15" s="1"/>
  <c r="AW74" i="15" a="1"/>
  <c r="AW74" i="15" s="1"/>
  <c r="AW85" i="16" a="1"/>
  <c r="AW85" i="16" s="1"/>
  <c r="CN95" i="24"/>
  <c r="CN74" i="24"/>
  <c r="CN86" i="24"/>
  <c r="CN67" i="24"/>
  <c r="CN104" i="24"/>
  <c r="CN85" i="24"/>
  <c r="CN66" i="24"/>
  <c r="CN94" i="24"/>
  <c r="CN64" i="24"/>
  <c r="CN102" i="24"/>
  <c r="CN75" i="24"/>
  <c r="CN68" i="24"/>
  <c r="CN84" i="24"/>
  <c r="CN96" i="24"/>
  <c r="CN65" i="24"/>
  <c r="CN103" i="24"/>
  <c r="CN76" i="24"/>
  <c r="CN73" i="24"/>
  <c r="CN93" i="24"/>
  <c r="CN69" i="24"/>
  <c r="CN88" i="24"/>
  <c r="AV84" i="13" a="1"/>
  <c r="AV84" i="13" s="1"/>
  <c r="CN75" i="9"/>
  <c r="CN73" i="9"/>
  <c r="CN102" i="9"/>
  <c r="CN93" i="9"/>
  <c r="CN84" i="9"/>
  <c r="CN64" i="9"/>
  <c r="CN85" i="9"/>
  <c r="CN74" i="9"/>
  <c r="CN86" i="9"/>
  <c r="CN66" i="9"/>
  <c r="CN67" i="9"/>
  <c r="CN104" i="9"/>
  <c r="CN65" i="9"/>
  <c r="CN68" i="9"/>
  <c r="CN94" i="9"/>
  <c r="CN69" i="9"/>
  <c r="CN88" i="9"/>
  <c r="CN103" i="9"/>
  <c r="CN96" i="9"/>
  <c r="CN95" i="9"/>
  <c r="CN76" i="9"/>
  <c r="AE84" i="15" a="1"/>
  <c r="AE84" i="15" s="1"/>
  <c r="AF84" i="15" s="1" a="1"/>
  <c r="AF84" i="15" s="1"/>
  <c r="AW84" i="16" a="1"/>
  <c r="AW84" i="16" s="1"/>
  <c r="AW64" i="16" a="1"/>
  <c r="AW64" i="16" s="1"/>
  <c r="AW104" i="16" a="1"/>
  <c r="AW104" i="16" s="1"/>
  <c r="AW84" i="17" a="1"/>
  <c r="AW84" i="17" s="1"/>
  <c r="X6" i="24"/>
  <c r="X7" i="24" s="1"/>
  <c r="W7" i="24"/>
  <c r="CO5" i="24"/>
  <c r="CA5" i="24"/>
  <c r="BM5" i="24"/>
  <c r="AY5" i="24"/>
  <c r="AK5" i="24"/>
  <c r="AD64" i="13" a="1"/>
  <c r="AD64" i="13" s="1"/>
  <c r="AF84" i="16" a="1"/>
  <c r="AF84" i="16" s="1"/>
  <c r="AW69" i="15" a="1"/>
  <c r="AW69" i="15" s="1"/>
  <c r="AV68" i="13" a="1"/>
  <c r="AV68" i="13" s="1"/>
  <c r="AW86" i="15" a="1"/>
  <c r="AW86" i="15" s="1"/>
  <c r="AW103" i="16" a="1"/>
  <c r="AW103" i="16" s="1"/>
  <c r="AW66" i="16" a="1"/>
  <c r="AW66" i="16" s="1"/>
  <c r="AD104" i="13" a="1"/>
  <c r="AD104" i="13" s="1"/>
  <c r="AD96" i="13" a="1"/>
  <c r="AD96" i="13" s="1"/>
  <c r="AD88" i="13" a="1"/>
  <c r="AD88" i="13" s="1"/>
  <c r="AV65" i="13" a="1"/>
  <c r="AV65" i="13" s="1"/>
  <c r="AV85" i="13" a="1"/>
  <c r="AV85" i="13" s="1"/>
  <c r="AV75" i="13" a="1"/>
  <c r="AV75" i="13" s="1"/>
  <c r="AV102" i="13" a="1"/>
  <c r="AV102" i="13" s="1"/>
  <c r="AV73" i="13" a="1"/>
  <c r="AV73" i="13" s="1"/>
  <c r="AV64" i="13" a="1"/>
  <c r="AV64" i="13" s="1"/>
  <c r="S6" i="9"/>
  <c r="S9" i="9" s="1"/>
  <c r="AV66" i="13" a="1"/>
  <c r="AV66" i="13" s="1"/>
  <c r="AV88" i="13" a="1"/>
  <c r="AV88" i="13" s="1"/>
  <c r="AV96" i="13" a="1"/>
  <c r="AV96" i="13" s="1"/>
  <c r="AV95" i="13" a="1"/>
  <c r="AV95" i="13" s="1"/>
  <c r="AV67" i="13" a="1"/>
  <c r="AV67" i="13" s="1"/>
  <c r="AV76" i="13" a="1"/>
  <c r="AV76" i="13" s="1"/>
  <c r="AV74" i="13" a="1"/>
  <c r="AV74" i="13" s="1"/>
  <c r="AV104" i="13" a="1"/>
  <c r="AV104" i="13" s="1"/>
  <c r="T5" i="9"/>
  <c r="AV103" i="13" a="1"/>
  <c r="AV103" i="13" s="1"/>
  <c r="AV94" i="13" a="1"/>
  <c r="AV94" i="13" s="1"/>
  <c r="AV69" i="13" a="1"/>
  <c r="AV69" i="13" s="1"/>
  <c r="AV93" i="13" a="1"/>
  <c r="AV93" i="13" s="1"/>
  <c r="AV86" i="13" a="1"/>
  <c r="AV86" i="13" s="1"/>
  <c r="AD68" i="13" a="1"/>
  <c r="AD68" i="13" s="1"/>
  <c r="AD65" i="13" a="1"/>
  <c r="AD65" i="13" s="1"/>
  <c r="AD85" i="13" a="1"/>
  <c r="AD85" i="13" s="1"/>
  <c r="AD73" i="13" a="1"/>
  <c r="AD73" i="13" s="1"/>
  <c r="AD69" i="13" a="1"/>
  <c r="AD69" i="13" s="1"/>
  <c r="AD94" i="13" a="1"/>
  <c r="AD94" i="13" s="1"/>
  <c r="AD93" i="13" a="1"/>
  <c r="AD93" i="13" s="1"/>
  <c r="AD74" i="13" a="1"/>
  <c r="AD74" i="13" s="1"/>
  <c r="AD66" i="13" a="1"/>
  <c r="AD66" i="13" s="1"/>
  <c r="AD103" i="13" a="1"/>
  <c r="AD103" i="13" s="1"/>
  <c r="AD86" i="13" a="1"/>
  <c r="AD86" i="13" s="1"/>
  <c r="AD95" i="13" a="1"/>
  <c r="AD95" i="13" s="1"/>
  <c r="AD67" i="13" a="1"/>
  <c r="AD67" i="13" s="1"/>
  <c r="AD75" i="13" a="1"/>
  <c r="AD75" i="13" s="1"/>
  <c r="AD102" i="13" a="1"/>
  <c r="AD102" i="13" s="1"/>
  <c r="CO5" i="9"/>
  <c r="CN6" i="9"/>
  <c r="CN9" i="9" s="1"/>
  <c r="AW66" i="17" a="1"/>
  <c r="AW66" i="17" s="1"/>
  <c r="AW85" i="17" a="1"/>
  <c r="AW85" i="17" s="1"/>
  <c r="AW68" i="17" a="1"/>
  <c r="AW68" i="17" s="1"/>
  <c r="AE6" i="17"/>
  <c r="AF5" i="17"/>
  <c r="AF67" i="17" a="1"/>
  <c r="AF67" i="17" s="1"/>
  <c r="AE103" i="17" a="1"/>
  <c r="AE103" i="17" s="1"/>
  <c r="AE68" i="17" a="1"/>
  <c r="AE68" i="17" s="1"/>
  <c r="AE102" i="17" a="1"/>
  <c r="AE102" i="17" s="1"/>
  <c r="AW93" i="17" a="1"/>
  <c r="AW93" i="17" s="1"/>
  <c r="AW65" i="17" a="1"/>
  <c r="AW65" i="17" s="1"/>
  <c r="AW67" i="17" a="1"/>
  <c r="AW67" i="17" s="1"/>
  <c r="AW73" i="17" a="1"/>
  <c r="AW73" i="17" s="1"/>
  <c r="AW88" i="17" a="1"/>
  <c r="AW88" i="17" s="1"/>
  <c r="AW6" i="17"/>
  <c r="AX5" i="17"/>
  <c r="AX95" i="17" a="1"/>
  <c r="AX95" i="17" s="1"/>
  <c r="AW64" i="17" a="1"/>
  <c r="AW64" i="17" s="1"/>
  <c r="AW102" i="17" a="1"/>
  <c r="AW102" i="17" s="1"/>
  <c r="AW76" i="17" a="1"/>
  <c r="AW76" i="17" s="1"/>
  <c r="AW86" i="17" a="1"/>
  <c r="AW86" i="17" s="1"/>
  <c r="AW96" i="17" a="1"/>
  <c r="AW96" i="17" s="1"/>
  <c r="AW74" i="17" a="1"/>
  <c r="AW74" i="17" s="1"/>
  <c r="AW69" i="16" a="1"/>
  <c r="AW69" i="16" s="1"/>
  <c r="AW93" i="16" a="1"/>
  <c r="AW93" i="16" s="1"/>
  <c r="AE6" i="16"/>
  <c r="AF5" i="16"/>
  <c r="AW6" i="16"/>
  <c r="AX5" i="16"/>
  <c r="AW94" i="16" a="1"/>
  <c r="AW94" i="16" s="1"/>
  <c r="AX94" i="16" s="1" a="1"/>
  <c r="AX94" i="16" s="1"/>
  <c r="AW65" i="16" a="1"/>
  <c r="AW65" i="16" s="1"/>
  <c r="AW76" i="16" a="1"/>
  <c r="AW76" i="16" s="1"/>
  <c r="AW102" i="16" a="1"/>
  <c r="AW102" i="16" s="1"/>
  <c r="AW73" i="16" a="1"/>
  <c r="AW73" i="16" s="1"/>
  <c r="AE6" i="15"/>
  <c r="AF5" i="15"/>
  <c r="AE73" i="15" a="1"/>
  <c r="AE73" i="15" s="1"/>
  <c r="AE68" i="15" a="1"/>
  <c r="AE68" i="15" s="1"/>
  <c r="AW75" i="15" a="1"/>
  <c r="AW75" i="15" s="1"/>
  <c r="AW68" i="15" a="1"/>
  <c r="AW68" i="15" s="1"/>
  <c r="AW6" i="15"/>
  <c r="AX5" i="15"/>
  <c r="AW94" i="15" a="1"/>
  <c r="AW94" i="15" s="1"/>
  <c r="AW103" i="15" a="1"/>
  <c r="AW103" i="15" s="1"/>
  <c r="AW85" i="15" a="1"/>
  <c r="AW85" i="15" s="1"/>
  <c r="AW102" i="15" a="1"/>
  <c r="AW102" i="15" s="1"/>
  <c r="AW65" i="15" a="1"/>
  <c r="AW65" i="15" s="1"/>
  <c r="AW96" i="15" a="1"/>
  <c r="AW96" i="15" s="1"/>
  <c r="AE66" i="17" a="1"/>
  <c r="AE66" i="17" s="1"/>
  <c r="AE73" i="17" a="1"/>
  <c r="AE73" i="17" s="1"/>
  <c r="AE96" i="17" a="1"/>
  <c r="AE96" i="17" s="1"/>
  <c r="AE74" i="17" a="1"/>
  <c r="AE74" i="17" s="1"/>
  <c r="AE65" i="17" a="1"/>
  <c r="AE65" i="17" s="1"/>
  <c r="AE86" i="17" a="1"/>
  <c r="AE86" i="17" s="1"/>
  <c r="AE64" i="17" a="1"/>
  <c r="AE64" i="17" s="1"/>
  <c r="AF104" i="17" a="1"/>
  <c r="AF104" i="17" s="1"/>
  <c r="AE93" i="17" a="1"/>
  <c r="AE93" i="17" s="1"/>
  <c r="AE69" i="17" a="1"/>
  <c r="AE69" i="17" s="1"/>
  <c r="AE76" i="17" a="1"/>
  <c r="AE76" i="17" s="1"/>
  <c r="AE88" i="17" a="1"/>
  <c r="AE88" i="17" s="1"/>
  <c r="AE75" i="17" a="1"/>
  <c r="AE75" i="17" s="1"/>
  <c r="AE94" i="17" a="1"/>
  <c r="AE94" i="17" s="1"/>
  <c r="AE85" i="17" a="1"/>
  <c r="AE85" i="17" s="1"/>
  <c r="AE95" i="17" a="1"/>
  <c r="AE95" i="17" s="1"/>
  <c r="AE104" i="16" a="1"/>
  <c r="AE104" i="16" s="1"/>
  <c r="AF74" i="16" a="1"/>
  <c r="AF74" i="16" s="1"/>
  <c r="AE103" i="16" a="1"/>
  <c r="AE103" i="16" s="1"/>
  <c r="AE69" i="16" a="1"/>
  <c r="AE69" i="16" s="1"/>
  <c r="AE88" i="16" a="1"/>
  <c r="AE88" i="16" s="1"/>
  <c r="AE68" i="16" a="1"/>
  <c r="AE68" i="16" s="1"/>
  <c r="AE64" i="16" a="1"/>
  <c r="AE64" i="16" s="1"/>
  <c r="AE67" i="16" a="1"/>
  <c r="AE67" i="16" s="1"/>
  <c r="AE95" i="16" a="1"/>
  <c r="AE95" i="16" s="1"/>
  <c r="AE65" i="16" a="1"/>
  <c r="AE65" i="16" s="1"/>
  <c r="AE75" i="16" a="1"/>
  <c r="AE75" i="16" s="1"/>
  <c r="AE73" i="16" a="1"/>
  <c r="AE73" i="16" s="1"/>
  <c r="AE102" i="16" a="1"/>
  <c r="AE102" i="16" s="1"/>
  <c r="AF85" i="16" a="1"/>
  <c r="AF85" i="16" s="1"/>
  <c r="AE96" i="16" a="1"/>
  <c r="AE96" i="16" s="1"/>
  <c r="AE66" i="16" a="1"/>
  <c r="AE66" i="16" s="1"/>
  <c r="AE94" i="16" a="1"/>
  <c r="AE94" i="16" s="1"/>
  <c r="AF86" i="15" a="1"/>
  <c r="AF86" i="15" s="1"/>
  <c r="AF96" i="15" a="1"/>
  <c r="AF96" i="15" s="1"/>
  <c r="AE102" i="15" a="1"/>
  <c r="AE102" i="15" s="1"/>
  <c r="AE93" i="15" a="1"/>
  <c r="AE93" i="15" s="1"/>
  <c r="AF67" i="15" a="1"/>
  <c r="AF67" i="15" s="1"/>
  <c r="AF66" i="15" a="1"/>
  <c r="AF66" i="15" s="1"/>
  <c r="AE85" i="15" a="1"/>
  <c r="AE85" i="15" s="1"/>
  <c r="AE104" i="15" a="1"/>
  <c r="AE104" i="15" s="1"/>
  <c r="AE94" i="15" a="1"/>
  <c r="AE94" i="15" s="1"/>
  <c r="AF65" i="15" a="1"/>
  <c r="AF65" i="15" s="1"/>
  <c r="AE69" i="15" a="1"/>
  <c r="AE69" i="15" s="1"/>
  <c r="AE64" i="15" a="1"/>
  <c r="AE64" i="15" s="1"/>
  <c r="AE74" i="15" a="1"/>
  <c r="AE74" i="15" s="1"/>
  <c r="AW6" i="13"/>
  <c r="AW5" i="13"/>
  <c r="AD6" i="13"/>
  <c r="U8" i="9" s="1"/>
  <c r="AE5" i="13"/>
  <c r="H68" i="24" l="1"/>
  <c r="H66" i="24"/>
  <c r="H88" i="24"/>
  <c r="H96" i="24"/>
  <c r="H69" i="24"/>
  <c r="H103" i="24"/>
  <c r="H86" i="24"/>
  <c r="H75" i="24"/>
  <c r="H73" i="24"/>
  <c r="H76" i="24"/>
  <c r="H85" i="24"/>
  <c r="H93" i="24"/>
  <c r="H74" i="24"/>
  <c r="H104" i="24"/>
  <c r="H102" i="24"/>
  <c r="H84" i="24"/>
  <c r="H65" i="24"/>
  <c r="H95" i="24"/>
  <c r="H64" i="24"/>
  <c r="P104" i="13"/>
  <c r="P86" i="13"/>
  <c r="P68" i="13"/>
  <c r="P103" i="13"/>
  <c r="P85" i="13"/>
  <c r="P67" i="13"/>
  <c r="P102" i="13"/>
  <c r="P84" i="13"/>
  <c r="P66" i="13"/>
  <c r="P6" i="13"/>
  <c r="P96" i="13"/>
  <c r="P76" i="13"/>
  <c r="P65" i="13"/>
  <c r="P95" i="13"/>
  <c r="P75" i="13"/>
  <c r="P64" i="13"/>
  <c r="P94" i="13"/>
  <c r="P74" i="13"/>
  <c r="P93" i="13"/>
  <c r="P73" i="13"/>
  <c r="P88" i="13"/>
  <c r="P69" i="13"/>
  <c r="BD102" i="25" a="1"/>
  <c r="BD102" i="25" s="1"/>
  <c r="BD85" i="25" a="1"/>
  <c r="BD85" i="25" s="1"/>
  <c r="BD67" i="25" a="1"/>
  <c r="BD67" i="25" s="1"/>
  <c r="BD96" i="25" a="1"/>
  <c r="BD96" i="25" s="1"/>
  <c r="BD84" i="25" a="1"/>
  <c r="BD84" i="25" s="1"/>
  <c r="BD66" i="25" a="1"/>
  <c r="BD66" i="25" s="1"/>
  <c r="BD95" i="25" a="1"/>
  <c r="BD95" i="25" s="1"/>
  <c r="BD76" i="25" a="1"/>
  <c r="BD76" i="25" s="1"/>
  <c r="BD65" i="25" a="1"/>
  <c r="BD65" i="25" s="1"/>
  <c r="BD94" i="25" a="1"/>
  <c r="BD94" i="25" s="1"/>
  <c r="BD75" i="25" a="1"/>
  <c r="BD75" i="25" s="1"/>
  <c r="BD93" i="25" a="1"/>
  <c r="BD93" i="25" s="1"/>
  <c r="BD74" i="25" a="1"/>
  <c r="BD74" i="25" s="1"/>
  <c r="BD104" i="25" a="1"/>
  <c r="BD104" i="25" s="1"/>
  <c r="BD73" i="25" a="1"/>
  <c r="BD73" i="25" s="1"/>
  <c r="BD103" i="25" a="1"/>
  <c r="BD103" i="25" s="1"/>
  <c r="BD88" i="25" a="1"/>
  <c r="BD88" i="25" s="1"/>
  <c r="BD69" i="25" a="1"/>
  <c r="BD69" i="25" s="1"/>
  <c r="BD86" i="25" a="1"/>
  <c r="BD86" i="25" s="1"/>
  <c r="BD68" i="25" a="1"/>
  <c r="BD68" i="25" s="1"/>
  <c r="BD64" i="25" a="1"/>
  <c r="BD64" i="25" s="1"/>
  <c r="H74" i="25"/>
  <c r="H86" i="25"/>
  <c r="H104" i="25"/>
  <c r="H94" i="25"/>
  <c r="H69" i="25"/>
  <c r="H93" i="25"/>
  <c r="H65" i="25"/>
  <c r="H75" i="25"/>
  <c r="H85" i="25"/>
  <c r="H64" i="25"/>
  <c r="H88" i="25"/>
  <c r="H95" i="25"/>
  <c r="H66" i="25"/>
  <c r="H84" i="25"/>
  <c r="H96" i="25"/>
  <c r="H76" i="25"/>
  <c r="H67" i="25"/>
  <c r="H102" i="25"/>
  <c r="H73" i="25"/>
  <c r="H68" i="25"/>
  <c r="H103" i="25"/>
  <c r="AX74" i="17" a="1"/>
  <c r="AX74" i="17" s="1"/>
  <c r="AF86" i="16" a="1"/>
  <c r="AF86" i="16" s="1"/>
  <c r="AX104" i="16" a="1"/>
  <c r="AX104" i="16" s="1"/>
  <c r="AX67" i="16" a="1"/>
  <c r="AX67" i="16" s="1"/>
  <c r="AW84" i="13" a="1"/>
  <c r="AW84" i="13" s="1"/>
  <c r="AX64" i="16" a="1"/>
  <c r="AX64" i="16" s="1"/>
  <c r="AX75" i="16" a="1"/>
  <c r="AX75" i="16" s="1"/>
  <c r="AX66" i="16" a="1"/>
  <c r="AX66" i="16" s="1"/>
  <c r="T103" i="9"/>
  <c r="T75" i="9"/>
  <c r="T64" i="9"/>
  <c r="T95" i="9"/>
  <c r="T67" i="9"/>
  <c r="T85" i="9"/>
  <c r="T84" i="9"/>
  <c r="T102" i="9"/>
  <c r="T68" i="9"/>
  <c r="T65" i="9"/>
  <c r="T69" i="9"/>
  <c r="T76" i="9"/>
  <c r="T94" i="9"/>
  <c r="T74" i="9"/>
  <c r="T88" i="9"/>
  <c r="T86" i="9"/>
  <c r="T96" i="9"/>
  <c r="T73" i="9"/>
  <c r="T66" i="9"/>
  <c r="T104" i="9"/>
  <c r="T93" i="9"/>
  <c r="AY65" i="24"/>
  <c r="AY103" i="24"/>
  <c r="AY102" i="24"/>
  <c r="AY85" i="24"/>
  <c r="AY84" i="24"/>
  <c r="AY68" i="24"/>
  <c r="AY96" i="24"/>
  <c r="AY66" i="24"/>
  <c r="AY86" i="24"/>
  <c r="AY67" i="24"/>
  <c r="AY104" i="24"/>
  <c r="AY73" i="24"/>
  <c r="AY95" i="24"/>
  <c r="AY76" i="24"/>
  <c r="AY94" i="24"/>
  <c r="AY75" i="24"/>
  <c r="AY88" i="24"/>
  <c r="AY93" i="24"/>
  <c r="AY69" i="24"/>
  <c r="AY74" i="24"/>
  <c r="AY64" i="24"/>
  <c r="AX65" i="16" a="1"/>
  <c r="AX65" i="16" s="1"/>
  <c r="AX95" i="16" a="1"/>
  <c r="AX95" i="16" s="1"/>
  <c r="BM96" i="24"/>
  <c r="BM104" i="24"/>
  <c r="BM85" i="24"/>
  <c r="BM102" i="24"/>
  <c r="BM95" i="24"/>
  <c r="BM66" i="24"/>
  <c r="BM103" i="24"/>
  <c r="BM84" i="24"/>
  <c r="BM68" i="24"/>
  <c r="BM67" i="24"/>
  <c r="BM74" i="24"/>
  <c r="BM64" i="24"/>
  <c r="BM65" i="24"/>
  <c r="BM88" i="24"/>
  <c r="BM73" i="24"/>
  <c r="BM75" i="24"/>
  <c r="BM76" i="24"/>
  <c r="BM93" i="24"/>
  <c r="BM69" i="24"/>
  <c r="BM94" i="24"/>
  <c r="BM86" i="24"/>
  <c r="AW64" i="13" a="1"/>
  <c r="AW64" i="13" s="1"/>
  <c r="CA102" i="24"/>
  <c r="CA93" i="24"/>
  <c r="CA76" i="24"/>
  <c r="CA104" i="24"/>
  <c r="CA94" i="24"/>
  <c r="CA96" i="24"/>
  <c r="CA86" i="24"/>
  <c r="CA85" i="24"/>
  <c r="CA84" i="24"/>
  <c r="CA75" i="24"/>
  <c r="CA67" i="24"/>
  <c r="CA103" i="24"/>
  <c r="CA74" i="24"/>
  <c r="CA64" i="24"/>
  <c r="CA68" i="24"/>
  <c r="CA65" i="24"/>
  <c r="CA66" i="24"/>
  <c r="CA95" i="24"/>
  <c r="CA73" i="24"/>
  <c r="CA69" i="24"/>
  <c r="CA88" i="24"/>
  <c r="CO94" i="9"/>
  <c r="CO73" i="9"/>
  <c r="CO102" i="9"/>
  <c r="CO66" i="9"/>
  <c r="CO84" i="9"/>
  <c r="CO103" i="9"/>
  <c r="CO74" i="9"/>
  <c r="CO104" i="9"/>
  <c r="CO95" i="9"/>
  <c r="CO75" i="9"/>
  <c r="CO88" i="9"/>
  <c r="CO96" i="9"/>
  <c r="CO64" i="9"/>
  <c r="CO76" i="9"/>
  <c r="CO68" i="9"/>
  <c r="CO65" i="9"/>
  <c r="CO93" i="9"/>
  <c r="CO85" i="9"/>
  <c r="CO69" i="9"/>
  <c r="CO86" i="9"/>
  <c r="CO67" i="9"/>
  <c r="CO94" i="24"/>
  <c r="CO104" i="24"/>
  <c r="CO85" i="24"/>
  <c r="CO73" i="24"/>
  <c r="CO103" i="24"/>
  <c r="CO93" i="24"/>
  <c r="CO84" i="24"/>
  <c r="CO65" i="24"/>
  <c r="CO68" i="24"/>
  <c r="CO95" i="24"/>
  <c r="CO74" i="24"/>
  <c r="CO96" i="24"/>
  <c r="CO75" i="24"/>
  <c r="CO66" i="24"/>
  <c r="CO102" i="24"/>
  <c r="CO64" i="24"/>
  <c r="CO86" i="24"/>
  <c r="CO67" i="24"/>
  <c r="CO76" i="24"/>
  <c r="CO69" i="24"/>
  <c r="CO88" i="24"/>
  <c r="AX84" i="16" a="1"/>
  <c r="AX84" i="16" s="1"/>
  <c r="AX84" i="15" a="1"/>
  <c r="AX84" i="15" s="1"/>
  <c r="AX73" i="16" a="1"/>
  <c r="AX73" i="16" s="1"/>
  <c r="AX68" i="16" a="1"/>
  <c r="AX68" i="16" s="1"/>
  <c r="AX103" i="16" a="1"/>
  <c r="AX103" i="16" s="1"/>
  <c r="AX102" i="16" a="1"/>
  <c r="AX102" i="16" s="1"/>
  <c r="AX96" i="16" a="1"/>
  <c r="AX96" i="16" s="1"/>
  <c r="AX84" i="17" a="1"/>
  <c r="AX84" i="17" s="1"/>
  <c r="AX76" i="16" a="1"/>
  <c r="AX76" i="16" s="1"/>
  <c r="AX88" i="16" a="1"/>
  <c r="AX88" i="16" s="1"/>
  <c r="AX93" i="16" a="1"/>
  <c r="AX93" i="16" s="1"/>
  <c r="X5" i="24"/>
  <c r="AK103" i="24"/>
  <c r="AK88" i="24"/>
  <c r="AK102" i="24"/>
  <c r="AK85" i="24"/>
  <c r="AK75" i="24"/>
  <c r="AK96" i="24"/>
  <c r="AK104" i="24"/>
  <c r="AK93" i="24"/>
  <c r="I93" i="24" s="1"/>
  <c r="AK76" i="24"/>
  <c r="AK74" i="24"/>
  <c r="I74" i="24" s="1"/>
  <c r="AK67" i="24"/>
  <c r="AK69" i="24"/>
  <c r="AK64" i="24"/>
  <c r="AK65" i="24"/>
  <c r="AK68" i="24"/>
  <c r="AK94" i="24"/>
  <c r="I94" i="24" s="1"/>
  <c r="AK73" i="24"/>
  <c r="AK95" i="24"/>
  <c r="AK84" i="24"/>
  <c r="AK86" i="24"/>
  <c r="AK66" i="24"/>
  <c r="CP5" i="24"/>
  <c r="CB5" i="24"/>
  <c r="BN5" i="24"/>
  <c r="AZ5" i="24"/>
  <c r="AL5" i="24"/>
  <c r="AX96" i="17" a="1"/>
  <c r="AX96" i="17" s="1"/>
  <c r="AX93" i="17" a="1"/>
  <c r="AX93" i="17" s="1"/>
  <c r="AX74" i="15" a="1"/>
  <c r="AX74" i="15" s="1"/>
  <c r="AX64" i="15" a="1"/>
  <c r="AX64" i="15" s="1"/>
  <c r="AX86" i="17" a="1"/>
  <c r="AX86" i="17" s="1"/>
  <c r="AX69" i="17" a="1"/>
  <c r="AX69" i="17" s="1"/>
  <c r="AX93" i="15" a="1"/>
  <c r="AX93" i="15" s="1"/>
  <c r="AX94" i="15" a="1"/>
  <c r="AX94" i="15" s="1"/>
  <c r="AX67" i="15" a="1"/>
  <c r="AX67" i="15" s="1"/>
  <c r="AX69" i="16" a="1"/>
  <c r="AX69" i="16" s="1"/>
  <c r="AX76" i="17" a="1"/>
  <c r="AX76" i="17" s="1"/>
  <c r="AX75" i="17" a="1"/>
  <c r="AX75" i="17" s="1"/>
  <c r="AX103" i="17" a="1"/>
  <c r="AX103" i="17" s="1"/>
  <c r="AX68" i="17" a="1"/>
  <c r="AX68" i="17" s="1"/>
  <c r="AF103" i="15" a="1"/>
  <c r="AF103" i="15" s="1"/>
  <c r="AG103" i="15" s="1" a="1"/>
  <c r="AG103" i="15" s="1"/>
  <c r="AF95" i="15" a="1"/>
  <c r="AF95" i="15" s="1"/>
  <c r="AX95" i="15" a="1"/>
  <c r="AX95" i="15" s="1"/>
  <c r="AY95" i="15" s="1" a="1"/>
  <c r="AY95" i="15" s="1"/>
  <c r="AX88" i="17" a="1"/>
  <c r="AX88" i="17" s="1"/>
  <c r="AX85" i="17" a="1"/>
  <c r="AX85" i="17" s="1"/>
  <c r="AF88" i="15" a="1"/>
  <c r="AF88" i="15" s="1"/>
  <c r="AF75" i="15" a="1"/>
  <c r="AF75" i="15" s="1"/>
  <c r="AX65" i="15" a="1"/>
  <c r="AX65" i="15" s="1"/>
  <c r="AX73" i="15" a="1"/>
  <c r="AX73" i="15" s="1"/>
  <c r="AX75" i="15" a="1"/>
  <c r="AX75" i="15" s="1"/>
  <c r="AX102" i="17" a="1"/>
  <c r="AX102" i="17" s="1"/>
  <c r="AX73" i="17" a="1"/>
  <c r="AX73" i="17" s="1"/>
  <c r="AX102" i="15" a="1"/>
  <c r="AX102" i="15" s="1"/>
  <c r="AX69" i="15" a="1"/>
  <c r="AX69" i="15" s="1"/>
  <c r="AX64" i="17" a="1"/>
  <c r="AX64" i="17" s="1"/>
  <c r="AX94" i="17" a="1"/>
  <c r="AX94" i="17" s="1"/>
  <c r="AX66" i="17" a="1"/>
  <c r="AX66" i="17" s="1"/>
  <c r="AX104" i="15" a="1"/>
  <c r="AX104" i="15" s="1"/>
  <c r="AX67" i="17" a="1"/>
  <c r="AX67" i="17" s="1"/>
  <c r="AW68" i="13" a="1"/>
  <c r="AW68" i="13" s="1"/>
  <c r="AW104" i="13" a="1"/>
  <c r="AW104" i="13" s="1"/>
  <c r="AW85" i="13" a="1"/>
  <c r="AW85" i="13" s="1"/>
  <c r="AX85" i="13" s="1" a="1"/>
  <c r="AX85" i="13" s="1"/>
  <c r="AW69" i="13" a="1"/>
  <c r="AW69" i="13" s="1"/>
  <c r="AW103" i="13" a="1"/>
  <c r="AW103" i="13" s="1"/>
  <c r="AW65" i="13" a="1"/>
  <c r="AW65" i="13" s="1"/>
  <c r="AW95" i="13" a="1"/>
  <c r="AW95" i="13" s="1"/>
  <c r="AW94" i="13" a="1"/>
  <c r="AW94" i="13" s="1"/>
  <c r="AX94" i="13" s="1" a="1"/>
  <c r="AX94" i="13" s="1"/>
  <c r="AW74" i="13" a="1"/>
  <c r="AW74" i="13" s="1"/>
  <c r="AW67" i="13" a="1"/>
  <c r="AW67" i="13" s="1"/>
  <c r="AW93" i="13" a="1"/>
  <c r="AW93" i="13" s="1"/>
  <c r="AX6" i="13"/>
  <c r="AX5" i="13"/>
  <c r="AW88" i="13" a="1"/>
  <c r="AW88" i="13" s="1"/>
  <c r="AW96" i="13" a="1"/>
  <c r="AW96" i="13" s="1"/>
  <c r="U5" i="9"/>
  <c r="T6" i="9"/>
  <c r="T9" i="9" s="1"/>
  <c r="AW66" i="13" a="1"/>
  <c r="AW66" i="13" s="1"/>
  <c r="AX66" i="13" s="1" a="1"/>
  <c r="AX66" i="13" s="1"/>
  <c r="AW102" i="13" a="1"/>
  <c r="AW102" i="13" s="1"/>
  <c r="AW73" i="13" a="1"/>
  <c r="AW73" i="13" s="1"/>
  <c r="AW86" i="13" a="1"/>
  <c r="AW86" i="13" s="1"/>
  <c r="AW75" i="13" a="1"/>
  <c r="AW75" i="13" s="1"/>
  <c r="AW76" i="13" a="1"/>
  <c r="AW76" i="13" s="1"/>
  <c r="AE68" i="13" a="1"/>
  <c r="AE68" i="13" s="1"/>
  <c r="AE85" i="13" a="1"/>
  <c r="AE85" i="13" s="1"/>
  <c r="AE69" i="13" a="1"/>
  <c r="AE69" i="13" s="1"/>
  <c r="AE65" i="13" a="1"/>
  <c r="AE65" i="13" s="1"/>
  <c r="AE73" i="13" a="1"/>
  <c r="AE73" i="13" s="1"/>
  <c r="AE66" i="13" a="1"/>
  <c r="AE66" i="13" s="1"/>
  <c r="AE93" i="13" a="1"/>
  <c r="AE93" i="13" s="1"/>
  <c r="AE94" i="13" a="1"/>
  <c r="AE94" i="13" s="1"/>
  <c r="AE74" i="13" a="1"/>
  <c r="AE74" i="13" s="1"/>
  <c r="AE67" i="13" a="1"/>
  <c r="AE67" i="13" s="1"/>
  <c r="AE103" i="13" a="1"/>
  <c r="AE103" i="13" s="1"/>
  <c r="AE75" i="13" a="1"/>
  <c r="AE75" i="13" s="1"/>
  <c r="AE95" i="13" a="1"/>
  <c r="AE95" i="13" s="1"/>
  <c r="AE86" i="13" a="1"/>
  <c r="AE86" i="13" s="1"/>
  <c r="AE96" i="13" a="1"/>
  <c r="AE96" i="13" s="1"/>
  <c r="AE104" i="13" a="1"/>
  <c r="AE104" i="13" s="1"/>
  <c r="AE102" i="13" a="1"/>
  <c r="AE102" i="13" s="1"/>
  <c r="AE88" i="13" a="1"/>
  <c r="AE88" i="13" s="1"/>
  <c r="AE76" i="13" a="1"/>
  <c r="AE76" i="13" s="1"/>
  <c r="AE64" i="13" a="1"/>
  <c r="AE64" i="13" s="1"/>
  <c r="CP5" i="9"/>
  <c r="CO6" i="9"/>
  <c r="CO9" i="9" s="1"/>
  <c r="AX6" i="17"/>
  <c r="AY5" i="17"/>
  <c r="AY6" i="17"/>
  <c r="AX65" i="17" a="1"/>
  <c r="AX65" i="17" s="1"/>
  <c r="AF6" i="17"/>
  <c r="AG5" i="17"/>
  <c r="AG84" i="17" a="1"/>
  <c r="AG84" i="17" s="1"/>
  <c r="AF68" i="17" a="1"/>
  <c r="AF68" i="17" s="1"/>
  <c r="AF102" i="17" a="1"/>
  <c r="AF102" i="17" s="1"/>
  <c r="AF103" i="17" a="1"/>
  <c r="AF103" i="17" s="1"/>
  <c r="AX104" i="17" a="1"/>
  <c r="AX104" i="17" s="1"/>
  <c r="AF6" i="16"/>
  <c r="AG5" i="16"/>
  <c r="AG84" i="16" a="1"/>
  <c r="AG84" i="16" s="1"/>
  <c r="AX6" i="16"/>
  <c r="AY5" i="16"/>
  <c r="AY6" i="16"/>
  <c r="AX85" i="16" a="1"/>
  <c r="AX85" i="16" s="1"/>
  <c r="AX74" i="16" a="1"/>
  <c r="AX74" i="16" s="1"/>
  <c r="AX85" i="15" a="1"/>
  <c r="AX85" i="15" s="1"/>
  <c r="AX76" i="15" a="1"/>
  <c r="AX76" i="15" s="1"/>
  <c r="AX86" i="15" a="1"/>
  <c r="AX86" i="15" s="1"/>
  <c r="AX96" i="15" a="1"/>
  <c r="AX96" i="15" s="1"/>
  <c r="AX103" i="15" a="1"/>
  <c r="AX103" i="15" s="1"/>
  <c r="AX68" i="15" a="1"/>
  <c r="AX68" i="15" s="1"/>
  <c r="AX6" i="15"/>
  <c r="AY5" i="15"/>
  <c r="AY6" i="15"/>
  <c r="AX88" i="15" a="1"/>
  <c r="AX88" i="15" s="1"/>
  <c r="AF6" i="15"/>
  <c r="AG5" i="15"/>
  <c r="AF68" i="15" a="1"/>
  <c r="AF68" i="15" s="1"/>
  <c r="AF73" i="15" a="1"/>
  <c r="AF73" i="15" s="1"/>
  <c r="AX66" i="15" a="1"/>
  <c r="AX66" i="15" s="1"/>
  <c r="AF64" i="17" a="1"/>
  <c r="AF64" i="17" s="1"/>
  <c r="AF95" i="17" a="1"/>
  <c r="AF95" i="17" s="1"/>
  <c r="AF69" i="17" a="1"/>
  <c r="AF69" i="17" s="1"/>
  <c r="AF65" i="17" a="1"/>
  <c r="AF65" i="17" s="1"/>
  <c r="AF88" i="17" a="1"/>
  <c r="AF88" i="17" s="1"/>
  <c r="AF93" i="17" a="1"/>
  <c r="AF93" i="17" s="1"/>
  <c r="AF73" i="17" a="1"/>
  <c r="AF73" i="17" s="1"/>
  <c r="AF76" i="17" a="1"/>
  <c r="AF76" i="17" s="1"/>
  <c r="AF96" i="17" a="1"/>
  <c r="AF96" i="17" s="1"/>
  <c r="AF94" i="17" a="1"/>
  <c r="AF94" i="17" s="1"/>
  <c r="AF75" i="17" a="1"/>
  <c r="AF75" i="17" s="1"/>
  <c r="AF86" i="17" a="1"/>
  <c r="AF86" i="17" s="1"/>
  <c r="AF74" i="17" a="1"/>
  <c r="AF74" i="17" s="1"/>
  <c r="AF85" i="17" a="1"/>
  <c r="AF85" i="17" s="1"/>
  <c r="AF66" i="17" a="1"/>
  <c r="AF66" i="17" s="1"/>
  <c r="AF103" i="16" a="1"/>
  <c r="AF103" i="16" s="1"/>
  <c r="AF68" i="16" a="1"/>
  <c r="AF68" i="16" s="1"/>
  <c r="AF95" i="16" a="1"/>
  <c r="AF95" i="16" s="1"/>
  <c r="AF88" i="16" a="1"/>
  <c r="AF88" i="16" s="1"/>
  <c r="AF96" i="16" a="1"/>
  <c r="AF96" i="16" s="1"/>
  <c r="AF73" i="16" a="1"/>
  <c r="AF73" i="16" s="1"/>
  <c r="AF67" i="16" a="1"/>
  <c r="AF67" i="16" s="1"/>
  <c r="AF94" i="16" a="1"/>
  <c r="AF94" i="16" s="1"/>
  <c r="AF75" i="16" a="1"/>
  <c r="AF75" i="16" s="1"/>
  <c r="AF69" i="16" a="1"/>
  <c r="AF69" i="16" s="1"/>
  <c r="AF102" i="16" a="1"/>
  <c r="AF102" i="16" s="1"/>
  <c r="AF65" i="16" a="1"/>
  <c r="AF65" i="16" s="1"/>
  <c r="AF66" i="16" a="1"/>
  <c r="AF66" i="16" s="1"/>
  <c r="AF64" i="16" a="1"/>
  <c r="AF64" i="16" s="1"/>
  <c r="AF104" i="16" a="1"/>
  <c r="AF104" i="16" s="1"/>
  <c r="AF94" i="15" a="1"/>
  <c r="AF94" i="15" s="1"/>
  <c r="AF74" i="15" a="1"/>
  <c r="AF74" i="15" s="1"/>
  <c r="AF64" i="15" a="1"/>
  <c r="AF64" i="15" s="1"/>
  <c r="AF104" i="15" a="1"/>
  <c r="AF104" i="15" s="1"/>
  <c r="AF102" i="15" a="1"/>
  <c r="AF102" i="15" s="1"/>
  <c r="AF69" i="15" a="1"/>
  <c r="AF69" i="15" s="1"/>
  <c r="AF85" i="15" a="1"/>
  <c r="AF85" i="15" s="1"/>
  <c r="AF93" i="15" a="1"/>
  <c r="AF93" i="15" s="1"/>
  <c r="AF84" i="13" a="1"/>
  <c r="AF84" i="13" s="1"/>
  <c r="AE6" i="13"/>
  <c r="V8" i="9" s="1"/>
  <c r="AY5" i="13"/>
  <c r="AF5" i="13"/>
  <c r="I65" i="24" l="1"/>
  <c r="I64" i="24"/>
  <c r="I86" i="24"/>
  <c r="I66" i="24"/>
  <c r="I85" i="24"/>
  <c r="I67" i="24"/>
  <c r="I102" i="24"/>
  <c r="I68" i="24"/>
  <c r="I96" i="24"/>
  <c r="I84" i="24"/>
  <c r="I73" i="24"/>
  <c r="I76" i="24"/>
  <c r="I103" i="24"/>
  <c r="I104" i="24"/>
  <c r="I75" i="24"/>
  <c r="I69" i="24"/>
  <c r="I95" i="24"/>
  <c r="I88" i="24"/>
  <c r="Q94" i="13"/>
  <c r="Q74" i="13"/>
  <c r="Q93" i="13"/>
  <c r="Q73" i="13"/>
  <c r="Q6" i="13"/>
  <c r="Q88" i="13"/>
  <c r="Q69" i="13"/>
  <c r="Q104" i="13"/>
  <c r="Q86" i="13"/>
  <c r="Q68" i="13"/>
  <c r="Q103" i="13"/>
  <c r="Q85" i="13"/>
  <c r="Q67" i="13"/>
  <c r="Q102" i="13"/>
  <c r="Q84" i="13"/>
  <c r="Q66" i="13"/>
  <c r="Q96" i="13"/>
  <c r="Q76" i="13"/>
  <c r="Q65" i="13"/>
  <c r="Q95" i="13"/>
  <c r="Q75" i="13"/>
  <c r="Q64" i="13"/>
  <c r="I86" i="25"/>
  <c r="I84" i="25"/>
  <c r="I66" i="25"/>
  <c r="I64" i="25"/>
  <c r="I95" i="25"/>
  <c r="I103" i="25"/>
  <c r="I104" i="25"/>
  <c r="I65" i="25"/>
  <c r="I74" i="25"/>
  <c r="I68" i="25"/>
  <c r="I67" i="25"/>
  <c r="I96" i="25"/>
  <c r="I73" i="25"/>
  <c r="I93" i="25"/>
  <c r="I102" i="25"/>
  <c r="I69" i="25"/>
  <c r="I76" i="25"/>
  <c r="I88" i="25"/>
  <c r="I85" i="25"/>
  <c r="I75" i="25"/>
  <c r="I94" i="25"/>
  <c r="AG67" i="17" a="1"/>
  <c r="AG67" i="17" s="1"/>
  <c r="AG76" i="16" a="1"/>
  <c r="AG76" i="16" s="1"/>
  <c r="AY96" i="15" a="1"/>
  <c r="AY96" i="15" s="1"/>
  <c r="AY68" i="17" a="1"/>
  <c r="AY68" i="17" s="1"/>
  <c r="AY67" i="15" a="1"/>
  <c r="AY67" i="15" s="1"/>
  <c r="AY69" i="17" a="1"/>
  <c r="AY69" i="17" s="1"/>
  <c r="AY102" i="15" a="1"/>
  <c r="AY102" i="15" s="1"/>
  <c r="AX67" i="13" a="1"/>
  <c r="AX67" i="13" s="1"/>
  <c r="AY104" i="17" a="1"/>
  <c r="AY104" i="17" s="1"/>
  <c r="AY67" i="17" a="1"/>
  <c r="AY67" i="17" s="1"/>
  <c r="BN96" i="24"/>
  <c r="BN85" i="24"/>
  <c r="BN103" i="24"/>
  <c r="BN68" i="24"/>
  <c r="BN102" i="24"/>
  <c r="BN94" i="24"/>
  <c r="BN66" i="24"/>
  <c r="BN67" i="24"/>
  <c r="BN95" i="24"/>
  <c r="BN104" i="24"/>
  <c r="BN65" i="24"/>
  <c r="BN64" i="24"/>
  <c r="BN84" i="24"/>
  <c r="BN76" i="24"/>
  <c r="BN69" i="24"/>
  <c r="BN86" i="24"/>
  <c r="BN88" i="24"/>
  <c r="BN75" i="24"/>
  <c r="BN93" i="24"/>
  <c r="BN73" i="24"/>
  <c r="BN74" i="24"/>
  <c r="X76" i="24"/>
  <c r="X65" i="24"/>
  <c r="X86" i="24"/>
  <c r="X73" i="24"/>
  <c r="X85" i="24"/>
  <c r="X84" i="24"/>
  <c r="X104" i="24"/>
  <c r="X103" i="24"/>
  <c r="X67" i="24"/>
  <c r="X74" i="24"/>
  <c r="X95" i="24"/>
  <c r="X69" i="24"/>
  <c r="X66" i="24"/>
  <c r="X102" i="24"/>
  <c r="X68" i="24"/>
  <c r="X96" i="24"/>
  <c r="X88" i="24"/>
  <c r="X75" i="24"/>
  <c r="X93" i="24"/>
  <c r="X94" i="24"/>
  <c r="X64" i="24"/>
  <c r="CP104" i="9"/>
  <c r="CP75" i="9"/>
  <c r="CP69" i="9"/>
  <c r="CP95" i="9"/>
  <c r="CP86" i="9"/>
  <c r="CP66" i="9"/>
  <c r="CP68" i="9"/>
  <c r="CP67" i="9"/>
  <c r="CP88" i="9"/>
  <c r="CP93" i="9"/>
  <c r="CP74" i="9"/>
  <c r="CP64" i="9"/>
  <c r="CP102" i="9"/>
  <c r="CP84" i="9"/>
  <c r="CP103" i="9"/>
  <c r="CP65" i="9"/>
  <c r="CP76" i="9"/>
  <c r="CP96" i="9"/>
  <c r="CP73" i="9"/>
  <c r="CP85" i="9"/>
  <c r="CP94" i="9"/>
  <c r="CB96" i="24"/>
  <c r="CB86" i="24"/>
  <c r="CB93" i="24"/>
  <c r="CB69" i="24"/>
  <c r="CB95" i="24"/>
  <c r="CB88" i="24"/>
  <c r="CB68" i="24"/>
  <c r="CB74" i="24"/>
  <c r="CB66" i="24"/>
  <c r="CB103" i="24"/>
  <c r="CB64" i="24"/>
  <c r="CB94" i="24"/>
  <c r="CB84" i="24"/>
  <c r="CB65" i="24"/>
  <c r="CB75" i="24"/>
  <c r="CB104" i="24"/>
  <c r="CB102" i="24"/>
  <c r="CB85" i="24"/>
  <c r="CB67" i="24"/>
  <c r="CB73" i="24"/>
  <c r="CB76" i="24"/>
  <c r="AG85" i="16" a="1"/>
  <c r="AG85" i="16" s="1"/>
  <c r="AY94" i="16" a="1"/>
  <c r="AY94" i="16" s="1"/>
  <c r="CP68" i="24"/>
  <c r="CP103" i="24"/>
  <c r="CP93" i="24"/>
  <c r="CP84" i="24"/>
  <c r="CP102" i="24"/>
  <c r="CP76" i="24"/>
  <c r="CP64" i="24"/>
  <c r="CP65" i="24"/>
  <c r="CP104" i="24"/>
  <c r="CP96" i="24"/>
  <c r="CP85" i="24"/>
  <c r="CP88" i="24"/>
  <c r="CP73" i="24"/>
  <c r="CP75" i="24"/>
  <c r="CP94" i="24"/>
  <c r="CP86" i="24"/>
  <c r="CP67" i="24"/>
  <c r="CP74" i="24"/>
  <c r="CP95" i="24"/>
  <c r="CP69" i="24"/>
  <c r="CP66" i="24"/>
  <c r="AZ67" i="24"/>
  <c r="AZ66" i="24"/>
  <c r="AZ65" i="24"/>
  <c r="AZ86" i="24"/>
  <c r="AZ76" i="24"/>
  <c r="AZ103" i="24"/>
  <c r="AZ84" i="24"/>
  <c r="AZ104" i="24"/>
  <c r="AZ102" i="24"/>
  <c r="AZ68" i="24"/>
  <c r="AZ85" i="24"/>
  <c r="AZ64" i="24"/>
  <c r="AZ75" i="24"/>
  <c r="AZ96" i="24"/>
  <c r="AZ69" i="24"/>
  <c r="AZ73" i="24"/>
  <c r="AZ94" i="24"/>
  <c r="AZ93" i="24"/>
  <c r="AZ74" i="24"/>
  <c r="AZ95" i="24"/>
  <c r="AZ88" i="24"/>
  <c r="AY84" i="16" a="1"/>
  <c r="AY84" i="16" s="1"/>
  <c r="AG93" i="16" a="1"/>
  <c r="AG93" i="16" s="1"/>
  <c r="AG74" i="16" a="1"/>
  <c r="AG74" i="16" s="1"/>
  <c r="AG86" i="16" a="1"/>
  <c r="AG86" i="16" s="1"/>
  <c r="AY65" i="16" a="1"/>
  <c r="AY65" i="16" s="1"/>
  <c r="AY95" i="16" a="1"/>
  <c r="AY95" i="16" s="1"/>
  <c r="AY73" i="17" a="1"/>
  <c r="AY73" i="17" s="1"/>
  <c r="AY84" i="17" a="1"/>
  <c r="AY84" i="17" s="1"/>
  <c r="AY74" i="16" a="1"/>
  <c r="AY74" i="16" s="1"/>
  <c r="AY67" i="16" a="1"/>
  <c r="AY67" i="16" s="1"/>
  <c r="AY64" i="17" a="1"/>
  <c r="AY64" i="17" s="1"/>
  <c r="U64" i="9"/>
  <c r="U85" i="9"/>
  <c r="U74" i="9"/>
  <c r="U103" i="9"/>
  <c r="U94" i="9"/>
  <c r="U76" i="9"/>
  <c r="U96" i="9"/>
  <c r="U86" i="9"/>
  <c r="U95" i="9"/>
  <c r="U67" i="9"/>
  <c r="U65" i="9"/>
  <c r="U84" i="9"/>
  <c r="U88" i="9"/>
  <c r="U73" i="9"/>
  <c r="U68" i="9"/>
  <c r="U66" i="9"/>
  <c r="U104" i="9"/>
  <c r="U75" i="9"/>
  <c r="U102" i="9"/>
  <c r="U93" i="9"/>
  <c r="U69" i="9"/>
  <c r="AG84" i="15" a="1"/>
  <c r="AG84" i="15" s="1"/>
  <c r="AX84" i="13" a="1"/>
  <c r="AX84" i="13" s="1"/>
  <c r="AL102" i="24"/>
  <c r="AL96" i="24"/>
  <c r="AL68" i="24"/>
  <c r="AL103" i="24"/>
  <c r="AL104" i="24"/>
  <c r="AL93" i="24"/>
  <c r="AL76" i="24"/>
  <c r="AL69" i="24"/>
  <c r="AL74" i="24"/>
  <c r="AL67" i="24"/>
  <c r="AL65" i="24"/>
  <c r="AL64" i="24"/>
  <c r="AL75" i="24"/>
  <c r="AL66" i="24"/>
  <c r="AL94" i="24"/>
  <c r="AL73" i="24"/>
  <c r="AL86" i="24"/>
  <c r="AL84" i="24"/>
  <c r="AL85" i="24"/>
  <c r="AL95" i="24"/>
  <c r="AL88" i="24"/>
  <c r="AY84" i="15" a="1"/>
  <c r="AY84" i="15" s="1"/>
  <c r="AY66" i="15" a="1"/>
  <c r="AY66" i="15" s="1"/>
  <c r="AY65" i="15" a="1"/>
  <c r="AY65" i="15" s="1"/>
  <c r="AY93" i="15" a="1"/>
  <c r="AY93" i="15" s="1"/>
  <c r="AY74" i="15" a="1"/>
  <c r="AY74" i="15" s="1"/>
  <c r="CP6" i="9"/>
  <c r="CP9" i="9" s="1"/>
  <c r="AY68" i="15" a="1"/>
  <c r="AY68" i="15" s="1"/>
  <c r="AY85" i="16" a="1"/>
  <c r="AY85" i="16" s="1"/>
  <c r="AY86" i="16" a="1"/>
  <c r="AY86" i="16" s="1"/>
  <c r="AY102" i="16" a="1"/>
  <c r="AY102" i="16" s="1"/>
  <c r="AY65" i="17" a="1"/>
  <c r="AY65" i="17" s="1"/>
  <c r="AY86" i="17" a="1"/>
  <c r="AY86" i="17" s="1"/>
  <c r="AY103" i="17" a="1"/>
  <c r="AY103" i="17" s="1"/>
  <c r="AY103" i="15" a="1"/>
  <c r="AY103" i="15" s="1"/>
  <c r="AY64" i="16" a="1"/>
  <c r="AY64" i="16" s="1"/>
  <c r="AY96" i="17" a="1"/>
  <c r="AY96" i="17" s="1"/>
  <c r="AY75" i="17" a="1"/>
  <c r="AY75" i="17" s="1"/>
  <c r="AG75" i="15" a="1"/>
  <c r="AG75" i="15" s="1"/>
  <c r="AY73" i="15" a="1"/>
  <c r="AY73" i="15" s="1"/>
  <c r="AY104" i="15" a="1"/>
  <c r="AY104" i="15" s="1"/>
  <c r="AY73" i="16" a="1"/>
  <c r="AY73" i="16" s="1"/>
  <c r="AY76" i="17" a="1"/>
  <c r="AY76" i="17" s="1"/>
  <c r="AY74" i="17" a="1"/>
  <c r="AY74" i="17" s="1"/>
  <c r="AG86" i="15" a="1"/>
  <c r="AG86" i="15" s="1"/>
  <c r="AY86" i="15" a="1"/>
  <c r="AY86" i="15" s="1"/>
  <c r="AY88" i="15" a="1"/>
  <c r="AY88" i="15" s="1"/>
  <c r="AY94" i="15" a="1"/>
  <c r="AY94" i="15" s="1"/>
  <c r="AY103" i="16" a="1"/>
  <c r="AY103" i="16" s="1"/>
  <c r="AY95" i="17" a="1"/>
  <c r="AY95" i="17" s="1"/>
  <c r="AY85" i="17" a="1"/>
  <c r="AY85" i="17" s="1"/>
  <c r="AX88" i="13" a="1"/>
  <c r="AX88" i="13" s="1"/>
  <c r="AF76" i="13" a="1"/>
  <c r="AF76" i="13" s="1"/>
  <c r="AF64" i="13" a="1"/>
  <c r="AF64" i="13" s="1"/>
  <c r="AX69" i="13" a="1"/>
  <c r="AX69" i="13" s="1"/>
  <c r="AX86" i="13" a="1"/>
  <c r="AX86" i="13" s="1"/>
  <c r="AX104" i="13" a="1"/>
  <c r="AX104" i="13" s="1"/>
  <c r="AX65" i="13" a="1"/>
  <c r="AX65" i="13" s="1"/>
  <c r="AY65" i="13" s="1" a="1"/>
  <c r="AY65" i="13" s="1"/>
  <c r="AX68" i="13" a="1"/>
  <c r="AX68" i="13" s="1"/>
  <c r="AX75" i="13" a="1"/>
  <c r="AX75" i="13" s="1"/>
  <c r="AX64" i="13" a="1"/>
  <c r="AX64" i="13" s="1"/>
  <c r="AY6" i="13"/>
  <c r="AX74" i="13" a="1"/>
  <c r="AX74" i="13" s="1"/>
  <c r="AY74" i="13" s="1" a="1"/>
  <c r="AY74" i="13" s="1"/>
  <c r="AX96" i="13" a="1"/>
  <c r="AX96" i="13" s="1"/>
  <c r="AY96" i="13" s="1" a="1"/>
  <c r="AY96" i="13" s="1"/>
  <c r="AX95" i="13" a="1"/>
  <c r="AX95" i="13" s="1"/>
  <c r="AX73" i="13" a="1"/>
  <c r="AX73" i="13" s="1"/>
  <c r="V5" i="9"/>
  <c r="U6" i="9"/>
  <c r="U9" i="9" s="1"/>
  <c r="AX102" i="13" a="1"/>
  <c r="AX102" i="13" s="1"/>
  <c r="AX93" i="13" a="1"/>
  <c r="AX93" i="13" s="1"/>
  <c r="AX76" i="13" a="1"/>
  <c r="AX76" i="13" s="1"/>
  <c r="AX103" i="13" a="1"/>
  <c r="AX103" i="13" s="1"/>
  <c r="AF96" i="13" a="1"/>
  <c r="AF96" i="13" s="1"/>
  <c r="AF104" i="13" a="1"/>
  <c r="AF104" i="13" s="1"/>
  <c r="AF102" i="13" a="1"/>
  <c r="AF102" i="13" s="1"/>
  <c r="AF6" i="13"/>
  <c r="W8" i="9" s="1"/>
  <c r="AF88" i="13" a="1"/>
  <c r="AF88" i="13" s="1"/>
  <c r="AF68" i="13" a="1"/>
  <c r="AF68" i="13" s="1"/>
  <c r="AF73" i="13" a="1"/>
  <c r="AF73" i="13" s="1"/>
  <c r="AF69" i="13" a="1"/>
  <c r="AF69" i="13" s="1"/>
  <c r="AF65" i="13" a="1"/>
  <c r="AF65" i="13" s="1"/>
  <c r="AF85" i="13" a="1"/>
  <c r="AF85" i="13" s="1"/>
  <c r="AF66" i="13" a="1"/>
  <c r="AF66" i="13" s="1"/>
  <c r="AF94" i="13" a="1"/>
  <c r="AF94" i="13" s="1"/>
  <c r="AF93" i="13" a="1"/>
  <c r="AF93" i="13" s="1"/>
  <c r="AF74" i="13" a="1"/>
  <c r="AF74" i="13" s="1"/>
  <c r="AF75" i="13" a="1"/>
  <c r="AF75" i="13" s="1"/>
  <c r="AF95" i="13" a="1"/>
  <c r="AF95" i="13" s="1"/>
  <c r="AF86" i="13" a="1"/>
  <c r="AF86" i="13" s="1"/>
  <c r="AF67" i="13" a="1"/>
  <c r="AF67" i="13" s="1"/>
  <c r="AF103" i="13" a="1"/>
  <c r="AF103" i="13" s="1"/>
  <c r="AG6" i="17"/>
  <c r="AG103" i="17" a="1"/>
  <c r="AG103" i="17" s="1"/>
  <c r="AG68" i="17" a="1"/>
  <c r="AG68" i="17" s="1"/>
  <c r="AG102" i="17" a="1"/>
  <c r="AG102" i="17" s="1"/>
  <c r="AY66" i="17" a="1"/>
  <c r="AY66" i="17" s="1"/>
  <c r="AY102" i="17" a="1"/>
  <c r="AY102" i="17" s="1"/>
  <c r="AG104" i="17" a="1"/>
  <c r="AG104" i="17" s="1"/>
  <c r="AY94" i="17" a="1"/>
  <c r="AY94" i="17" s="1"/>
  <c r="AY88" i="17" a="1"/>
  <c r="AY88" i="17" s="1"/>
  <c r="AY93" i="17" a="1"/>
  <c r="AY93" i="17" s="1"/>
  <c r="AY96" i="16" a="1"/>
  <c r="AY96" i="16" s="1"/>
  <c r="AG6" i="16"/>
  <c r="AY68" i="16" a="1"/>
  <c r="AY68" i="16" s="1"/>
  <c r="AY66" i="16" a="1"/>
  <c r="AY66" i="16" s="1"/>
  <c r="AY76" i="16" a="1"/>
  <c r="AY76" i="16" s="1"/>
  <c r="AY75" i="16" a="1"/>
  <c r="AY75" i="16" s="1"/>
  <c r="AY88" i="16" a="1"/>
  <c r="AY88" i="16" s="1"/>
  <c r="AY93" i="16" a="1"/>
  <c r="AY93" i="16" s="1"/>
  <c r="AY69" i="16" a="1"/>
  <c r="AY69" i="16" s="1"/>
  <c r="AY104" i="16" a="1"/>
  <c r="AY104" i="16" s="1"/>
  <c r="AG6" i="15"/>
  <c r="AG73" i="15" a="1"/>
  <c r="AG73" i="15" s="1"/>
  <c r="AG68" i="15" a="1"/>
  <c r="AG68" i="15" s="1"/>
  <c r="AG67" i="15" a="1"/>
  <c r="AG67" i="15" s="1"/>
  <c r="AG95" i="15" a="1"/>
  <c r="AG95" i="15" s="1"/>
  <c r="AG88" i="15" a="1"/>
  <c r="AG88" i="15" s="1"/>
  <c r="AG65" i="15" a="1"/>
  <c r="AG65" i="15" s="1"/>
  <c r="AG76" i="15" a="1"/>
  <c r="AG76" i="15" s="1"/>
  <c r="AY75" i="15" a="1"/>
  <c r="AY75" i="15" s="1"/>
  <c r="AY76" i="15" a="1"/>
  <c r="AY76" i="15" s="1"/>
  <c r="AG96" i="15" a="1"/>
  <c r="AG96" i="15" s="1"/>
  <c r="AY69" i="15" a="1"/>
  <c r="AY69" i="15" s="1"/>
  <c r="AY85" i="15" a="1"/>
  <c r="AY85" i="15" s="1"/>
  <c r="AG66" i="15" a="1"/>
  <c r="AG66" i="15" s="1"/>
  <c r="AY64" i="15" a="1"/>
  <c r="AY64" i="15" s="1"/>
  <c r="AG93" i="17" a="1"/>
  <c r="AG93" i="17" s="1"/>
  <c r="AG96" i="17" a="1"/>
  <c r="AG96" i="17" s="1"/>
  <c r="AG64" i="17" a="1"/>
  <c r="AG64" i="17" s="1"/>
  <c r="AG75" i="17" a="1"/>
  <c r="AG75" i="17" s="1"/>
  <c r="AG66" i="17" a="1"/>
  <c r="AG66" i="17" s="1"/>
  <c r="AG85" i="17" a="1"/>
  <c r="AG85" i="17" s="1"/>
  <c r="AG95" i="17" a="1"/>
  <c r="AG95" i="17" s="1"/>
  <c r="AG88" i="17" a="1"/>
  <c r="AG88" i="17" s="1"/>
  <c r="AG74" i="17" a="1"/>
  <c r="AG74" i="17" s="1"/>
  <c r="AG65" i="17" a="1"/>
  <c r="AG65" i="17" s="1"/>
  <c r="AG76" i="17" a="1"/>
  <c r="AG76" i="17" s="1"/>
  <c r="AG86" i="17" a="1"/>
  <c r="AG86" i="17" s="1"/>
  <c r="AG94" i="17" a="1"/>
  <c r="AG94" i="17" s="1"/>
  <c r="AG69" i="17" a="1"/>
  <c r="AG69" i="17" s="1"/>
  <c r="AG73" i="17" a="1"/>
  <c r="AG73" i="17" s="1"/>
  <c r="AG64" i="16" a="1"/>
  <c r="AG64" i="16" s="1"/>
  <c r="AG75" i="16" a="1"/>
  <c r="AG75" i="16" s="1"/>
  <c r="AG69" i="16" a="1"/>
  <c r="AG69" i="16" s="1"/>
  <c r="AG73" i="16" a="1"/>
  <c r="AG73" i="16" s="1"/>
  <c r="AG96" i="16" a="1"/>
  <c r="AG96" i="16" s="1"/>
  <c r="AG94" i="16" a="1"/>
  <c r="AG94" i="16" s="1"/>
  <c r="AG66" i="16" a="1"/>
  <c r="AG66" i="16" s="1"/>
  <c r="AG95" i="16" a="1"/>
  <c r="AG95" i="16" s="1"/>
  <c r="AG65" i="16" a="1"/>
  <c r="AG65" i="16" s="1"/>
  <c r="AG68" i="16" a="1"/>
  <c r="AG68" i="16" s="1"/>
  <c r="AG104" i="16" a="1"/>
  <c r="AG104" i="16" s="1"/>
  <c r="AG88" i="16" a="1"/>
  <c r="AG88" i="16" s="1"/>
  <c r="AG102" i="16" a="1"/>
  <c r="AG102" i="16" s="1"/>
  <c r="AG67" i="16" a="1"/>
  <c r="AG67" i="16" s="1"/>
  <c r="AG103" i="16" a="1"/>
  <c r="AG103" i="16" s="1"/>
  <c r="AG93" i="15" a="1"/>
  <c r="AG93" i="15" s="1"/>
  <c r="AG69" i="15" a="1"/>
  <c r="AG69" i="15" s="1"/>
  <c r="AG74" i="15" a="1"/>
  <c r="AG74" i="15" s="1"/>
  <c r="AG104" i="15" a="1"/>
  <c r="AG104" i="15" s="1"/>
  <c r="AG102" i="15" a="1"/>
  <c r="AG102" i="15" s="1"/>
  <c r="AG64" i="15" a="1"/>
  <c r="AG64" i="15" s="1"/>
  <c r="AG85" i="15" a="1"/>
  <c r="AG85" i="15" s="1"/>
  <c r="AG94" i="15" a="1"/>
  <c r="AG94" i="15" s="1"/>
  <c r="AG5" i="13"/>
  <c r="J96" i="24" l="1"/>
  <c r="J95" i="24"/>
  <c r="J64" i="24"/>
  <c r="J103" i="24"/>
  <c r="J68" i="24"/>
  <c r="J84" i="24"/>
  <c r="J67" i="24"/>
  <c r="J86" i="24"/>
  <c r="J69" i="24"/>
  <c r="J76" i="24"/>
  <c r="J85" i="24"/>
  <c r="J65" i="24"/>
  <c r="J74" i="24"/>
  <c r="J102" i="24"/>
  <c r="J73" i="24"/>
  <c r="J94" i="24"/>
  <c r="J66" i="24"/>
  <c r="J93" i="24"/>
  <c r="J88" i="24"/>
  <c r="J75" i="24"/>
  <c r="J104" i="24"/>
  <c r="S6" i="13"/>
  <c r="S88" i="13"/>
  <c r="S69" i="13"/>
  <c r="S104" i="13"/>
  <c r="S86" i="13"/>
  <c r="S68" i="13"/>
  <c r="S103" i="13"/>
  <c r="S85" i="13"/>
  <c r="S67" i="13"/>
  <c r="S102" i="13"/>
  <c r="S84" i="13"/>
  <c r="S66" i="13"/>
  <c r="S96" i="13"/>
  <c r="S76" i="13"/>
  <c r="S65" i="13"/>
  <c r="S95" i="13"/>
  <c r="S75" i="13"/>
  <c r="S64" i="13"/>
  <c r="S94" i="13"/>
  <c r="S74" i="13"/>
  <c r="S93" i="13"/>
  <c r="S73" i="13"/>
  <c r="R102" i="13"/>
  <c r="R84" i="13"/>
  <c r="R66" i="13"/>
  <c r="R6" i="13"/>
  <c r="R96" i="13"/>
  <c r="R76" i="13"/>
  <c r="R65" i="13"/>
  <c r="R95" i="13"/>
  <c r="R75" i="13"/>
  <c r="R64" i="13"/>
  <c r="R94" i="13"/>
  <c r="R74" i="13"/>
  <c r="R93" i="13"/>
  <c r="R73" i="13"/>
  <c r="R88" i="13"/>
  <c r="R69" i="13"/>
  <c r="R104" i="13"/>
  <c r="R86" i="13"/>
  <c r="R68" i="13"/>
  <c r="R103" i="13"/>
  <c r="R85" i="13"/>
  <c r="R67" i="13"/>
  <c r="J76" i="25"/>
  <c r="J84" i="25"/>
  <c r="J103" i="25"/>
  <c r="J67" i="25"/>
  <c r="J86" i="25"/>
  <c r="J88" i="25"/>
  <c r="J73" i="25"/>
  <c r="J85" i="25"/>
  <c r="J96" i="25"/>
  <c r="J95" i="25"/>
  <c r="J74" i="25"/>
  <c r="J104" i="25"/>
  <c r="J69" i="25"/>
  <c r="J75" i="25"/>
  <c r="J93" i="25"/>
  <c r="J64" i="25"/>
  <c r="J65" i="25"/>
  <c r="J94" i="25"/>
  <c r="J68" i="25"/>
  <c r="J66" i="25"/>
  <c r="J102" i="25"/>
  <c r="V73" i="9"/>
  <c r="V93" i="9"/>
  <c r="V67" i="9"/>
  <c r="V66" i="9"/>
  <c r="V76" i="9"/>
  <c r="V102" i="9"/>
  <c r="V103" i="9"/>
  <c r="V86" i="9"/>
  <c r="V75" i="9"/>
  <c r="V69" i="9"/>
  <c r="V68" i="9"/>
  <c r="V65" i="9"/>
  <c r="V85" i="9"/>
  <c r="V84" i="9"/>
  <c r="V104" i="9"/>
  <c r="V94" i="9"/>
  <c r="V64" i="9"/>
  <c r="V96" i="9"/>
  <c r="V74" i="9"/>
  <c r="V88" i="9"/>
  <c r="V95" i="9"/>
  <c r="AY75" i="13" a="1"/>
  <c r="AY75" i="13" s="1"/>
  <c r="AY104" i="13" a="1"/>
  <c r="AY104" i="13" s="1"/>
  <c r="AY67" i="13" a="1"/>
  <c r="AY67" i="13" s="1"/>
  <c r="AY88" i="13" a="1"/>
  <c r="AY88" i="13" s="1"/>
  <c r="AG88" i="13" a="1"/>
  <c r="AG88" i="13" s="1"/>
  <c r="AG84" i="13" a="1"/>
  <c r="AG84" i="13" s="1"/>
  <c r="AY85" i="13" a="1"/>
  <c r="AY85" i="13" s="1"/>
  <c r="AY76" i="13" a="1"/>
  <c r="AY76" i="13" s="1"/>
  <c r="AY95" i="13" a="1"/>
  <c r="AY95" i="13" s="1"/>
  <c r="AY84" i="13" a="1"/>
  <c r="AY84" i="13" s="1"/>
  <c r="AG64" i="13" a="1"/>
  <c r="AG64" i="13" s="1"/>
  <c r="AG96" i="13" a="1"/>
  <c r="AG96" i="13" s="1"/>
  <c r="AY69" i="13" a="1"/>
  <c r="AY69" i="13" s="1"/>
  <c r="AY64" i="13" a="1"/>
  <c r="AY64" i="13" s="1"/>
  <c r="AY103" i="13" a="1"/>
  <c r="AY103" i="13" s="1"/>
  <c r="AY86" i="13" a="1"/>
  <c r="AY86" i="13" s="1"/>
  <c r="AY94" i="13" a="1"/>
  <c r="AY94" i="13" s="1"/>
  <c r="AY68" i="13" a="1"/>
  <c r="AY68" i="13" s="1"/>
  <c r="AY93" i="13" a="1"/>
  <c r="AY93" i="13" s="1"/>
  <c r="AY73" i="13" a="1"/>
  <c r="AY73" i="13" s="1"/>
  <c r="AY102" i="13" a="1"/>
  <c r="AY102" i="13" s="1"/>
  <c r="AY66" i="13" a="1"/>
  <c r="AY66" i="13" s="1"/>
  <c r="W5" i="9"/>
  <c r="V6" i="9"/>
  <c r="V9" i="9" s="1"/>
  <c r="AG6" i="13"/>
  <c r="X8" i="9" s="1"/>
  <c r="AG68" i="13" a="1"/>
  <c r="AG68" i="13" s="1"/>
  <c r="AG85" i="13" a="1"/>
  <c r="AG85" i="13" s="1"/>
  <c r="AG69" i="13" a="1"/>
  <c r="AG69" i="13" s="1"/>
  <c r="AG73" i="13" a="1"/>
  <c r="AG73" i="13" s="1"/>
  <c r="AG65" i="13" a="1"/>
  <c r="AG65" i="13" s="1"/>
  <c r="AG74" i="13" a="1"/>
  <c r="AG74" i="13" s="1"/>
  <c r="AG94" i="13" a="1"/>
  <c r="AG94" i="13" s="1"/>
  <c r="AG93" i="13" a="1"/>
  <c r="AG93" i="13" s="1"/>
  <c r="AG66" i="13" a="1"/>
  <c r="AG66" i="13" s="1"/>
  <c r="AG75" i="13" a="1"/>
  <c r="AG75" i="13" s="1"/>
  <c r="AG95" i="13" a="1"/>
  <c r="AG95" i="13" s="1"/>
  <c r="AG103" i="13" a="1"/>
  <c r="AG103" i="13" s="1"/>
  <c r="AG67" i="13" a="1"/>
  <c r="AG67" i="13" s="1"/>
  <c r="AG86" i="13" a="1"/>
  <c r="AG86" i="13" s="1"/>
  <c r="AG104" i="13" a="1"/>
  <c r="AG104" i="13" s="1"/>
  <c r="AG76" i="13" a="1"/>
  <c r="AG76" i="13" s="1"/>
  <c r="AG102" i="13" a="1"/>
  <c r="AG102" i="13" s="1"/>
  <c r="FA14" i="16"/>
  <c r="EK14" i="16"/>
  <c r="DU14" i="16"/>
  <c r="DE14" i="16"/>
  <c r="CO14" i="16"/>
  <c r="BY14" i="16"/>
  <c r="BI14" i="16"/>
  <c r="FA14" i="17"/>
  <c r="EK14" i="17"/>
  <c r="DU14" i="17"/>
  <c r="DE14" i="17"/>
  <c r="CO14" i="17"/>
  <c r="BY14" i="17"/>
  <c r="BI14" i="17"/>
  <c r="NQ14" i="13"/>
  <c r="NA14" i="13"/>
  <c r="MK14" i="13"/>
  <c r="LU14" i="13"/>
  <c r="LE14" i="13"/>
  <c r="KO14" i="13"/>
  <c r="JY14" i="13"/>
  <c r="JI14" i="13"/>
  <c r="IS14" i="13"/>
  <c r="IC14" i="13"/>
  <c r="HM14" i="13"/>
  <c r="GW14" i="13"/>
  <c r="GG14" i="13"/>
  <c r="FQ14" i="13"/>
  <c r="FA14" i="13"/>
  <c r="EK14" i="13"/>
  <c r="DU14" i="13"/>
  <c r="DE14" i="13"/>
  <c r="CO14" i="13"/>
  <c r="BY14" i="13"/>
  <c r="BI14" i="13"/>
  <c r="JD65" i="13"/>
  <c r="JD66" i="13"/>
  <c r="JD67" i="13"/>
  <c r="JD68" i="13"/>
  <c r="JD69" i="13"/>
  <c r="JD73" i="13"/>
  <c r="JD74" i="13"/>
  <c r="JD75" i="13"/>
  <c r="JD76" i="13"/>
  <c r="JD85" i="13"/>
  <c r="JD86" i="13"/>
  <c r="JD88" i="13"/>
  <c r="JD93" i="13"/>
  <c r="JD94" i="13"/>
  <c r="JD95" i="13"/>
  <c r="JD96" i="13"/>
  <c r="JD102" i="13"/>
  <c r="JD103" i="13"/>
  <c r="JD104" i="13"/>
  <c r="JD64" i="13"/>
  <c r="IN65" i="13"/>
  <c r="IN66" i="13"/>
  <c r="IN67" i="13"/>
  <c r="IN68" i="13"/>
  <c r="IN69" i="13"/>
  <c r="IN73" i="13"/>
  <c r="IN74" i="13"/>
  <c r="IN75" i="13"/>
  <c r="IN76" i="13"/>
  <c r="IN85" i="13"/>
  <c r="IN86" i="13"/>
  <c r="IN88" i="13"/>
  <c r="IN93" i="13"/>
  <c r="IN94" i="13"/>
  <c r="IN95" i="13"/>
  <c r="IN96" i="13"/>
  <c r="IN102" i="13"/>
  <c r="IN103" i="13"/>
  <c r="IN104" i="13"/>
  <c r="IN64" i="13"/>
  <c r="HX65" i="13"/>
  <c r="HX66" i="13"/>
  <c r="HX67" i="13"/>
  <c r="HX68" i="13"/>
  <c r="HX69" i="13"/>
  <c r="HX73" i="13"/>
  <c r="HX74" i="13"/>
  <c r="HX75" i="13"/>
  <c r="HX76" i="13"/>
  <c r="HX85" i="13"/>
  <c r="HX86" i="13"/>
  <c r="HX88" i="13"/>
  <c r="HX93" i="13"/>
  <c r="HX94" i="13"/>
  <c r="HX95" i="13"/>
  <c r="HX96" i="13"/>
  <c r="HX102" i="13"/>
  <c r="HX103" i="13"/>
  <c r="HX104" i="13"/>
  <c r="HH65" i="13"/>
  <c r="HH66" i="13"/>
  <c r="HH67" i="13"/>
  <c r="HH68" i="13"/>
  <c r="HH69" i="13"/>
  <c r="HH73" i="13"/>
  <c r="HH74" i="13"/>
  <c r="HH75" i="13"/>
  <c r="HH76" i="13"/>
  <c r="HH85" i="13"/>
  <c r="HH86" i="13"/>
  <c r="HH88" i="13"/>
  <c r="HH93" i="13"/>
  <c r="HH94" i="13"/>
  <c r="HH95" i="13"/>
  <c r="HH96" i="13"/>
  <c r="HH102" i="13"/>
  <c r="HH103" i="13"/>
  <c r="HH104" i="13"/>
  <c r="HH64" i="13"/>
  <c r="GR65" i="13"/>
  <c r="GR66" i="13"/>
  <c r="GR67" i="13"/>
  <c r="GR68" i="13"/>
  <c r="GR69" i="13"/>
  <c r="GR73" i="13"/>
  <c r="GR74" i="13"/>
  <c r="GR75" i="13"/>
  <c r="GR76" i="13"/>
  <c r="GR85" i="13"/>
  <c r="GR86" i="13"/>
  <c r="GR88" i="13"/>
  <c r="GR93" i="13"/>
  <c r="GR94" i="13"/>
  <c r="GR95" i="13"/>
  <c r="GR96" i="13"/>
  <c r="GR102" i="13"/>
  <c r="GR103" i="13"/>
  <c r="GR104" i="13"/>
  <c r="GR64" i="13"/>
  <c r="GB65" i="13"/>
  <c r="GB66" i="13"/>
  <c r="GB67" i="13"/>
  <c r="GB68" i="13"/>
  <c r="GB69" i="13"/>
  <c r="GB73" i="13"/>
  <c r="GB74" i="13"/>
  <c r="GB75" i="13"/>
  <c r="GB76" i="13"/>
  <c r="GB85" i="13"/>
  <c r="GB86" i="13"/>
  <c r="GB88" i="13"/>
  <c r="GB93" i="13"/>
  <c r="GB94" i="13"/>
  <c r="GB95" i="13"/>
  <c r="GB96" i="13"/>
  <c r="GB102" i="13"/>
  <c r="GB103" i="13"/>
  <c r="GB104" i="13"/>
  <c r="GB64" i="13"/>
  <c r="FL65" i="13"/>
  <c r="FL66" i="13"/>
  <c r="FL67" i="13"/>
  <c r="FL68" i="13"/>
  <c r="FL69" i="13"/>
  <c r="FL73" i="13"/>
  <c r="FL74" i="13"/>
  <c r="FL75" i="13"/>
  <c r="FL76" i="13"/>
  <c r="FL85" i="13"/>
  <c r="FL86" i="13"/>
  <c r="FL88" i="13"/>
  <c r="FL93" i="13"/>
  <c r="FL94" i="13"/>
  <c r="FL95" i="13"/>
  <c r="FL96" i="13"/>
  <c r="FL102" i="13"/>
  <c r="FL103" i="13"/>
  <c r="FL104" i="13"/>
  <c r="FL64" i="13"/>
  <c r="EV65" i="13"/>
  <c r="EV66" i="13"/>
  <c r="EV67" i="13"/>
  <c r="EV68" i="13"/>
  <c r="EV69" i="13"/>
  <c r="EV73" i="13"/>
  <c r="EV74" i="13"/>
  <c r="EV75" i="13"/>
  <c r="EV76" i="13"/>
  <c r="EV85" i="13"/>
  <c r="EV86" i="13"/>
  <c r="EV88" i="13"/>
  <c r="EV93" i="13"/>
  <c r="EV94" i="13"/>
  <c r="EV95" i="13"/>
  <c r="EV96" i="13"/>
  <c r="EV102" i="13"/>
  <c r="EV103" i="13"/>
  <c r="EV104" i="13"/>
  <c r="EF65" i="13"/>
  <c r="EF66" i="13"/>
  <c r="EF67" i="13"/>
  <c r="EF68" i="13"/>
  <c r="EF69" i="13"/>
  <c r="EF73" i="13"/>
  <c r="EF74" i="13"/>
  <c r="EF75" i="13"/>
  <c r="EF76" i="13"/>
  <c r="EF85" i="13"/>
  <c r="EF86" i="13"/>
  <c r="EF88" i="13"/>
  <c r="EF93" i="13"/>
  <c r="EF94" i="13"/>
  <c r="EF95" i="13"/>
  <c r="EF96" i="13"/>
  <c r="EF102" i="13"/>
  <c r="EF103" i="13"/>
  <c r="EF104" i="13"/>
  <c r="EF64" i="13"/>
  <c r="DP65" i="13"/>
  <c r="DP66" i="13"/>
  <c r="DP67" i="13"/>
  <c r="DP68" i="13"/>
  <c r="DP69" i="13"/>
  <c r="DP73" i="13"/>
  <c r="DP74" i="13"/>
  <c r="DP75" i="13"/>
  <c r="DP76" i="13"/>
  <c r="DP85" i="13"/>
  <c r="DP86" i="13"/>
  <c r="DP88" i="13"/>
  <c r="DP93" i="13"/>
  <c r="DP94" i="13"/>
  <c r="DP95" i="13"/>
  <c r="DP96" i="13"/>
  <c r="DP102" i="13"/>
  <c r="DP103" i="13"/>
  <c r="DP104" i="13"/>
  <c r="DP64" i="13"/>
  <c r="CZ65" i="13"/>
  <c r="CZ66" i="13"/>
  <c r="CZ67" i="13"/>
  <c r="CZ68" i="13"/>
  <c r="CZ69" i="13"/>
  <c r="CZ73" i="13"/>
  <c r="CZ74" i="13"/>
  <c r="CZ75" i="13"/>
  <c r="CZ76" i="13"/>
  <c r="CZ85" i="13"/>
  <c r="CZ86" i="13"/>
  <c r="CZ88" i="13"/>
  <c r="CZ93" i="13"/>
  <c r="CZ94" i="13"/>
  <c r="CZ95" i="13"/>
  <c r="CZ96" i="13"/>
  <c r="CZ102" i="13"/>
  <c r="CZ103" i="13"/>
  <c r="CZ104" i="13"/>
  <c r="CZ64" i="13"/>
  <c r="CJ65" i="13"/>
  <c r="CJ66" i="13"/>
  <c r="CJ67" i="13"/>
  <c r="CJ68" i="13"/>
  <c r="CJ69" i="13"/>
  <c r="CJ73" i="13"/>
  <c r="CJ74" i="13"/>
  <c r="CJ75" i="13"/>
  <c r="CJ76" i="13"/>
  <c r="CJ85" i="13"/>
  <c r="CJ86" i="13"/>
  <c r="CJ88" i="13"/>
  <c r="CJ93" i="13"/>
  <c r="CJ94" i="13"/>
  <c r="CJ95" i="13"/>
  <c r="CJ96" i="13"/>
  <c r="CJ102" i="13"/>
  <c r="CJ103" i="13"/>
  <c r="CJ104" i="13"/>
  <c r="BT66" i="13"/>
  <c r="BT67" i="13"/>
  <c r="BT68" i="13"/>
  <c r="BT69" i="13"/>
  <c r="BT73" i="13"/>
  <c r="BT74" i="13"/>
  <c r="BT75" i="13"/>
  <c r="BT76" i="13"/>
  <c r="BT85" i="13"/>
  <c r="B85" i="13" s="1"/>
  <c r="BT86" i="13"/>
  <c r="B86" i="13" s="1"/>
  <c r="BT88" i="13"/>
  <c r="B88" i="13" s="1"/>
  <c r="BT93" i="13"/>
  <c r="B93" i="13" s="1"/>
  <c r="BT94" i="13"/>
  <c r="B94" i="13" s="1"/>
  <c r="BT95" i="13"/>
  <c r="B95" i="13" s="1"/>
  <c r="BT96" i="13"/>
  <c r="B96" i="13" s="1"/>
  <c r="BT102" i="13"/>
  <c r="B102" i="13" s="1"/>
  <c r="BT103" i="13"/>
  <c r="B103" i="13" s="1"/>
  <c r="BT104" i="13"/>
  <c r="B104" i="13" s="1"/>
  <c r="BT64" i="13"/>
  <c r="B67" i="13" l="1"/>
  <c r="B74" i="13"/>
  <c r="W64" i="9"/>
  <c r="W75" i="9"/>
  <c r="W95" i="9"/>
  <c r="W67" i="9"/>
  <c r="W65" i="9"/>
  <c r="W74" i="9"/>
  <c r="W94" i="9"/>
  <c r="W103" i="9"/>
  <c r="W86" i="9"/>
  <c r="W76" i="9"/>
  <c r="W69" i="9"/>
  <c r="W88" i="9"/>
  <c r="W66" i="9"/>
  <c r="W85" i="9"/>
  <c r="W73" i="9"/>
  <c r="W68" i="9"/>
  <c r="W104" i="9"/>
  <c r="W84" i="9"/>
  <c r="W102" i="9"/>
  <c r="W96" i="9"/>
  <c r="W93" i="9"/>
  <c r="X5" i="9"/>
  <c r="W6" i="9"/>
  <c r="W9" i="9" s="1"/>
  <c r="BY13" i="13"/>
  <c r="CO13" i="13"/>
  <c r="DE13" i="13"/>
  <c r="DU13" i="13"/>
  <c r="EK13" i="13"/>
  <c r="FA13" i="13"/>
  <c r="FQ13" i="13"/>
  <c r="GG13" i="13"/>
  <c r="GW13" i="13"/>
  <c r="HM13" i="13"/>
  <c r="IC13" i="13"/>
  <c r="IS13" i="13"/>
  <c r="JI13" i="13"/>
  <c r="JY13" i="13"/>
  <c r="KO13" i="13"/>
  <c r="LE13" i="13"/>
  <c r="LU13" i="13"/>
  <c r="MK13" i="13"/>
  <c r="NA13" i="13"/>
  <c r="NQ13" i="13"/>
  <c r="OG13" i="13"/>
  <c r="J114" i="13"/>
  <c r="BI11" i="13"/>
  <c r="E45" i="5"/>
  <c r="B114" i="11" s="1"/>
  <c r="E44" i="5"/>
  <c r="B113" i="11" s="1"/>
  <c r="E43" i="5"/>
  <c r="B112" i="11" s="1"/>
  <c r="E42" i="5"/>
  <c r="B111" i="11" s="1"/>
  <c r="E41" i="5"/>
  <c r="B110" i="11" s="1"/>
  <c r="E40" i="5"/>
  <c r="B109" i="11" s="1"/>
  <c r="B97" i="11"/>
  <c r="B97" i="12" s="1"/>
  <c r="B98" i="12" s="1"/>
  <c r="B87" i="11"/>
  <c r="B87" i="12" s="1"/>
  <c r="B77" i="11"/>
  <c r="B77" i="12" s="1"/>
  <c r="B78" i="12" s="1"/>
  <c r="B69" i="13" l="1"/>
  <c r="B76" i="13"/>
  <c r="B68" i="13"/>
  <c r="B66" i="13"/>
  <c r="B73" i="13"/>
  <c r="B64" i="13"/>
  <c r="B65" i="13"/>
  <c r="B75" i="13"/>
  <c r="B111" i="12"/>
  <c r="B109" i="12"/>
  <c r="B110" i="12" s="1"/>
  <c r="X75" i="9"/>
  <c r="X95" i="9"/>
  <c r="X74" i="9"/>
  <c r="X94" i="9"/>
  <c r="X64" i="9"/>
  <c r="X103" i="9"/>
  <c r="X73" i="9"/>
  <c r="X69" i="9"/>
  <c r="X65" i="9"/>
  <c r="X102" i="9"/>
  <c r="X88" i="9"/>
  <c r="X68" i="9"/>
  <c r="X84" i="9"/>
  <c r="X86" i="9"/>
  <c r="X66" i="9"/>
  <c r="X76" i="9"/>
  <c r="X96" i="9"/>
  <c r="X93" i="9"/>
  <c r="X85" i="9"/>
  <c r="X67" i="9"/>
  <c r="X104" i="9"/>
  <c r="B90" i="12"/>
  <c r="B112" i="12" s="1"/>
  <c r="FR5" i="13"/>
  <c r="X6" i="9"/>
  <c r="X9" i="9" s="1"/>
  <c r="FS9" i="13"/>
  <c r="FT10" i="13" s="1"/>
  <c r="B117" i="11"/>
  <c r="B110" i="13"/>
  <c r="B111" i="13" s="1"/>
  <c r="OG11" i="17"/>
  <c r="NQ11" i="17"/>
  <c r="NA11" i="17"/>
  <c r="MK11" i="17"/>
  <c r="LU11" i="17"/>
  <c r="LE11" i="17"/>
  <c r="KO11" i="17"/>
  <c r="JY11" i="17"/>
  <c r="JI11" i="17"/>
  <c r="IS11" i="17"/>
  <c r="IC11" i="17"/>
  <c r="HM11" i="17"/>
  <c r="GW11" i="17"/>
  <c r="GG11" i="17"/>
  <c r="FQ11" i="17"/>
  <c r="FA11" i="17"/>
  <c r="EK11" i="17"/>
  <c r="DU11" i="17"/>
  <c r="DE11" i="17"/>
  <c r="CO11" i="17"/>
  <c r="BY11" i="17"/>
  <c r="BI11" i="17"/>
  <c r="OH9" i="17"/>
  <c r="OI10" i="17" s="1"/>
  <c r="NR9" i="17"/>
  <c r="NS10" i="17" s="1"/>
  <c r="NB9" i="17"/>
  <c r="NC10" i="17" s="1"/>
  <c r="ML9" i="17"/>
  <c r="MM10" i="17" s="1"/>
  <c r="LV9" i="17"/>
  <c r="LW10" i="17" s="1"/>
  <c r="LF9" i="17"/>
  <c r="LG10" i="17" s="1"/>
  <c r="KP9" i="17"/>
  <c r="KQ10" i="17" s="1"/>
  <c r="JZ9" i="17"/>
  <c r="KA10" i="17" s="1"/>
  <c r="JJ9" i="17"/>
  <c r="JK10" i="17" s="1"/>
  <c r="IT9" i="17"/>
  <c r="IU10" i="17" s="1"/>
  <c r="ID9" i="17"/>
  <c r="IE10" i="17" s="1"/>
  <c r="HN9" i="17"/>
  <c r="HO10" i="17" s="1"/>
  <c r="GX9" i="17"/>
  <c r="GY10" i="17" s="1"/>
  <c r="GH9" i="17"/>
  <c r="GI10" i="17" s="1"/>
  <c r="FR9" i="17"/>
  <c r="FS10" i="17" s="1"/>
  <c r="FB9" i="17"/>
  <c r="FC10" i="17" s="1"/>
  <c r="EL9" i="17"/>
  <c r="EM10" i="17" s="1"/>
  <c r="DV9" i="17"/>
  <c r="DW10" i="17" s="1"/>
  <c r="DF9" i="17"/>
  <c r="DG10" i="17" s="1"/>
  <c r="CP9" i="17"/>
  <c r="CQ10" i="17" s="1"/>
  <c r="BZ9" i="17"/>
  <c r="CA10" i="17" s="1"/>
  <c r="BJ9" i="17"/>
  <c r="BK10" i="17" s="1"/>
  <c r="OI7" i="17"/>
  <c r="OH7" i="17"/>
  <c r="OH8" i="17" s="1"/>
  <c r="NR7" i="17"/>
  <c r="NR8" i="17" s="1"/>
  <c r="NB7" i="17"/>
  <c r="NB8" i="17" s="1"/>
  <c r="LV7" i="17"/>
  <c r="LV8" i="17" s="1"/>
  <c r="LF7" i="17"/>
  <c r="LF8" i="17" s="1"/>
  <c r="KP7" i="17"/>
  <c r="KP8" i="17" s="1"/>
  <c r="KB7" i="17"/>
  <c r="KA7" i="17"/>
  <c r="JZ7" i="17"/>
  <c r="JZ8" i="17" s="1"/>
  <c r="JL7" i="17"/>
  <c r="JK7" i="17"/>
  <c r="JJ7" i="17"/>
  <c r="JJ8" i="17" s="1"/>
  <c r="IU7" i="17"/>
  <c r="IT7" i="17"/>
  <c r="IT8" i="17" s="1"/>
  <c r="IE7" i="17"/>
  <c r="ID7" i="17"/>
  <c r="ID8" i="17" s="1"/>
  <c r="HN7" i="17"/>
  <c r="HN8" i="17" s="1"/>
  <c r="GX7" i="17"/>
  <c r="GX8" i="17" s="1"/>
  <c r="FR7" i="17"/>
  <c r="FR8" i="17" s="1"/>
  <c r="CP6" i="17"/>
  <c r="BI5" i="17"/>
  <c r="OI9" i="17"/>
  <c r="OJ10" i="17" s="1"/>
  <c r="NR4" i="17"/>
  <c r="NB4" i="17"/>
  <c r="ML4" i="17"/>
  <c r="LV4" i="17"/>
  <c r="LF4" i="17"/>
  <c r="KP4" i="17"/>
  <c r="JZ4" i="17"/>
  <c r="JJ4" i="17"/>
  <c r="IT4" i="17"/>
  <c r="ID4" i="17"/>
  <c r="HN4" i="17"/>
  <c r="GX4" i="17"/>
  <c r="GH4" i="17"/>
  <c r="FR4" i="17"/>
  <c r="FB4" i="17"/>
  <c r="EL4" i="17"/>
  <c r="DV4" i="17"/>
  <c r="DF4" i="17"/>
  <c r="CP4" i="17"/>
  <c r="BZ4" i="17"/>
  <c r="BJ4" i="17"/>
  <c r="OG11" i="16"/>
  <c r="NQ11" i="16"/>
  <c r="NA11" i="16"/>
  <c r="MK11" i="16"/>
  <c r="LU11" i="16"/>
  <c r="LE11" i="16"/>
  <c r="KO11" i="16"/>
  <c r="JY11" i="16"/>
  <c r="JI11" i="16"/>
  <c r="IS11" i="16"/>
  <c r="IC11" i="16"/>
  <c r="HM11" i="16"/>
  <c r="GW11" i="16"/>
  <c r="GG11" i="16"/>
  <c r="FQ11" i="16"/>
  <c r="FA11" i="16"/>
  <c r="EK11" i="16"/>
  <c r="DU11" i="16"/>
  <c r="DE11" i="16"/>
  <c r="CO11" i="16"/>
  <c r="BY11" i="16"/>
  <c r="BI11" i="16"/>
  <c r="OH9" i="16"/>
  <c r="OI10" i="16" s="1"/>
  <c r="NR9" i="16"/>
  <c r="NS10" i="16" s="1"/>
  <c r="NB9" i="16"/>
  <c r="NC10" i="16" s="1"/>
  <c r="ML9" i="16"/>
  <c r="MM10" i="16" s="1"/>
  <c r="LV9" i="16"/>
  <c r="LW10" i="16" s="1"/>
  <c r="LF9" i="16"/>
  <c r="LG10" i="16" s="1"/>
  <c r="KP9" i="16"/>
  <c r="KQ10" i="16" s="1"/>
  <c r="JZ9" i="16"/>
  <c r="KA10" i="16" s="1"/>
  <c r="JJ9" i="16"/>
  <c r="JK10" i="16" s="1"/>
  <c r="IT9" i="16"/>
  <c r="IU10" i="16" s="1"/>
  <c r="ID9" i="16"/>
  <c r="IE10" i="16" s="1"/>
  <c r="HN9" i="16"/>
  <c r="HO10" i="16" s="1"/>
  <c r="GX9" i="16"/>
  <c r="GY10" i="16" s="1"/>
  <c r="GH9" i="16"/>
  <c r="GI10" i="16" s="1"/>
  <c r="FR9" i="16"/>
  <c r="FS10" i="16" s="1"/>
  <c r="FB9" i="16"/>
  <c r="FC10" i="16" s="1"/>
  <c r="EL9" i="16"/>
  <c r="EM10" i="16" s="1"/>
  <c r="DV9" i="16"/>
  <c r="DW10" i="16" s="1"/>
  <c r="DF9" i="16"/>
  <c r="DG10" i="16" s="1"/>
  <c r="CP9" i="16"/>
  <c r="CQ10" i="16" s="1"/>
  <c r="BZ9" i="16"/>
  <c r="CA10" i="16" s="1"/>
  <c r="BJ9" i="16"/>
  <c r="BK10" i="16" s="1"/>
  <c r="OH7" i="16"/>
  <c r="OH8" i="16" s="1"/>
  <c r="NR7" i="16"/>
  <c r="NR8" i="16" s="1"/>
  <c r="NB7" i="16"/>
  <c r="NB8" i="16" s="1"/>
  <c r="LV7" i="16"/>
  <c r="LV8" i="16" s="1"/>
  <c r="LF7" i="16"/>
  <c r="LF8" i="16" s="1"/>
  <c r="KP7" i="16"/>
  <c r="KP8" i="16" s="1"/>
  <c r="KB7" i="16"/>
  <c r="KA7" i="16"/>
  <c r="JZ7" i="16"/>
  <c r="JZ8" i="16" s="1"/>
  <c r="JL7" i="16"/>
  <c r="JK7" i="16"/>
  <c r="JJ7" i="16"/>
  <c r="JJ8" i="16" s="1"/>
  <c r="IU7" i="16"/>
  <c r="IT7" i="16"/>
  <c r="IT8" i="16" s="1"/>
  <c r="IE7" i="16"/>
  <c r="ID7" i="16"/>
  <c r="ID8" i="16" s="1"/>
  <c r="HN7" i="16"/>
  <c r="HN8" i="16" s="1"/>
  <c r="GX7" i="16"/>
  <c r="GX8" i="16" s="1"/>
  <c r="DV7" i="16"/>
  <c r="DV8" i="16" s="1"/>
  <c r="DF7" i="16"/>
  <c r="DF8" i="16" s="1"/>
  <c r="EL7" i="16"/>
  <c r="EL8" i="16" s="1"/>
  <c r="CP6" i="16"/>
  <c r="BI5" i="16"/>
  <c r="BJ6" i="16" s="1"/>
  <c r="OH4" i="16"/>
  <c r="NR4" i="16"/>
  <c r="NB4" i="16"/>
  <c r="ML4" i="16"/>
  <c r="LV4" i="16"/>
  <c r="LF4" i="16"/>
  <c r="KP4" i="16"/>
  <c r="JZ4" i="16"/>
  <c r="JJ4" i="16"/>
  <c r="IT4" i="16"/>
  <c r="ID4" i="16"/>
  <c r="HN4" i="16"/>
  <c r="GX4" i="16"/>
  <c r="GH4" i="16"/>
  <c r="FR4" i="16"/>
  <c r="FB4" i="16"/>
  <c r="EL4" i="16"/>
  <c r="DV4" i="16"/>
  <c r="DF4" i="16"/>
  <c r="CP4" i="16"/>
  <c r="BZ4" i="16"/>
  <c r="BJ4" i="16"/>
  <c r="OG11" i="15"/>
  <c r="NQ11" i="15"/>
  <c r="NA11" i="15"/>
  <c r="MK11" i="15"/>
  <c r="LU11" i="15"/>
  <c r="LE11" i="15"/>
  <c r="KO11" i="15"/>
  <c r="JY11" i="15"/>
  <c r="JI11" i="15"/>
  <c r="IS11" i="15"/>
  <c r="IC11" i="15"/>
  <c r="HM11" i="15"/>
  <c r="GW11" i="15"/>
  <c r="GG11" i="15"/>
  <c r="FQ11" i="15"/>
  <c r="FA11" i="15"/>
  <c r="EK11" i="15"/>
  <c r="DU11" i="15"/>
  <c r="DE11" i="15"/>
  <c r="CO11" i="15"/>
  <c r="BY11" i="15"/>
  <c r="BI11" i="15"/>
  <c r="OH9" i="15"/>
  <c r="OI10" i="15" s="1"/>
  <c r="NR9" i="15"/>
  <c r="NS10" i="15" s="1"/>
  <c r="NB9" i="15"/>
  <c r="NC10" i="15" s="1"/>
  <c r="ML9" i="15"/>
  <c r="MM10" i="15" s="1"/>
  <c r="LV9" i="15"/>
  <c r="LW10" i="15" s="1"/>
  <c r="LF9" i="15"/>
  <c r="LG10" i="15" s="1"/>
  <c r="KP9" i="15"/>
  <c r="KQ10" i="15" s="1"/>
  <c r="JZ9" i="15"/>
  <c r="KA10" i="15" s="1"/>
  <c r="JJ9" i="15"/>
  <c r="JK10" i="15" s="1"/>
  <c r="IT9" i="15"/>
  <c r="IU10" i="15" s="1"/>
  <c r="ID9" i="15"/>
  <c r="IE10" i="15" s="1"/>
  <c r="HN9" i="15"/>
  <c r="HO10" i="15" s="1"/>
  <c r="GX9" i="15"/>
  <c r="GY10" i="15" s="1"/>
  <c r="GH9" i="15"/>
  <c r="GI10" i="15" s="1"/>
  <c r="FR9" i="15"/>
  <c r="FS10" i="15" s="1"/>
  <c r="FB9" i="15"/>
  <c r="FC10" i="15" s="1"/>
  <c r="EL9" i="15"/>
  <c r="EM10" i="15" s="1"/>
  <c r="DV9" i="15"/>
  <c r="DW10" i="15" s="1"/>
  <c r="DF9" i="15"/>
  <c r="DG10" i="15" s="1"/>
  <c r="CP9" i="15"/>
  <c r="CQ10" i="15" s="1"/>
  <c r="BZ9" i="15"/>
  <c r="CA10" i="15" s="1"/>
  <c r="BJ9" i="15"/>
  <c r="BK10" i="15" s="1"/>
  <c r="OH7" i="15"/>
  <c r="OH8" i="15" s="1"/>
  <c r="NR7" i="15"/>
  <c r="NR8" i="15" s="1"/>
  <c r="NB7" i="15"/>
  <c r="NB8" i="15" s="1"/>
  <c r="LV7" i="15"/>
  <c r="LV8" i="15" s="1"/>
  <c r="LF7" i="15"/>
  <c r="LF8" i="15" s="1"/>
  <c r="KP7" i="15"/>
  <c r="KP8" i="15" s="1"/>
  <c r="KB7" i="15"/>
  <c r="KA7" i="15"/>
  <c r="JZ7" i="15"/>
  <c r="JZ8" i="15" s="1"/>
  <c r="JL7" i="15"/>
  <c r="JK7" i="15"/>
  <c r="JJ7" i="15"/>
  <c r="JJ8" i="15" s="1"/>
  <c r="IU7" i="15"/>
  <c r="IT7" i="15"/>
  <c r="IT8" i="15" s="1"/>
  <c r="IE7" i="15"/>
  <c r="ID7" i="15"/>
  <c r="ID8" i="15" s="1"/>
  <c r="HN7" i="15"/>
  <c r="HN8" i="15" s="1"/>
  <c r="GX7" i="15"/>
  <c r="GX8" i="15" s="1"/>
  <c r="CP6" i="15"/>
  <c r="CP13" i="15" s="1"/>
  <c r="BI5" i="15"/>
  <c r="BJ6" i="15" s="1"/>
  <c r="OH4" i="15"/>
  <c r="NR4" i="15"/>
  <c r="NB4" i="15"/>
  <c r="ML4" i="15"/>
  <c r="LV4" i="15"/>
  <c r="LF4" i="15"/>
  <c r="KP4" i="15"/>
  <c r="JZ4" i="15"/>
  <c r="JJ4" i="15"/>
  <c r="IT4" i="15"/>
  <c r="ID4" i="15"/>
  <c r="HN4" i="15"/>
  <c r="GX4" i="15"/>
  <c r="GH4" i="15"/>
  <c r="FR4" i="15"/>
  <c r="FB4" i="15"/>
  <c r="EL4" i="15"/>
  <c r="DV4" i="15"/>
  <c r="DF4" i="15"/>
  <c r="CP4" i="15"/>
  <c r="BZ4" i="15"/>
  <c r="BZ13" i="15" s="1"/>
  <c r="BJ4" i="15"/>
  <c r="FS4" i="13"/>
  <c r="CP6" i="13"/>
  <c r="BZ6" i="13"/>
  <c r="BI5" i="13"/>
  <c r="JY11" i="13"/>
  <c r="JZ9" i="13"/>
  <c r="KA10" i="13" s="1"/>
  <c r="JZ7" i="13"/>
  <c r="JZ8" i="13" s="1"/>
  <c r="JZ4" i="13"/>
  <c r="JI11" i="13"/>
  <c r="JJ9" i="13"/>
  <c r="JK10" i="13" s="1"/>
  <c r="JJ7" i="13"/>
  <c r="JJ8" i="13" s="1"/>
  <c r="JJ4" i="13"/>
  <c r="IS11" i="13"/>
  <c r="IC11" i="13"/>
  <c r="HM11" i="13"/>
  <c r="GW11" i="13"/>
  <c r="GG11" i="13"/>
  <c r="FQ11" i="13"/>
  <c r="FA11" i="13"/>
  <c r="EK11" i="13"/>
  <c r="DU11" i="13"/>
  <c r="DE11" i="13"/>
  <c r="CO11" i="13"/>
  <c r="BY11" i="13"/>
  <c r="GX7" i="13"/>
  <c r="GX8" i="13" s="1"/>
  <c r="GH4" i="13"/>
  <c r="OG11" i="13"/>
  <c r="NQ11" i="13"/>
  <c r="NA11" i="13"/>
  <c r="MK11" i="13"/>
  <c r="LU11" i="13"/>
  <c r="LE11" i="13"/>
  <c r="KO11" i="13"/>
  <c r="OH9" i="13"/>
  <c r="OI10" i="13" s="1"/>
  <c r="NR9" i="13"/>
  <c r="NS10" i="13" s="1"/>
  <c r="NB9" i="13"/>
  <c r="NC10" i="13" s="1"/>
  <c r="ML9" i="13"/>
  <c r="MM10" i="13" s="1"/>
  <c r="LV9" i="13"/>
  <c r="LW10" i="13" s="1"/>
  <c r="LF9" i="13"/>
  <c r="LG10" i="13" s="1"/>
  <c r="KP9" i="13"/>
  <c r="KQ10" i="13" s="1"/>
  <c r="IT9" i="13"/>
  <c r="IU10" i="13" s="1"/>
  <c r="ID9" i="13"/>
  <c r="IE10" i="13" s="1"/>
  <c r="HN9" i="13"/>
  <c r="HO10" i="13" s="1"/>
  <c r="GX9" i="13"/>
  <c r="GY10" i="13" s="1"/>
  <c r="GH9" i="13"/>
  <c r="GI10" i="13" s="1"/>
  <c r="FR9" i="13"/>
  <c r="FS10" i="13" s="1"/>
  <c r="FB9" i="13"/>
  <c r="FC10" i="13" s="1"/>
  <c r="EL9" i="13"/>
  <c r="EM10" i="13" s="1"/>
  <c r="DV9" i="13"/>
  <c r="DW10" i="13" s="1"/>
  <c r="DF9" i="13"/>
  <c r="DG10" i="13" s="1"/>
  <c r="CP9" i="13"/>
  <c r="CQ10" i="13" s="1"/>
  <c r="BZ9" i="13"/>
  <c r="CA10" i="13" s="1"/>
  <c r="BK10" i="13"/>
  <c r="OH7" i="13"/>
  <c r="OH8" i="13" s="1"/>
  <c r="NR7" i="13"/>
  <c r="NR8" i="13" s="1"/>
  <c r="NB7" i="13"/>
  <c r="NB8" i="13" s="1"/>
  <c r="LV7" i="13"/>
  <c r="LV8" i="13" s="1"/>
  <c r="LF7" i="13"/>
  <c r="LF8" i="13" s="1"/>
  <c r="KP7" i="13"/>
  <c r="KP8" i="13" s="1"/>
  <c r="IT7" i="13"/>
  <c r="IT8" i="13" s="1"/>
  <c r="ID7" i="13"/>
  <c r="ID8" i="13" s="1"/>
  <c r="HN7" i="13"/>
  <c r="HN8" i="13" s="1"/>
  <c r="OH4" i="13"/>
  <c r="NR4" i="13"/>
  <c r="NB4" i="13"/>
  <c r="ML4" i="13"/>
  <c r="LV4" i="13"/>
  <c r="LF4" i="13"/>
  <c r="KP4" i="13"/>
  <c r="IT4" i="13"/>
  <c r="ID4" i="13"/>
  <c r="HN4" i="13"/>
  <c r="GX4" i="13"/>
  <c r="FB4" i="13"/>
  <c r="EL4" i="13"/>
  <c r="DV4" i="13"/>
  <c r="DF4" i="13"/>
  <c r="BZ4" i="13"/>
  <c r="C84" i="15" l="1"/>
  <c r="C75" i="15"/>
  <c r="C103" i="15"/>
  <c r="C94" i="15"/>
  <c r="C68" i="15"/>
  <c r="C86" i="15"/>
  <c r="C73" i="15"/>
  <c r="C102" i="15"/>
  <c r="C93" i="15"/>
  <c r="C76" i="15"/>
  <c r="C96" i="15"/>
  <c r="C67" i="15"/>
  <c r="C88" i="15"/>
  <c r="C66" i="15"/>
  <c r="C95" i="15"/>
  <c r="C85" i="15"/>
  <c r="C104" i="15"/>
  <c r="C65" i="15"/>
  <c r="C69" i="15"/>
  <c r="C64" i="15"/>
  <c r="C74" i="15"/>
  <c r="C84" i="16"/>
  <c r="C67" i="16"/>
  <c r="C86" i="16"/>
  <c r="C93" i="16"/>
  <c r="C85" i="16"/>
  <c r="C73" i="16"/>
  <c r="C66" i="16"/>
  <c r="C76" i="16"/>
  <c r="C65" i="16"/>
  <c r="C69" i="16"/>
  <c r="C94" i="16"/>
  <c r="C68" i="16"/>
  <c r="C75" i="16"/>
  <c r="C88" i="16"/>
  <c r="C64" i="16"/>
  <c r="C96" i="16"/>
  <c r="C95" i="16"/>
  <c r="C74" i="16"/>
  <c r="CA4" i="13"/>
  <c r="BJ13" i="16"/>
  <c r="DV13" i="15"/>
  <c r="BZ13" i="13"/>
  <c r="JJ13" i="16"/>
  <c r="LF13" i="15"/>
  <c r="CP13" i="13"/>
  <c r="EL13" i="17"/>
  <c r="JJ13" i="17"/>
  <c r="GX13" i="13"/>
  <c r="NB13" i="13"/>
  <c r="DF13" i="13"/>
  <c r="AE8" i="9"/>
  <c r="ID13" i="15"/>
  <c r="NB13" i="15"/>
  <c r="ML13" i="15"/>
  <c r="BZ13" i="16"/>
  <c r="GX13" i="16"/>
  <c r="LV13" i="16"/>
  <c r="FR13" i="16"/>
  <c r="FB13" i="17"/>
  <c r="JZ13" i="17"/>
  <c r="ML13" i="17"/>
  <c r="LF13" i="13"/>
  <c r="ID13" i="17"/>
  <c r="LV13" i="13"/>
  <c r="JZ13" i="13"/>
  <c r="HN13" i="16"/>
  <c r="ML13" i="16"/>
  <c r="GH13" i="16"/>
  <c r="FR13" i="17"/>
  <c r="KP13" i="17"/>
  <c r="CP13" i="17"/>
  <c r="HN13" i="15"/>
  <c r="GH13" i="15"/>
  <c r="LF13" i="16"/>
  <c r="HN13" i="13"/>
  <c r="NR13" i="13"/>
  <c r="EL13" i="13"/>
  <c r="IT13" i="15"/>
  <c r="NR13" i="15"/>
  <c r="ID13" i="13"/>
  <c r="OH13" i="13"/>
  <c r="EL13" i="15"/>
  <c r="JJ13" i="15"/>
  <c r="OH13" i="15"/>
  <c r="DF13" i="16"/>
  <c r="ID13" i="16"/>
  <c r="NB13" i="16"/>
  <c r="LF13" i="17"/>
  <c r="DF13" i="17"/>
  <c r="KP13" i="13"/>
  <c r="KP13" i="15"/>
  <c r="EL13" i="16"/>
  <c r="OH13" i="16"/>
  <c r="HN13" i="17"/>
  <c r="JJ13" i="13"/>
  <c r="FB13" i="16"/>
  <c r="JZ13" i="16"/>
  <c r="NB13" i="17"/>
  <c r="GX13" i="15"/>
  <c r="LV13" i="15"/>
  <c r="KP13" i="16"/>
  <c r="IT13" i="17"/>
  <c r="NR13" i="17"/>
  <c r="IT13" i="13"/>
  <c r="JZ13" i="15"/>
  <c r="BJ13" i="15"/>
  <c r="DV13" i="16"/>
  <c r="IT13" i="16"/>
  <c r="NR13" i="16"/>
  <c r="GX13" i="17"/>
  <c r="LV13" i="17"/>
  <c r="DV13" i="17"/>
  <c r="B109" i="16"/>
  <c r="B112" i="16" s="1"/>
  <c r="B113" i="16" s="1"/>
  <c r="IT5" i="13"/>
  <c r="BZ5" i="15"/>
  <c r="GX5" i="15"/>
  <c r="FR5" i="16"/>
  <c r="GH5" i="13"/>
  <c r="HN5" i="15"/>
  <c r="BG8" i="9"/>
  <c r="BG5" i="9" s="1"/>
  <c r="GH5" i="16"/>
  <c r="EL5" i="17"/>
  <c r="EM6" i="17" s="1"/>
  <c r="ID5" i="15"/>
  <c r="GX5" i="16"/>
  <c r="JZ5" i="17"/>
  <c r="FS5" i="13"/>
  <c r="FT6" i="13" s="1"/>
  <c r="LV11" i="13"/>
  <c r="LV5" i="13"/>
  <c r="JZ5" i="13"/>
  <c r="DV5" i="15"/>
  <c r="IT5" i="15"/>
  <c r="CP5" i="16"/>
  <c r="HN5" i="16"/>
  <c r="EM9" i="15"/>
  <c r="EL11" i="15"/>
  <c r="EM4" i="15"/>
  <c r="EL5" i="15"/>
  <c r="EM6" i="15" s="1"/>
  <c r="JJ5" i="15"/>
  <c r="ID5" i="16"/>
  <c r="GH5" i="17"/>
  <c r="DF5" i="13"/>
  <c r="DG6" i="13" s="1"/>
  <c r="FB5" i="13"/>
  <c r="GX5" i="13"/>
  <c r="NB5" i="13"/>
  <c r="FB5" i="15"/>
  <c r="JZ5" i="15"/>
  <c r="IT5" i="16"/>
  <c r="CP5" i="13"/>
  <c r="DV5" i="13"/>
  <c r="DW6" i="13" s="1"/>
  <c r="LF5" i="13"/>
  <c r="LG6" i="13" s="1"/>
  <c r="EL5" i="13"/>
  <c r="EM6" i="13" s="1"/>
  <c r="ML5" i="13"/>
  <c r="HN5" i="13"/>
  <c r="NR5" i="13"/>
  <c r="FR5" i="15"/>
  <c r="EL5" i="16"/>
  <c r="JJ5" i="16"/>
  <c r="HN5" i="17"/>
  <c r="KP5" i="13"/>
  <c r="KQ6" i="13" s="1"/>
  <c r="BZ5" i="13"/>
  <c r="CA6" i="13" s="1"/>
  <c r="ID5" i="13"/>
  <c r="OH5" i="13"/>
  <c r="JK9" i="13"/>
  <c r="JL10" i="13" s="1"/>
  <c r="JJ5" i="13"/>
  <c r="GH5" i="15"/>
  <c r="FB5" i="16"/>
  <c r="JZ5" i="16"/>
  <c r="DF5" i="17"/>
  <c r="ID5" i="17"/>
  <c r="BU8" i="9"/>
  <c r="BU5" i="9" s="1"/>
  <c r="DF5" i="15"/>
  <c r="DG6" i="15" s="1"/>
  <c r="CP5" i="15"/>
  <c r="B109" i="17"/>
  <c r="B112" i="17" s="1"/>
  <c r="B113" i="17" s="1"/>
  <c r="B109" i="15"/>
  <c r="B112" i="15" s="1"/>
  <c r="B113" i="15" s="1"/>
  <c r="B109" i="13"/>
  <c r="B112" i="13" s="1"/>
  <c r="CQ9" i="17"/>
  <c r="CR10" i="17" s="1"/>
  <c r="CP5" i="17"/>
  <c r="LF5" i="17"/>
  <c r="GY9" i="17"/>
  <c r="GZ10" i="17" s="1"/>
  <c r="GX5" i="17"/>
  <c r="JK9" i="17"/>
  <c r="JL10" i="17" s="1"/>
  <c r="JJ5" i="17"/>
  <c r="LW9" i="17"/>
  <c r="LX10" i="17" s="1"/>
  <c r="LV5" i="17"/>
  <c r="NB5" i="17"/>
  <c r="DW9" i="17"/>
  <c r="DX10" i="17" s="1"/>
  <c r="DV5" i="17"/>
  <c r="IU9" i="17"/>
  <c r="IV10" i="17" s="1"/>
  <c r="IT5" i="17"/>
  <c r="NS9" i="17"/>
  <c r="NT10" i="17" s="1"/>
  <c r="NR5" i="17"/>
  <c r="FC9" i="17"/>
  <c r="FD10" i="17" s="1"/>
  <c r="FB5" i="17"/>
  <c r="BZ5" i="17"/>
  <c r="ML5" i="17"/>
  <c r="FS9" i="17"/>
  <c r="FT10" i="17" s="1"/>
  <c r="FR5" i="17"/>
  <c r="KQ9" i="17"/>
  <c r="KR10" i="17" s="1"/>
  <c r="KP5" i="17"/>
  <c r="LV5" i="16"/>
  <c r="KP5" i="16"/>
  <c r="KQ6" i="16" s="1"/>
  <c r="LF5" i="16"/>
  <c r="CA9" i="16"/>
  <c r="CB10" i="16" s="1"/>
  <c r="BZ5" i="16"/>
  <c r="CA6" i="16" s="1"/>
  <c r="ML5" i="16"/>
  <c r="MM6" i="16" s="1"/>
  <c r="DG9" i="16"/>
  <c r="DH10" i="16" s="1"/>
  <c r="DF5" i="16"/>
  <c r="DG6" i="16" s="1"/>
  <c r="NB5" i="16"/>
  <c r="NC6" i="16" s="1"/>
  <c r="DW9" i="16"/>
  <c r="DX10" i="16" s="1"/>
  <c r="DV5" i="16"/>
  <c r="NR5" i="16"/>
  <c r="OH11" i="16"/>
  <c r="OH5" i="16"/>
  <c r="NB5" i="15"/>
  <c r="NR5" i="15"/>
  <c r="OH5" i="15"/>
  <c r="KP5" i="15"/>
  <c r="LF5" i="15"/>
  <c r="LV5" i="15"/>
  <c r="ML5" i="15"/>
  <c r="MM6" i="15" s="1"/>
  <c r="CP7" i="16"/>
  <c r="CP8" i="16" s="1"/>
  <c r="CP13" i="16"/>
  <c r="GH7" i="17"/>
  <c r="GH8" i="17" s="1"/>
  <c r="GH13" i="17"/>
  <c r="BZ7" i="17"/>
  <c r="BZ8" i="17" s="1"/>
  <c r="BZ13" i="17"/>
  <c r="OI8" i="17"/>
  <c r="KA8" i="17"/>
  <c r="KB8" i="17" s="1"/>
  <c r="IU8" i="15"/>
  <c r="IE8" i="15"/>
  <c r="KA8" i="15"/>
  <c r="KB8" i="15" s="1"/>
  <c r="IE8" i="17"/>
  <c r="DV7" i="13"/>
  <c r="DV8" i="13" s="1"/>
  <c r="DV13" i="13"/>
  <c r="FB7" i="13"/>
  <c r="FB8" i="13" s="1"/>
  <c r="FB13" i="13"/>
  <c r="FR7" i="13"/>
  <c r="FR8" i="13" s="1"/>
  <c r="FR13" i="13"/>
  <c r="ML7" i="13"/>
  <c r="ML8" i="13" s="1"/>
  <c r="ML13" i="13"/>
  <c r="GH7" i="13"/>
  <c r="GH8" i="13" s="1"/>
  <c r="GH13" i="13"/>
  <c r="ID11" i="13"/>
  <c r="DW9" i="13"/>
  <c r="DX10" i="13" s="1"/>
  <c r="HN11" i="13"/>
  <c r="FT4" i="13"/>
  <c r="JK8" i="16"/>
  <c r="JL8" i="16" s="1"/>
  <c r="JK8" i="15"/>
  <c r="JL8" i="15" s="1"/>
  <c r="JK8" i="17"/>
  <c r="JL8" i="17" s="1"/>
  <c r="IE4" i="17"/>
  <c r="ID11" i="17"/>
  <c r="IE9" i="17"/>
  <c r="IF10" i="17" s="1"/>
  <c r="DG4" i="17"/>
  <c r="DF11" i="17"/>
  <c r="DG9" i="17"/>
  <c r="DH10" i="17" s="1"/>
  <c r="IU8" i="17"/>
  <c r="NC4" i="17"/>
  <c r="NB11" i="17"/>
  <c r="NC9" i="17"/>
  <c r="ND10" i="17" s="1"/>
  <c r="CQ4" i="17"/>
  <c r="CP11" i="17"/>
  <c r="HO4" i="17"/>
  <c r="HN11" i="17"/>
  <c r="MM4" i="17"/>
  <c r="ML11" i="17"/>
  <c r="BZ11" i="17"/>
  <c r="GX11" i="17"/>
  <c r="GY4" i="17"/>
  <c r="LV11" i="17"/>
  <c r="LW4" i="17"/>
  <c r="BK4" i="17"/>
  <c r="GI4" i="17"/>
  <c r="GH11" i="17"/>
  <c r="LG4" i="17"/>
  <c r="LF11" i="17"/>
  <c r="EL7" i="17"/>
  <c r="EL8" i="17" s="1"/>
  <c r="CA9" i="17"/>
  <c r="CB10" i="17" s="1"/>
  <c r="FS4" i="17"/>
  <c r="FR11" i="17"/>
  <c r="KQ4" i="17"/>
  <c r="KP11" i="17"/>
  <c r="DV7" i="17"/>
  <c r="DV8" i="17" s="1"/>
  <c r="FC4" i="17"/>
  <c r="FB11" i="17"/>
  <c r="KA4" i="17"/>
  <c r="JZ11" i="17"/>
  <c r="BJ6" i="17"/>
  <c r="DF7" i="17"/>
  <c r="DF8" i="17" s="1"/>
  <c r="EM4" i="17"/>
  <c r="EL11" i="17"/>
  <c r="JK4" i="17"/>
  <c r="JJ11" i="17"/>
  <c r="OI4" i="17"/>
  <c r="OH11" i="17"/>
  <c r="BJ5" i="17"/>
  <c r="BK6" i="17" s="1"/>
  <c r="BK13" i="17" s="1"/>
  <c r="CP7" i="17"/>
  <c r="CP8" i="17" s="1"/>
  <c r="ML7" i="17"/>
  <c r="ML8" i="17" s="1"/>
  <c r="BK9" i="17"/>
  <c r="BL10" i="17" s="1"/>
  <c r="GI9" i="17"/>
  <c r="GJ10" i="17" s="1"/>
  <c r="HO9" i="17"/>
  <c r="HP10" i="17" s="1"/>
  <c r="KA9" i="17"/>
  <c r="KB10" i="17" s="1"/>
  <c r="LG9" i="17"/>
  <c r="LH10" i="17" s="1"/>
  <c r="MM9" i="17"/>
  <c r="MN10" i="17" s="1"/>
  <c r="CA4" i="17"/>
  <c r="DW4" i="17"/>
  <c r="DV11" i="17"/>
  <c r="IU4" i="17"/>
  <c r="IT11" i="17"/>
  <c r="NS4" i="17"/>
  <c r="NR11" i="17"/>
  <c r="EM9" i="17"/>
  <c r="EN10" i="17" s="1"/>
  <c r="FR11" i="16"/>
  <c r="FS4" i="16"/>
  <c r="IE8" i="16"/>
  <c r="IU9" i="16"/>
  <c r="IV10" i="16" s="1"/>
  <c r="IT11" i="16"/>
  <c r="IU4" i="16"/>
  <c r="CP11" i="16"/>
  <c r="CQ9" i="16"/>
  <c r="CR10" i="16" s="1"/>
  <c r="CQ4" i="16"/>
  <c r="HN11" i="16"/>
  <c r="HO4" i="16"/>
  <c r="ML11" i="16"/>
  <c r="MM9" i="16"/>
  <c r="MN10" i="16" s="1"/>
  <c r="MM4" i="16"/>
  <c r="GH7" i="16"/>
  <c r="GH8" i="16" s="1"/>
  <c r="KA8" i="16"/>
  <c r="KB8" i="16" s="1"/>
  <c r="EM9" i="16"/>
  <c r="EN10" i="16" s="1"/>
  <c r="EM4" i="16"/>
  <c r="JK9" i="16"/>
  <c r="JL10" i="16" s="1"/>
  <c r="JK4" i="16"/>
  <c r="OI9" i="16"/>
  <c r="OJ10" i="16" s="1"/>
  <c r="OI4" i="16"/>
  <c r="IU8" i="16"/>
  <c r="JJ11" i="16"/>
  <c r="FR7" i="16"/>
  <c r="FR8" i="16" s="1"/>
  <c r="BJ11" i="16"/>
  <c r="BK9" i="16"/>
  <c r="BL10" i="16" s="1"/>
  <c r="BK4" i="16"/>
  <c r="GI9" i="16"/>
  <c r="GJ10" i="16" s="1"/>
  <c r="GH11" i="16"/>
  <c r="GI4" i="16"/>
  <c r="LF11" i="16"/>
  <c r="LG9" i="16"/>
  <c r="LH10" i="16" s="1"/>
  <c r="LG4" i="16"/>
  <c r="ML7" i="16"/>
  <c r="ML8" i="16" s="1"/>
  <c r="NR11" i="16"/>
  <c r="NS4" i="16"/>
  <c r="KQ9" i="16"/>
  <c r="KR10" i="16" s="1"/>
  <c r="KP11" i="16"/>
  <c r="KQ4" i="16"/>
  <c r="DF11" i="16"/>
  <c r="DG4" i="16"/>
  <c r="IE9" i="16"/>
  <c r="IF10" i="16" s="1"/>
  <c r="ID11" i="16"/>
  <c r="IE4" i="16"/>
  <c r="NB11" i="16"/>
  <c r="NC4" i="16"/>
  <c r="HO9" i="16"/>
  <c r="HP10" i="16" s="1"/>
  <c r="NC9" i="16"/>
  <c r="ND10" i="16" s="1"/>
  <c r="EL11" i="16"/>
  <c r="DV11" i="16"/>
  <c r="DW4" i="16"/>
  <c r="FC9" i="16"/>
  <c r="FD10" i="16" s="1"/>
  <c r="FB11" i="16"/>
  <c r="FC4" i="16"/>
  <c r="KA9" i="16"/>
  <c r="KB10" i="16" s="1"/>
  <c r="JZ11" i="16"/>
  <c r="KA4" i="16"/>
  <c r="BJ7" i="16"/>
  <c r="BJ8" i="16" s="1"/>
  <c r="CQ6" i="16"/>
  <c r="HO13" i="16"/>
  <c r="FS9" i="16"/>
  <c r="FT10" i="16" s="1"/>
  <c r="BZ11" i="16"/>
  <c r="CA4" i="16"/>
  <c r="GX11" i="16"/>
  <c r="GY9" i="16"/>
  <c r="GZ10" i="16" s="1"/>
  <c r="GY4" i="16"/>
  <c r="LV11" i="16"/>
  <c r="LW4" i="16"/>
  <c r="LW9" i="16"/>
  <c r="LX10" i="16" s="1"/>
  <c r="NS9" i="16"/>
  <c r="NT10" i="16" s="1"/>
  <c r="BZ7" i="16"/>
  <c r="BZ8" i="16" s="1"/>
  <c r="BJ5" i="16"/>
  <c r="BK6" i="16" s="1"/>
  <c r="BJ11" i="15"/>
  <c r="BK9" i="15"/>
  <c r="BL10" i="15" s="1"/>
  <c r="BK4" i="15"/>
  <c r="DV11" i="15"/>
  <c r="DW9" i="15"/>
  <c r="DX10" i="15" s="1"/>
  <c r="DW4" i="15"/>
  <c r="GH11" i="15"/>
  <c r="GI9" i="15"/>
  <c r="GJ10" i="15" s="1"/>
  <c r="GI4" i="15"/>
  <c r="IT11" i="15"/>
  <c r="IU9" i="15"/>
  <c r="IV10" i="15" s="1"/>
  <c r="IU4" i="15"/>
  <c r="LF11" i="15"/>
  <c r="LG9" i="15"/>
  <c r="LH10" i="15" s="1"/>
  <c r="LG4" i="15"/>
  <c r="NR11" i="15"/>
  <c r="NS9" i="15"/>
  <c r="NT10" i="15" s="1"/>
  <c r="NS4" i="15"/>
  <c r="BZ11" i="15"/>
  <c r="CA9" i="15"/>
  <c r="CB10" i="15" s="1"/>
  <c r="CA4" i="15"/>
  <c r="EN10" i="15"/>
  <c r="GX11" i="15"/>
  <c r="GY9" i="15"/>
  <c r="GZ10" i="15" s="1"/>
  <c r="GY4" i="15"/>
  <c r="JJ11" i="15"/>
  <c r="JK9" i="15"/>
  <c r="JL10" i="15" s="1"/>
  <c r="JK4" i="15"/>
  <c r="LV11" i="15"/>
  <c r="LW9" i="15"/>
  <c r="LX10" i="15" s="1"/>
  <c r="LW4" i="15"/>
  <c r="OH11" i="15"/>
  <c r="OI9" i="15"/>
  <c r="OJ10" i="15" s="1"/>
  <c r="OI4" i="15"/>
  <c r="CP11" i="15"/>
  <c r="CQ6" i="15"/>
  <c r="CQ9" i="15"/>
  <c r="CR10" i="15" s="1"/>
  <c r="CQ4" i="15"/>
  <c r="FC4" i="15"/>
  <c r="FC9" i="15"/>
  <c r="FD10" i="15" s="1"/>
  <c r="HN11" i="15"/>
  <c r="HO9" i="15"/>
  <c r="HP10" i="15" s="1"/>
  <c r="HO4" i="15"/>
  <c r="KA9" i="15"/>
  <c r="KB10" i="15" s="1"/>
  <c r="KA4" i="15"/>
  <c r="JZ11" i="15"/>
  <c r="ML11" i="15"/>
  <c r="MM9" i="15"/>
  <c r="MN10" i="15" s="1"/>
  <c r="MM4" i="15"/>
  <c r="FB13" i="15"/>
  <c r="CA6" i="15"/>
  <c r="DG4" i="15"/>
  <c r="DG9" i="15"/>
  <c r="DH10" i="15" s="1"/>
  <c r="FS9" i="15"/>
  <c r="FT10" i="15" s="1"/>
  <c r="FS4" i="15"/>
  <c r="ID11" i="15"/>
  <c r="IE9" i="15"/>
  <c r="IF10" i="15" s="1"/>
  <c r="IE4" i="15"/>
  <c r="KQ9" i="15"/>
  <c r="KR10" i="15" s="1"/>
  <c r="KP11" i="15"/>
  <c r="KQ4" i="15"/>
  <c r="NB11" i="15"/>
  <c r="NC9" i="15"/>
  <c r="ND10" i="15" s="1"/>
  <c r="NC4" i="15"/>
  <c r="DV7" i="15"/>
  <c r="DV8" i="15" s="1"/>
  <c r="DF13" i="15"/>
  <c r="FR13" i="15"/>
  <c r="BJ5" i="15"/>
  <c r="BJ7" i="15"/>
  <c r="BJ8" i="15" s="1"/>
  <c r="BZ7" i="15"/>
  <c r="BZ8" i="15" s="1"/>
  <c r="CP7" i="15"/>
  <c r="CP8" i="15" s="1"/>
  <c r="GH7" i="15"/>
  <c r="GH8" i="15" s="1"/>
  <c r="ML7" i="15"/>
  <c r="ML8" i="15" s="1"/>
  <c r="BJ6" i="13"/>
  <c r="EL11" i="13"/>
  <c r="GH11" i="13"/>
  <c r="BJ5" i="13"/>
  <c r="BJ22" i="13" s="1"/>
  <c r="BZ11" i="13"/>
  <c r="GX11" i="13"/>
  <c r="DF11" i="13"/>
  <c r="IT11" i="13"/>
  <c r="JZ11" i="13"/>
  <c r="KA4" i="13"/>
  <c r="KA9" i="13"/>
  <c r="KB10" i="13" s="1"/>
  <c r="JK7" i="13"/>
  <c r="JK8" i="13" s="1"/>
  <c r="JK4" i="13"/>
  <c r="JJ11" i="13"/>
  <c r="DV11" i="13"/>
  <c r="FR11" i="13"/>
  <c r="CP11" i="13"/>
  <c r="FB11" i="13"/>
  <c r="IE7" i="13"/>
  <c r="IE8" i="13" s="1"/>
  <c r="IU7" i="13"/>
  <c r="IU8" i="13" s="1"/>
  <c r="KQ9" i="13"/>
  <c r="KR10" i="13" s="1"/>
  <c r="LG4" i="13"/>
  <c r="LG9" i="13"/>
  <c r="LH10" i="13" s="1"/>
  <c r="LF11" i="13"/>
  <c r="NR11" i="13"/>
  <c r="EL7" i="13"/>
  <c r="EL8" i="13" s="1"/>
  <c r="MM9" i="13"/>
  <c r="MN10" i="13" s="1"/>
  <c r="IU9" i="13"/>
  <c r="IV10" i="13" s="1"/>
  <c r="LW4" i="13"/>
  <c r="MM4" i="13"/>
  <c r="LW9" i="13"/>
  <c r="LX10" i="13" s="1"/>
  <c r="CA9" i="13"/>
  <c r="CB10" i="13" s="1"/>
  <c r="DW4" i="13"/>
  <c r="NS9" i="13"/>
  <c r="NT10" i="13" s="1"/>
  <c r="BZ7" i="13"/>
  <c r="BZ8" i="13" s="1"/>
  <c r="BL9" i="13"/>
  <c r="BM10" i="13" s="1"/>
  <c r="FC9" i="13"/>
  <c r="FD10" i="13" s="1"/>
  <c r="GY9" i="13"/>
  <c r="GZ10" i="13" s="1"/>
  <c r="BK9" i="13"/>
  <c r="BL10" i="13" s="1"/>
  <c r="NC9" i="13"/>
  <c r="ND10" i="13" s="1"/>
  <c r="OH11" i="13"/>
  <c r="OI9" i="13"/>
  <c r="OJ10" i="13" s="1"/>
  <c r="NC4" i="13"/>
  <c r="OI4" i="13"/>
  <c r="EM4" i="13"/>
  <c r="DG4" i="13"/>
  <c r="HO4" i="13"/>
  <c r="HO9" i="13"/>
  <c r="HP10" i="13" s="1"/>
  <c r="NB11" i="13"/>
  <c r="GI9" i="13"/>
  <c r="GJ10" i="13" s="1"/>
  <c r="EM9" i="13"/>
  <c r="EN10" i="13" s="1"/>
  <c r="FC4" i="13"/>
  <c r="GI4" i="13"/>
  <c r="IE9" i="13"/>
  <c r="IF10" i="13" s="1"/>
  <c r="IE4" i="13"/>
  <c r="DF7" i="13"/>
  <c r="DF8" i="13" s="1"/>
  <c r="DG9" i="13"/>
  <c r="DH10" i="13" s="1"/>
  <c r="ML11" i="13"/>
  <c r="KQ4" i="13"/>
  <c r="CP7" i="13"/>
  <c r="CP8" i="13" s="1"/>
  <c r="CQ4" i="13"/>
  <c r="CR4" i="13" s="1"/>
  <c r="NS4" i="13"/>
  <c r="IU4" i="13"/>
  <c r="CQ9" i="13"/>
  <c r="CR10" i="13" s="1"/>
  <c r="KP11" i="13"/>
  <c r="BJ102" i="13" l="1"/>
  <c r="BJ84" i="13"/>
  <c r="BJ96" i="13"/>
  <c r="BJ76" i="13"/>
  <c r="BJ95" i="13"/>
  <c r="BJ75" i="13"/>
  <c r="BJ94" i="13"/>
  <c r="BJ74" i="13"/>
  <c r="BJ103" i="13"/>
  <c r="BJ93" i="13"/>
  <c r="BJ73" i="13"/>
  <c r="BJ88" i="13"/>
  <c r="BJ104" i="13"/>
  <c r="BJ86" i="13"/>
  <c r="BJ85" i="13"/>
  <c r="CQ6" i="13"/>
  <c r="CP22" i="13"/>
  <c r="BJ66" i="13"/>
  <c r="BJ64" i="13"/>
  <c r="BJ69" i="13"/>
  <c r="BJ68" i="13"/>
  <c r="BJ65" i="13"/>
  <c r="BJ67" i="13"/>
  <c r="C68" i="17"/>
  <c r="C73" i="17"/>
  <c r="C74" i="17"/>
  <c r="C88" i="17"/>
  <c r="C94" i="17"/>
  <c r="C75" i="17"/>
  <c r="C66" i="17"/>
  <c r="C67" i="17"/>
  <c r="C86" i="17"/>
  <c r="C93" i="17"/>
  <c r="C64" i="17"/>
  <c r="C95" i="17"/>
  <c r="C69" i="17"/>
  <c r="C84" i="17"/>
  <c r="C104" i="17"/>
  <c r="C65" i="17"/>
  <c r="C76" i="17"/>
  <c r="C85" i="17"/>
  <c r="C102" i="17"/>
  <c r="C96" i="17"/>
  <c r="C103" i="17"/>
  <c r="D84" i="15"/>
  <c r="D103" i="15"/>
  <c r="D75" i="15"/>
  <c r="D94" i="15"/>
  <c r="D86" i="15"/>
  <c r="D68" i="15"/>
  <c r="D102" i="15"/>
  <c r="D93" i="15"/>
  <c r="D73" i="15"/>
  <c r="D76" i="15"/>
  <c r="D88" i="15"/>
  <c r="D96" i="15"/>
  <c r="D67" i="15"/>
  <c r="D85" i="15"/>
  <c r="D66" i="15"/>
  <c r="D104" i="15"/>
  <c r="D95" i="15"/>
  <c r="D65" i="15"/>
  <c r="D69" i="15"/>
  <c r="D64" i="15"/>
  <c r="D74" i="15"/>
  <c r="D84" i="16"/>
  <c r="D67" i="16"/>
  <c r="D86" i="16"/>
  <c r="D93" i="16"/>
  <c r="D66" i="16"/>
  <c r="D85" i="16"/>
  <c r="D73" i="16"/>
  <c r="D65" i="16"/>
  <c r="D94" i="16"/>
  <c r="D69" i="16"/>
  <c r="D76" i="16"/>
  <c r="D88" i="16"/>
  <c r="D75" i="16"/>
  <c r="D68" i="16"/>
  <c r="D64" i="16"/>
  <c r="D96" i="16"/>
  <c r="D95" i="16"/>
  <c r="D74" i="16"/>
  <c r="CQ13" i="13"/>
  <c r="GY13" i="16"/>
  <c r="GI13" i="13"/>
  <c r="HO13" i="17"/>
  <c r="HO13" i="15"/>
  <c r="DG13" i="15"/>
  <c r="DG13" i="16"/>
  <c r="CA13" i="16"/>
  <c r="C110" i="16"/>
  <c r="B114" i="16" s="1"/>
  <c r="IU13" i="15"/>
  <c r="IE13" i="16"/>
  <c r="JK13" i="16"/>
  <c r="JK13" i="17"/>
  <c r="FC13" i="17"/>
  <c r="IU13" i="13"/>
  <c r="IU13" i="16"/>
  <c r="IE13" i="13"/>
  <c r="JK13" i="15"/>
  <c r="IU13" i="17"/>
  <c r="IE13" i="17"/>
  <c r="GY13" i="17"/>
  <c r="JK13" i="13"/>
  <c r="BU67" i="9"/>
  <c r="BU85" i="9"/>
  <c r="BU75" i="9"/>
  <c r="BU104" i="9"/>
  <c r="BU64" i="9"/>
  <c r="BU68" i="9"/>
  <c r="BU103" i="9"/>
  <c r="BU95" i="9"/>
  <c r="BU66" i="9"/>
  <c r="BU65" i="9"/>
  <c r="BU76" i="9"/>
  <c r="BU96" i="9"/>
  <c r="BU69" i="9"/>
  <c r="BU102" i="9"/>
  <c r="BU84" i="9"/>
  <c r="BU74" i="9"/>
  <c r="BU86" i="9"/>
  <c r="BU73" i="9"/>
  <c r="BU93" i="9"/>
  <c r="BU94" i="9"/>
  <c r="BU88" i="9"/>
  <c r="KA13" i="16"/>
  <c r="KA13" i="15"/>
  <c r="FC13" i="15"/>
  <c r="BK13" i="16"/>
  <c r="AF8" i="9"/>
  <c r="KA13" i="13"/>
  <c r="DW13" i="13"/>
  <c r="CA13" i="15"/>
  <c r="FC13" i="16"/>
  <c r="FS13" i="17"/>
  <c r="IE13" i="15"/>
  <c r="OI13" i="17"/>
  <c r="KA13" i="17"/>
  <c r="BG76" i="9"/>
  <c r="BG102" i="9"/>
  <c r="BG93" i="9"/>
  <c r="BG104" i="9"/>
  <c r="BG68" i="9"/>
  <c r="BG65" i="9"/>
  <c r="BG84" i="9"/>
  <c r="BG74" i="9"/>
  <c r="BG75" i="9"/>
  <c r="BG86" i="9"/>
  <c r="BG64" i="9"/>
  <c r="BG88" i="9"/>
  <c r="BG66" i="9"/>
  <c r="BG67" i="9"/>
  <c r="BG69" i="9"/>
  <c r="BG85" i="9"/>
  <c r="BG73" i="9"/>
  <c r="BG96" i="9"/>
  <c r="BG103" i="9"/>
  <c r="BG94" i="9"/>
  <c r="BG95" i="9"/>
  <c r="GY5" i="15"/>
  <c r="JK5" i="15"/>
  <c r="IU5" i="15"/>
  <c r="FS5" i="15"/>
  <c r="FT6" i="15" s="1"/>
  <c r="GY5" i="16"/>
  <c r="HO5" i="16"/>
  <c r="IE5" i="17"/>
  <c r="KQ13" i="13"/>
  <c r="KQ7" i="13"/>
  <c r="KQ8" i="13" s="1"/>
  <c r="FT5" i="13"/>
  <c r="GI5" i="15"/>
  <c r="KA5" i="16"/>
  <c r="EM5" i="16"/>
  <c r="EM5" i="17"/>
  <c r="NC5" i="13"/>
  <c r="KA5" i="15"/>
  <c r="C109" i="16"/>
  <c r="CQ5" i="16"/>
  <c r="GI5" i="17"/>
  <c r="NC6" i="13"/>
  <c r="GY5" i="13"/>
  <c r="FC5" i="13"/>
  <c r="FD6" i="13" s="1"/>
  <c r="DG5" i="13"/>
  <c r="DH6" i="13" s="1"/>
  <c r="GI5" i="13"/>
  <c r="NS5" i="13"/>
  <c r="NT6" i="13" s="1"/>
  <c r="BG6" i="9"/>
  <c r="BG9" i="9" s="1"/>
  <c r="FC5" i="15"/>
  <c r="FS5" i="16"/>
  <c r="HO5" i="15"/>
  <c r="DW5" i="15"/>
  <c r="FC5" i="16"/>
  <c r="GI5" i="16"/>
  <c r="HO5" i="17"/>
  <c r="NS6" i="13"/>
  <c r="NS11" i="13" s="1"/>
  <c r="HO5" i="13"/>
  <c r="MM5" i="13"/>
  <c r="MN6" i="13" s="1"/>
  <c r="MN9" i="13"/>
  <c r="MO10" i="13" s="1"/>
  <c r="IE5" i="15"/>
  <c r="CA5" i="15"/>
  <c r="IU5" i="16"/>
  <c r="KA5" i="17"/>
  <c r="DG5" i="17"/>
  <c r="DH6" i="17" s="1"/>
  <c r="JK5" i="13"/>
  <c r="MM6" i="13"/>
  <c r="MM13" i="13" s="1"/>
  <c r="EM5" i="13"/>
  <c r="EN6" i="13" s="1"/>
  <c r="LG5" i="13"/>
  <c r="KA5" i="13"/>
  <c r="LW5" i="13"/>
  <c r="IE5" i="16"/>
  <c r="OI5" i="13"/>
  <c r="OJ6" i="13" s="1"/>
  <c r="LG13" i="13"/>
  <c r="LG7" i="13"/>
  <c r="LG8" i="13" s="1"/>
  <c r="DW5" i="13"/>
  <c r="DX6" i="13" s="1"/>
  <c r="CQ5" i="13"/>
  <c r="CR6" i="13" s="1"/>
  <c r="LW6" i="13"/>
  <c r="LW11" i="13" s="1"/>
  <c r="IU5" i="13"/>
  <c r="IV6" i="13" s="1"/>
  <c r="BH8" i="9"/>
  <c r="BH5" i="9" s="1"/>
  <c r="JK5" i="16"/>
  <c r="OI6" i="13"/>
  <c r="IE5" i="13"/>
  <c r="CA5" i="13"/>
  <c r="CB6" i="13" s="1"/>
  <c r="KQ5" i="13"/>
  <c r="EM7" i="15"/>
  <c r="EM8" i="15" s="1"/>
  <c r="EM5" i="15"/>
  <c r="EN6" i="15" s="1"/>
  <c r="EN9" i="15"/>
  <c r="BV8" i="9"/>
  <c r="BV5" i="9" s="1"/>
  <c r="BU6" i="9"/>
  <c r="BU9" i="9" s="1"/>
  <c r="DG5" i="15"/>
  <c r="CQ5" i="15"/>
  <c r="C110" i="15"/>
  <c r="C111" i="15" s="1"/>
  <c r="MM5" i="17"/>
  <c r="MN6" i="17" s="1"/>
  <c r="MM6" i="17"/>
  <c r="MM13" i="17" s="1"/>
  <c r="CA5" i="17"/>
  <c r="CB6" i="17" s="1"/>
  <c r="NC5" i="17"/>
  <c r="ND6" i="17" s="1"/>
  <c r="LW5" i="17"/>
  <c r="LX6" i="17" s="1"/>
  <c r="NS5" i="17"/>
  <c r="NT6" i="17" s="1"/>
  <c r="BJ11" i="17"/>
  <c r="C109" i="17" s="1"/>
  <c r="BJ13" i="17"/>
  <c r="C110" i="17" s="1"/>
  <c r="NS6" i="17"/>
  <c r="NS11" i="17" s="1"/>
  <c r="LG5" i="17"/>
  <c r="CA6" i="17"/>
  <c r="LG6" i="17"/>
  <c r="LG11" i="17" s="1"/>
  <c r="NC6" i="17"/>
  <c r="NC11" i="17" s="1"/>
  <c r="KQ5" i="17"/>
  <c r="KR6" i="17" s="1"/>
  <c r="KQ6" i="17"/>
  <c r="IU5" i="17"/>
  <c r="LW6" i="17"/>
  <c r="CQ5" i="17"/>
  <c r="CR6" i="17" s="1"/>
  <c r="FS5" i="17"/>
  <c r="FC5" i="17"/>
  <c r="FD6" i="17" s="1"/>
  <c r="DW5" i="17"/>
  <c r="JK5" i="17"/>
  <c r="GY5" i="17"/>
  <c r="DW5" i="16"/>
  <c r="OI5" i="16"/>
  <c r="OJ6" i="16" s="1"/>
  <c r="KQ5" i="16"/>
  <c r="KR6" i="16" s="1"/>
  <c r="KR7" i="16" s="1"/>
  <c r="MM13" i="16"/>
  <c r="MM7" i="16"/>
  <c r="MM8" i="16" s="1"/>
  <c r="NC5" i="16"/>
  <c r="CA5" i="16"/>
  <c r="CB6" i="16" s="1"/>
  <c r="LW5" i="16"/>
  <c r="NS5" i="16"/>
  <c r="DG5" i="16"/>
  <c r="DH6" i="16" s="1"/>
  <c r="LW6" i="16"/>
  <c r="LW11" i="16" s="1"/>
  <c r="NC13" i="16"/>
  <c r="NC7" i="16"/>
  <c r="NC8" i="16" s="1"/>
  <c r="NS6" i="16"/>
  <c r="NS11" i="16" s="1"/>
  <c r="LG5" i="16"/>
  <c r="LH6" i="16" s="1"/>
  <c r="KQ13" i="16"/>
  <c r="KQ7" i="16"/>
  <c r="KQ8" i="16" s="1"/>
  <c r="DW13" i="16"/>
  <c r="OI6" i="16"/>
  <c r="MM5" i="16"/>
  <c r="LG6" i="16"/>
  <c r="LG11" i="16" s="1"/>
  <c r="KQ5" i="15"/>
  <c r="KR6" i="15" s="1"/>
  <c r="NS5" i="15"/>
  <c r="NT6" i="15" s="1"/>
  <c r="LW5" i="15"/>
  <c r="LX6" i="15" s="1"/>
  <c r="MM5" i="15"/>
  <c r="OI5" i="15"/>
  <c r="OJ6" i="15" s="1"/>
  <c r="NC5" i="15"/>
  <c r="LW6" i="15"/>
  <c r="LW11" i="15" s="1"/>
  <c r="LG5" i="15"/>
  <c r="LH6" i="15" s="1"/>
  <c r="OI6" i="15"/>
  <c r="OI11" i="15" s="1"/>
  <c r="NC6" i="15"/>
  <c r="KQ6" i="15"/>
  <c r="KQ11" i="15" s="1"/>
  <c r="LG6" i="15"/>
  <c r="NS6" i="15"/>
  <c r="CQ7" i="16"/>
  <c r="CQ8" i="16" s="1"/>
  <c r="CQ13" i="16"/>
  <c r="OI5" i="17"/>
  <c r="OJ6" i="17" s="1"/>
  <c r="MM7" i="15"/>
  <c r="MM8" i="15" s="1"/>
  <c r="MM13" i="15"/>
  <c r="CQ7" i="15"/>
  <c r="CQ8" i="15" s="1"/>
  <c r="CQ13" i="15"/>
  <c r="FD6" i="15"/>
  <c r="GY11" i="15"/>
  <c r="FD6" i="16"/>
  <c r="EN6" i="16"/>
  <c r="EM6" i="16"/>
  <c r="CA7" i="13"/>
  <c r="CA8" i="13" s="1"/>
  <c r="CA13" i="13"/>
  <c r="DG7" i="13"/>
  <c r="DG8" i="13" s="1"/>
  <c r="DG13" i="13"/>
  <c r="HO7" i="13"/>
  <c r="HO8" i="13" s="1"/>
  <c r="HO13" i="13"/>
  <c r="EM7" i="13"/>
  <c r="EM8" i="13" s="1"/>
  <c r="EM13" i="13"/>
  <c r="FC7" i="13"/>
  <c r="FC8" i="13" s="1"/>
  <c r="FC13" i="13"/>
  <c r="GY7" i="13"/>
  <c r="GY8" i="13" s="1"/>
  <c r="GY13" i="13"/>
  <c r="FS7" i="13"/>
  <c r="FS8" i="13" s="1"/>
  <c r="FS13" i="13"/>
  <c r="BJ7" i="13"/>
  <c r="BJ8" i="13" s="1"/>
  <c r="BJ13" i="13"/>
  <c r="C110" i="13" s="1"/>
  <c r="B113" i="13"/>
  <c r="BJ11" i="13"/>
  <c r="C109" i="13" s="1"/>
  <c r="NT9" i="17"/>
  <c r="NU10" i="17" s="1"/>
  <c r="NT4" i="17"/>
  <c r="DW6" i="17"/>
  <c r="DW13" i="17" s="1"/>
  <c r="MN9" i="17"/>
  <c r="MO10" i="17" s="1"/>
  <c r="MN4" i="17"/>
  <c r="ND9" i="17"/>
  <c r="NE10" i="17" s="1"/>
  <c r="ND4" i="17"/>
  <c r="DG6" i="17"/>
  <c r="IU11" i="17"/>
  <c r="IV9" i="17"/>
  <c r="IW10" i="17" s="1"/>
  <c r="IV4" i="17"/>
  <c r="DX9" i="17"/>
  <c r="DY10" i="17" s="1"/>
  <c r="DX4" i="17"/>
  <c r="CB9" i="17"/>
  <c r="CC10" i="17" s="1"/>
  <c r="CB4" i="17"/>
  <c r="EN4" i="17"/>
  <c r="EN9" i="17"/>
  <c r="EO10" i="17" s="1"/>
  <c r="LH9" i="17"/>
  <c r="LI10" i="17" s="1"/>
  <c r="LH4" i="17"/>
  <c r="HO7" i="17"/>
  <c r="HO8" i="17" s="1"/>
  <c r="JK11" i="17"/>
  <c r="JL4" i="17"/>
  <c r="JL9" i="17"/>
  <c r="JM10" i="17" s="1"/>
  <c r="DH9" i="17"/>
  <c r="DI10" i="17" s="1"/>
  <c r="DH4" i="17"/>
  <c r="LX9" i="17"/>
  <c r="LY10" i="17" s="1"/>
  <c r="LX4" i="17"/>
  <c r="KR4" i="17"/>
  <c r="KR9" i="17"/>
  <c r="KS10" i="17" s="1"/>
  <c r="BK11" i="17"/>
  <c r="BL9" i="17"/>
  <c r="BM10" i="17" s="1"/>
  <c r="BL4" i="17"/>
  <c r="IE11" i="17"/>
  <c r="IF9" i="17"/>
  <c r="IG10" i="17" s="1"/>
  <c r="IF4" i="17"/>
  <c r="BK5" i="17"/>
  <c r="BL6" i="17" s="1"/>
  <c r="KA11" i="17"/>
  <c r="KB9" i="17"/>
  <c r="KC10" i="17" s="1"/>
  <c r="KB4" i="17"/>
  <c r="CQ6" i="17"/>
  <c r="GJ9" i="17"/>
  <c r="GK10" i="17" s="1"/>
  <c r="GJ4" i="17"/>
  <c r="OI11" i="17"/>
  <c r="OJ4" i="17"/>
  <c r="OJ9" i="17"/>
  <c r="OK10" i="17" s="1"/>
  <c r="BK7" i="17"/>
  <c r="BJ7" i="17"/>
  <c r="BJ8" i="17" s="1"/>
  <c r="FC11" i="17"/>
  <c r="FD4" i="17"/>
  <c r="FD9" i="17"/>
  <c r="FE10" i="17" s="1"/>
  <c r="GY11" i="17"/>
  <c r="GZ9" i="17"/>
  <c r="HA10" i="17" s="1"/>
  <c r="GZ4" i="17"/>
  <c r="HO11" i="17"/>
  <c r="HP9" i="17"/>
  <c r="HQ10" i="17" s="1"/>
  <c r="HP4" i="17"/>
  <c r="FB7" i="17"/>
  <c r="FB8" i="17" s="1"/>
  <c r="FC7" i="17"/>
  <c r="FS11" i="17"/>
  <c r="FT4" i="17"/>
  <c r="FT9" i="17"/>
  <c r="FU10" i="17" s="1"/>
  <c r="GY7" i="17"/>
  <c r="GY8" i="17" s="1"/>
  <c r="CR4" i="17"/>
  <c r="CR9" i="17"/>
  <c r="CS10" i="17" s="1"/>
  <c r="HO7" i="16"/>
  <c r="HO8" i="16" s="1"/>
  <c r="BK7" i="16"/>
  <c r="BK8" i="16" s="1"/>
  <c r="BK11" i="16"/>
  <c r="BL9" i="16"/>
  <c r="BM10" i="16" s="1"/>
  <c r="BL4" i="16"/>
  <c r="OJ9" i="16"/>
  <c r="OK10" i="16" s="1"/>
  <c r="OJ4" i="16"/>
  <c r="CR9" i="16"/>
  <c r="CS10" i="16" s="1"/>
  <c r="CR4" i="16"/>
  <c r="CQ11" i="16"/>
  <c r="LX9" i="16"/>
  <c r="LY10" i="16" s="1"/>
  <c r="LX4" i="16"/>
  <c r="KB9" i="16"/>
  <c r="KC10" i="16" s="1"/>
  <c r="KB4" i="16"/>
  <c r="KA11" i="16"/>
  <c r="IV9" i="16"/>
  <c r="IW10" i="16" s="1"/>
  <c r="IU11" i="16"/>
  <c r="IV4" i="16"/>
  <c r="FS6" i="16"/>
  <c r="DX9" i="16"/>
  <c r="DY10" i="16" s="1"/>
  <c r="DX4" i="16"/>
  <c r="GJ9" i="16"/>
  <c r="GK10" i="16" s="1"/>
  <c r="GJ4" i="16"/>
  <c r="FD9" i="16"/>
  <c r="FE10" i="16" s="1"/>
  <c r="FD4" i="16"/>
  <c r="FC11" i="16"/>
  <c r="IF9" i="16"/>
  <c r="IG10" i="16" s="1"/>
  <c r="IE11" i="16"/>
  <c r="IF4" i="16"/>
  <c r="DX6" i="16"/>
  <c r="GY7" i="16"/>
  <c r="GY8" i="16" s="1"/>
  <c r="EN9" i="16"/>
  <c r="EO10" i="16" s="1"/>
  <c r="EN4" i="16"/>
  <c r="FT9" i="16"/>
  <c r="FU10" i="16" s="1"/>
  <c r="FT4" i="16"/>
  <c r="HP9" i="16"/>
  <c r="HQ10" i="16" s="1"/>
  <c r="HP4" i="16"/>
  <c r="HO11" i="16"/>
  <c r="GZ9" i="16"/>
  <c r="HA10" i="16" s="1"/>
  <c r="GZ4" i="16"/>
  <c r="GY11" i="16"/>
  <c r="DH9" i="16"/>
  <c r="DI10" i="16" s="1"/>
  <c r="DG11" i="16"/>
  <c r="DH4" i="16"/>
  <c r="KR9" i="16"/>
  <c r="KS10" i="16" s="1"/>
  <c r="KQ11" i="16"/>
  <c r="KR4" i="16"/>
  <c r="BK5" i="16"/>
  <c r="BL6" i="16" s="1"/>
  <c r="LH9" i="16"/>
  <c r="LI10" i="16" s="1"/>
  <c r="LH4" i="16"/>
  <c r="ND9" i="16"/>
  <c r="NE10" i="16" s="1"/>
  <c r="NC11" i="16"/>
  <c r="ND4" i="16"/>
  <c r="JL9" i="16"/>
  <c r="JM10" i="16" s="1"/>
  <c r="JL4" i="16"/>
  <c r="JK11" i="16"/>
  <c r="CB9" i="16"/>
  <c r="CC10" i="16" s="1"/>
  <c r="CB4" i="16"/>
  <c r="CA11" i="16"/>
  <c r="FC7" i="16"/>
  <c r="FB7" i="16"/>
  <c r="FB8" i="16" s="1"/>
  <c r="CA7" i="16"/>
  <c r="CA8" i="16" s="1"/>
  <c r="DG7" i="16"/>
  <c r="DG8" i="16" s="1"/>
  <c r="NT9" i="16"/>
  <c r="NU10" i="16" s="1"/>
  <c r="NT4" i="16"/>
  <c r="MN9" i="16"/>
  <c r="MO10" i="16" s="1"/>
  <c r="MN4" i="16"/>
  <c r="MM11" i="16"/>
  <c r="CA7" i="15"/>
  <c r="CA8" i="15" s="1"/>
  <c r="KB9" i="15"/>
  <c r="KC10" i="15" s="1"/>
  <c r="KB4" i="15"/>
  <c r="KA11" i="15"/>
  <c r="FR7" i="15"/>
  <c r="FR8" i="15" s="1"/>
  <c r="KR9" i="15"/>
  <c r="KS10" i="15" s="1"/>
  <c r="KR4" i="15"/>
  <c r="HO11" i="15"/>
  <c r="HP9" i="15"/>
  <c r="HQ10" i="15" s="1"/>
  <c r="HP4" i="15"/>
  <c r="DH6" i="15"/>
  <c r="JL9" i="15"/>
  <c r="JM10" i="15" s="1"/>
  <c r="JK11" i="15"/>
  <c r="JL4" i="15"/>
  <c r="CA11" i="15"/>
  <c r="CB4" i="15"/>
  <c r="CB9" i="15"/>
  <c r="CC10" i="15" s="1"/>
  <c r="LX9" i="15"/>
  <c r="LY10" i="15" s="1"/>
  <c r="LX4" i="15"/>
  <c r="BK5" i="15"/>
  <c r="BL6" i="15" s="1"/>
  <c r="DG7" i="15"/>
  <c r="DF7" i="15"/>
  <c r="DF8" i="15" s="1"/>
  <c r="IF9" i="15"/>
  <c r="IG10" i="15" s="1"/>
  <c r="IF4" i="15"/>
  <c r="IE11" i="15"/>
  <c r="FR11" i="15"/>
  <c r="DF11" i="15"/>
  <c r="CQ11" i="15"/>
  <c r="CR9" i="15"/>
  <c r="CS10" i="15" s="1"/>
  <c r="CR4" i="15"/>
  <c r="NT9" i="15"/>
  <c r="NU10" i="15" s="1"/>
  <c r="NT4" i="15"/>
  <c r="GJ9" i="15"/>
  <c r="GK10" i="15" s="1"/>
  <c r="GJ4" i="15"/>
  <c r="BK6" i="15"/>
  <c r="BK13" i="15" s="1"/>
  <c r="ND9" i="15"/>
  <c r="NE10" i="15" s="1"/>
  <c r="ND4" i="15"/>
  <c r="HO7" i="15"/>
  <c r="HO8" i="15" s="1"/>
  <c r="FC7" i="15"/>
  <c r="FB7" i="15"/>
  <c r="FB8" i="15" s="1"/>
  <c r="OJ9" i="15"/>
  <c r="OK10" i="15" s="1"/>
  <c r="OJ4" i="15"/>
  <c r="EO10" i="15"/>
  <c r="EN4" i="15"/>
  <c r="DX9" i="15"/>
  <c r="DY10" i="15" s="1"/>
  <c r="DX6" i="15"/>
  <c r="DX4" i="15"/>
  <c r="FS13" i="15"/>
  <c r="BL9" i="15"/>
  <c r="BM10" i="15" s="1"/>
  <c r="BL4" i="15"/>
  <c r="FB11" i="15"/>
  <c r="EM13" i="15"/>
  <c r="DH4" i="15"/>
  <c r="DH9" i="15"/>
  <c r="DI10" i="15" s="1"/>
  <c r="DG11" i="15"/>
  <c r="FT9" i="15"/>
  <c r="FU10" i="15" s="1"/>
  <c r="FT4" i="15"/>
  <c r="MM11" i="15"/>
  <c r="MN9" i="15"/>
  <c r="MO10" i="15" s="1"/>
  <c r="MN4" i="15"/>
  <c r="FD4" i="15"/>
  <c r="FC11" i="15"/>
  <c r="FD9" i="15"/>
  <c r="FE10" i="15" s="1"/>
  <c r="GZ9" i="15"/>
  <c r="HA10" i="15" s="1"/>
  <c r="GZ4" i="15"/>
  <c r="LH9" i="15"/>
  <c r="LI10" i="15" s="1"/>
  <c r="LH4" i="15"/>
  <c r="IU11" i="15"/>
  <c r="IV9" i="15"/>
  <c r="IW10" i="15" s="1"/>
  <c r="IV4" i="15"/>
  <c r="GI13" i="15"/>
  <c r="DW6" i="15"/>
  <c r="DW13" i="15" s="1"/>
  <c r="BL4" i="13"/>
  <c r="BK6" i="13"/>
  <c r="FT13" i="13"/>
  <c r="IF6" i="13"/>
  <c r="BK5" i="13"/>
  <c r="CA11" i="13"/>
  <c r="GY11" i="13"/>
  <c r="FS11" i="13"/>
  <c r="IE11" i="13"/>
  <c r="DG11" i="13"/>
  <c r="KA7" i="13"/>
  <c r="KA8" i="13" s="1"/>
  <c r="KB9" i="13"/>
  <c r="KC10" i="13" s="1"/>
  <c r="KB4" i="13"/>
  <c r="KA11" i="13"/>
  <c r="JL9" i="13"/>
  <c r="JM10" i="13" s="1"/>
  <c r="JK11" i="13"/>
  <c r="JL4" i="13"/>
  <c r="FC11" i="13"/>
  <c r="EM11" i="13"/>
  <c r="HO11" i="13"/>
  <c r="CQ11" i="13"/>
  <c r="IU11" i="13"/>
  <c r="DW11" i="13"/>
  <c r="GI11" i="13"/>
  <c r="LH9" i="13"/>
  <c r="LI10" i="13" s="1"/>
  <c r="LG11" i="13"/>
  <c r="LH4" i="13"/>
  <c r="MN4" i="13"/>
  <c r="LX9" i="13"/>
  <c r="LY10" i="13" s="1"/>
  <c r="LX4" i="13"/>
  <c r="DX9" i="13"/>
  <c r="DY10" i="13" s="1"/>
  <c r="DX4" i="13"/>
  <c r="OJ9" i="13"/>
  <c r="OK10" i="13" s="1"/>
  <c r="OI11" i="13"/>
  <c r="OJ4" i="13"/>
  <c r="CB9" i="13"/>
  <c r="CC10" i="13" s="1"/>
  <c r="CB4" i="13"/>
  <c r="GZ9" i="13"/>
  <c r="HA10" i="13" s="1"/>
  <c r="GZ4" i="13"/>
  <c r="CQ7" i="13"/>
  <c r="CQ8" i="13" s="1"/>
  <c r="NC11" i="13"/>
  <c r="ND9" i="13"/>
  <c r="NE10" i="13" s="1"/>
  <c r="ND4" i="13"/>
  <c r="GJ9" i="13"/>
  <c r="GK10" i="13" s="1"/>
  <c r="GJ4" i="13"/>
  <c r="NT4" i="13"/>
  <c r="NT9" i="13"/>
  <c r="NU10" i="13" s="1"/>
  <c r="FT9" i="13"/>
  <c r="FU10" i="13" s="1"/>
  <c r="HP4" i="13"/>
  <c r="HP9" i="13"/>
  <c r="HQ10" i="13" s="1"/>
  <c r="DW7" i="13"/>
  <c r="DW8" i="13" s="1"/>
  <c r="CR9" i="13"/>
  <c r="CS10" i="13" s="1"/>
  <c r="KR9" i="13"/>
  <c r="KS10" i="13" s="1"/>
  <c r="KQ11" i="13"/>
  <c r="KR4" i="13"/>
  <c r="FD9" i="13"/>
  <c r="FE10" i="13" s="1"/>
  <c r="FD4" i="13"/>
  <c r="DH9" i="13"/>
  <c r="DI10" i="13" s="1"/>
  <c r="DH4" i="13"/>
  <c r="GI7" i="13"/>
  <c r="GI8" i="13" s="1"/>
  <c r="IF9" i="13"/>
  <c r="IG10" i="13" s="1"/>
  <c r="IF4" i="13"/>
  <c r="EN4" i="13"/>
  <c r="EN9" i="13"/>
  <c r="EO10" i="13" s="1"/>
  <c r="IV9" i="13"/>
  <c r="IW10" i="13" s="1"/>
  <c r="IV4" i="13"/>
  <c r="CQ22" i="13" l="1"/>
  <c r="CP73" i="13"/>
  <c r="C73" i="13" s="1"/>
  <c r="CP76" i="13"/>
  <c r="C76" i="13" s="1"/>
  <c r="CP103" i="13"/>
  <c r="C103" i="13" s="1"/>
  <c r="CP68" i="13"/>
  <c r="C68" i="13" s="1"/>
  <c r="CP88" i="13"/>
  <c r="C88" i="13" s="1"/>
  <c r="CP85" i="13"/>
  <c r="C85" i="13" s="1"/>
  <c r="CP94" i="13"/>
  <c r="C94" i="13" s="1"/>
  <c r="CP64" i="13"/>
  <c r="C64" i="13" s="1"/>
  <c r="CP93" i="13"/>
  <c r="C93" i="13" s="1"/>
  <c r="CP96" i="13"/>
  <c r="C96" i="13" s="1"/>
  <c r="CP66" i="13"/>
  <c r="C66" i="13" s="1"/>
  <c r="CP74" i="13"/>
  <c r="C74" i="13" s="1"/>
  <c r="CP102" i="13"/>
  <c r="C102" i="13" s="1"/>
  <c r="CP104" i="13"/>
  <c r="C104" i="13" s="1"/>
  <c r="CP69" i="13"/>
  <c r="C69" i="13" s="1"/>
  <c r="CP84" i="13"/>
  <c r="C84" i="13" s="1"/>
  <c r="CP86" i="13"/>
  <c r="C86" i="13" s="1"/>
  <c r="CP95" i="13"/>
  <c r="C95" i="13" s="1"/>
  <c r="CP65" i="13"/>
  <c r="C65" i="13" s="1"/>
  <c r="CP67" i="13"/>
  <c r="C67" i="13" s="1"/>
  <c r="CP75" i="13"/>
  <c r="C75" i="13" s="1"/>
  <c r="BM4" i="13"/>
  <c r="BL6" i="13"/>
  <c r="BK22" i="13"/>
  <c r="D64" i="17"/>
  <c r="D75" i="17"/>
  <c r="D68" i="17"/>
  <c r="D73" i="17"/>
  <c r="D102" i="17"/>
  <c r="D104" i="17"/>
  <c r="D65" i="17"/>
  <c r="D66" i="17"/>
  <c r="D95" i="17"/>
  <c r="D93" i="17"/>
  <c r="D84" i="17"/>
  <c r="D86" i="17"/>
  <c r="D76" i="17"/>
  <c r="D67" i="17"/>
  <c r="D69" i="17"/>
  <c r="D96" i="17"/>
  <c r="D103" i="17"/>
  <c r="D94" i="17"/>
  <c r="D74" i="17"/>
  <c r="D88" i="17"/>
  <c r="D85" i="17"/>
  <c r="E84" i="16"/>
  <c r="E86" i="16"/>
  <c r="E67" i="16"/>
  <c r="E93" i="16"/>
  <c r="E73" i="16"/>
  <c r="E66" i="16"/>
  <c r="E85" i="16"/>
  <c r="E65" i="16"/>
  <c r="E69" i="16"/>
  <c r="E76" i="16"/>
  <c r="E94" i="16"/>
  <c r="E68" i="16"/>
  <c r="E75" i="16"/>
  <c r="E64" i="16"/>
  <c r="E88" i="16"/>
  <c r="E96" i="16"/>
  <c r="E95" i="16"/>
  <c r="E74" i="16"/>
  <c r="E102" i="17"/>
  <c r="OJ13" i="17"/>
  <c r="E84" i="15"/>
  <c r="E103" i="15"/>
  <c r="E75" i="15"/>
  <c r="E94" i="15"/>
  <c r="E68" i="15"/>
  <c r="E86" i="15"/>
  <c r="E93" i="15"/>
  <c r="E73" i="15"/>
  <c r="E76" i="15"/>
  <c r="E102" i="15"/>
  <c r="E88" i="15"/>
  <c r="E96" i="15"/>
  <c r="E67" i="15"/>
  <c r="E66" i="15"/>
  <c r="E85" i="15"/>
  <c r="E95" i="15"/>
  <c r="E104" i="15"/>
  <c r="E65" i="15"/>
  <c r="E69" i="15"/>
  <c r="E64" i="15"/>
  <c r="E74" i="15"/>
  <c r="MM11" i="13"/>
  <c r="MM7" i="13"/>
  <c r="MM8" i="13" s="1"/>
  <c r="BL13" i="13"/>
  <c r="DX13" i="16"/>
  <c r="GZ13" i="15"/>
  <c r="MN13" i="17"/>
  <c r="DH13" i="13"/>
  <c r="GJ13" i="17"/>
  <c r="IV13" i="16"/>
  <c r="IF13" i="16"/>
  <c r="GZ13" i="16"/>
  <c r="C111" i="16"/>
  <c r="C112" i="16"/>
  <c r="C113" i="16" s="1"/>
  <c r="CB13" i="16"/>
  <c r="CB7" i="16"/>
  <c r="JL13" i="13"/>
  <c r="IF13" i="13"/>
  <c r="BL13" i="15"/>
  <c r="DH13" i="17"/>
  <c r="FT13" i="15"/>
  <c r="CR13" i="17"/>
  <c r="BV75" i="9"/>
  <c r="BV93" i="9"/>
  <c r="BV64" i="9"/>
  <c r="BV95" i="9"/>
  <c r="BV96" i="9"/>
  <c r="BV94" i="9"/>
  <c r="BV67" i="9"/>
  <c r="BV104" i="9"/>
  <c r="BV66" i="9"/>
  <c r="BV85" i="9"/>
  <c r="BV102" i="9"/>
  <c r="BV65" i="9"/>
  <c r="BV76" i="9"/>
  <c r="BV103" i="9"/>
  <c r="BV68" i="9"/>
  <c r="BV88" i="9"/>
  <c r="BV86" i="9"/>
  <c r="BV69" i="9"/>
  <c r="BV73" i="9"/>
  <c r="BV84" i="9"/>
  <c r="BV74" i="9"/>
  <c r="KB13" i="16"/>
  <c r="JL13" i="15"/>
  <c r="DH13" i="15"/>
  <c r="JL13" i="16"/>
  <c r="BL13" i="16"/>
  <c r="KB13" i="15"/>
  <c r="BL13" i="17"/>
  <c r="OJ13" i="15"/>
  <c r="DH13" i="16"/>
  <c r="OJ13" i="16"/>
  <c r="GJ13" i="15"/>
  <c r="EN13" i="15"/>
  <c r="KB13" i="13"/>
  <c r="BH86" i="9"/>
  <c r="BH75" i="9"/>
  <c r="BH104" i="9"/>
  <c r="BH95" i="9"/>
  <c r="BH74" i="9"/>
  <c r="BH68" i="9"/>
  <c r="BH85" i="9"/>
  <c r="BH88" i="9"/>
  <c r="BH67" i="9"/>
  <c r="BH96" i="9"/>
  <c r="BH93" i="9"/>
  <c r="BH69" i="9"/>
  <c r="BH64" i="9"/>
  <c r="BH102" i="9"/>
  <c r="BH66" i="9"/>
  <c r="BH94" i="9"/>
  <c r="BH73" i="9"/>
  <c r="BH65" i="9"/>
  <c r="BH84" i="9"/>
  <c r="BH76" i="9"/>
  <c r="BH103" i="9"/>
  <c r="EN13" i="16"/>
  <c r="IV13" i="15"/>
  <c r="ND13" i="17"/>
  <c r="OJ13" i="13"/>
  <c r="EN13" i="13"/>
  <c r="DX13" i="15"/>
  <c r="AG8" i="9"/>
  <c r="KB13" i="17"/>
  <c r="JL13" i="17"/>
  <c r="CB13" i="17"/>
  <c r="B114" i="15"/>
  <c r="BH6" i="9"/>
  <c r="BH9" i="9" s="1"/>
  <c r="FT5" i="16"/>
  <c r="NT13" i="13"/>
  <c r="LX5" i="13"/>
  <c r="LY6" i="13" s="1"/>
  <c r="JL5" i="13"/>
  <c r="IV5" i="15"/>
  <c r="DX5" i="15"/>
  <c r="GJ5" i="16"/>
  <c r="OJ5" i="16"/>
  <c r="HP5" i="17"/>
  <c r="IV5" i="13"/>
  <c r="IW6" i="13" s="1"/>
  <c r="KB5" i="13"/>
  <c r="KC6" i="13" s="1"/>
  <c r="MN5" i="13"/>
  <c r="ND5" i="13"/>
  <c r="NE6" i="13" s="1"/>
  <c r="IF5" i="15"/>
  <c r="CB5" i="15"/>
  <c r="DH5" i="17"/>
  <c r="GJ5" i="15"/>
  <c r="JL5" i="16"/>
  <c r="EN5" i="16"/>
  <c r="IV5" i="16"/>
  <c r="GZ5" i="15"/>
  <c r="FT5" i="15"/>
  <c r="FU6" i="15" s="1"/>
  <c r="FU13" i="15" s="1"/>
  <c r="HP5" i="15"/>
  <c r="GZ5" i="16"/>
  <c r="FD5" i="16"/>
  <c r="CR5" i="16"/>
  <c r="CS6" i="16" s="1"/>
  <c r="IF5" i="17"/>
  <c r="IF5" i="13"/>
  <c r="IG6" i="13" s="1"/>
  <c r="LH5" i="13"/>
  <c r="LI6" i="13" s="1"/>
  <c r="HP5" i="13"/>
  <c r="DH5" i="13"/>
  <c r="DI6" i="13" s="1"/>
  <c r="OI13" i="13"/>
  <c r="OJ7" i="13"/>
  <c r="OI7" i="13"/>
  <c r="OI8" i="13" s="1"/>
  <c r="OJ8" i="13" s="1"/>
  <c r="EN5" i="13"/>
  <c r="NS13" i="13"/>
  <c r="NT7" i="13"/>
  <c r="NS7" i="13"/>
  <c r="NS8" i="13" s="1"/>
  <c r="FD5" i="13"/>
  <c r="FE6" i="13" s="1"/>
  <c r="MO9" i="13"/>
  <c r="MP10" i="13" s="1"/>
  <c r="MO6" i="13"/>
  <c r="GZ5" i="13"/>
  <c r="HA6" i="13" s="1"/>
  <c r="KR5" i="15"/>
  <c r="HP5" i="16"/>
  <c r="KB5" i="16"/>
  <c r="KC6" i="16" s="1"/>
  <c r="EN5" i="17"/>
  <c r="LW13" i="13"/>
  <c r="LW7" i="13"/>
  <c r="LW8" i="13" s="1"/>
  <c r="NC13" i="13"/>
  <c r="NC7" i="13"/>
  <c r="NC8" i="13" s="1"/>
  <c r="FD5" i="15"/>
  <c r="JL5" i="15"/>
  <c r="JM6" i="15" s="1"/>
  <c r="IF5" i="16"/>
  <c r="BI8" i="9"/>
  <c r="BI5" i="9" s="1"/>
  <c r="KB5" i="17"/>
  <c r="KR5" i="13"/>
  <c r="KS6" i="13" s="1"/>
  <c r="CR5" i="13"/>
  <c r="OJ5" i="13"/>
  <c r="KR6" i="13"/>
  <c r="KR11" i="13" s="1"/>
  <c r="NT5" i="13"/>
  <c r="GJ5" i="13"/>
  <c r="LX6" i="13"/>
  <c r="LX11" i="13" s="1"/>
  <c r="ND6" i="13"/>
  <c r="ND13" i="13" s="1"/>
  <c r="GJ5" i="17"/>
  <c r="CB5" i="13"/>
  <c r="DX5" i="13"/>
  <c r="LH6" i="13"/>
  <c r="BV6" i="9"/>
  <c r="BV9" i="9" s="1"/>
  <c r="BW8" i="9"/>
  <c r="BW5" i="9" s="1"/>
  <c r="DH5" i="15"/>
  <c r="CR5" i="15"/>
  <c r="C112" i="17"/>
  <c r="C113" i="17" s="1"/>
  <c r="B114" i="17"/>
  <c r="C111" i="17"/>
  <c r="C109" i="15"/>
  <c r="C112" i="15" s="1"/>
  <c r="C113" i="15" s="1"/>
  <c r="EN5" i="15"/>
  <c r="EO6" i="15" s="1"/>
  <c r="MN5" i="17"/>
  <c r="MO6" i="17" s="1"/>
  <c r="MM7" i="17"/>
  <c r="MM8" i="17" s="1"/>
  <c r="MM11" i="17"/>
  <c r="CB5" i="17"/>
  <c r="CC6" i="17" s="1"/>
  <c r="NT5" i="17"/>
  <c r="NU6" i="17" s="1"/>
  <c r="GZ5" i="17"/>
  <c r="JL5" i="17"/>
  <c r="JM6" i="17" s="1"/>
  <c r="IV5" i="17"/>
  <c r="IW6" i="17" s="1"/>
  <c r="LX5" i="17"/>
  <c r="LY6" i="17" s="1"/>
  <c r="LW13" i="17"/>
  <c r="LX7" i="17"/>
  <c r="LW7" i="17"/>
  <c r="LW8" i="17" s="1"/>
  <c r="KQ13" i="17"/>
  <c r="KR7" i="17"/>
  <c r="KQ7" i="17"/>
  <c r="KQ8" i="17" s="1"/>
  <c r="GZ11" i="17"/>
  <c r="KQ11" i="17"/>
  <c r="FD5" i="17"/>
  <c r="FE6" i="17" s="1"/>
  <c r="KR5" i="17"/>
  <c r="DX5" i="17"/>
  <c r="FT5" i="17"/>
  <c r="NT13" i="17"/>
  <c r="LH5" i="17"/>
  <c r="LI6" i="17" s="1"/>
  <c r="KR13" i="17"/>
  <c r="LG13" i="17"/>
  <c r="LG7" i="17"/>
  <c r="LG8" i="17" s="1"/>
  <c r="LX13" i="17"/>
  <c r="NC13" i="17"/>
  <c r="NC7" i="17"/>
  <c r="NC8" i="17" s="1"/>
  <c r="ND7" i="17"/>
  <c r="MN7" i="17"/>
  <c r="BL11" i="17"/>
  <c r="LW11" i="17"/>
  <c r="FT6" i="17"/>
  <c r="FT13" i="17" s="1"/>
  <c r="LH6" i="17"/>
  <c r="LH7" i="17" s="1"/>
  <c r="CR5" i="17"/>
  <c r="CS6" i="17" s="1"/>
  <c r="ND5" i="17"/>
  <c r="NE6" i="17" s="1"/>
  <c r="NS13" i="17"/>
  <c r="NS7" i="17"/>
  <c r="NS8" i="17" s="1"/>
  <c r="NT7" i="17"/>
  <c r="DX5" i="16"/>
  <c r="KR5" i="16"/>
  <c r="KS6" i="16" s="1"/>
  <c r="CB5" i="16"/>
  <c r="CC6" i="16" s="1"/>
  <c r="MN5" i="16"/>
  <c r="MO6" i="16" s="1"/>
  <c r="ND5" i="16"/>
  <c r="NE6" i="16" s="1"/>
  <c r="KR8" i="16"/>
  <c r="NT5" i="16"/>
  <c r="NU6" i="16" s="1"/>
  <c r="OI13" i="16"/>
  <c r="OJ7" i="16"/>
  <c r="OI7" i="16"/>
  <c r="OI8" i="16" s="1"/>
  <c r="NT6" i="16"/>
  <c r="NT11" i="16" s="1"/>
  <c r="LH13" i="16"/>
  <c r="LX5" i="16"/>
  <c r="LY6" i="16" s="1"/>
  <c r="ND6" i="16"/>
  <c r="ND11" i="16" s="1"/>
  <c r="MN6" i="16"/>
  <c r="MN13" i="16" s="1"/>
  <c r="DW11" i="16"/>
  <c r="OI11" i="16"/>
  <c r="LW13" i="16"/>
  <c r="LW7" i="16"/>
  <c r="LW8" i="16" s="1"/>
  <c r="LX6" i="16"/>
  <c r="LX7" i="16" s="1"/>
  <c r="NS13" i="16"/>
  <c r="NS7" i="16"/>
  <c r="NS8" i="16" s="1"/>
  <c r="KR13" i="16"/>
  <c r="DW7" i="16"/>
  <c r="DW8" i="16" s="1"/>
  <c r="OK6" i="16"/>
  <c r="LG13" i="16"/>
  <c r="LH7" i="16"/>
  <c r="LG7" i="16"/>
  <c r="LG8" i="16" s="1"/>
  <c r="LH5" i="16"/>
  <c r="DH5" i="16"/>
  <c r="DI6" i="16" s="1"/>
  <c r="NT5" i="15"/>
  <c r="NU6" i="15" s="1"/>
  <c r="LX5" i="15"/>
  <c r="LY6" i="15" s="1"/>
  <c r="ND5" i="15"/>
  <c r="NE6" i="15" s="1"/>
  <c r="MN5" i="15"/>
  <c r="MO6" i="15" s="1"/>
  <c r="LG13" i="15"/>
  <c r="LH7" i="15"/>
  <c r="LG7" i="15"/>
  <c r="LG8" i="15" s="1"/>
  <c r="NS13" i="15"/>
  <c r="NT7" i="15"/>
  <c r="NS7" i="15"/>
  <c r="NS8" i="15" s="1"/>
  <c r="LH13" i="15"/>
  <c r="NC13" i="15"/>
  <c r="NC7" i="15"/>
  <c r="NC8" i="15" s="1"/>
  <c r="NT13" i="15"/>
  <c r="OI13" i="15"/>
  <c r="OJ7" i="15"/>
  <c r="OI7" i="15"/>
  <c r="OI8" i="15" s="1"/>
  <c r="KS6" i="15"/>
  <c r="LX13" i="15"/>
  <c r="LH5" i="15"/>
  <c r="KR13" i="15"/>
  <c r="LW13" i="15"/>
  <c r="LX7" i="15"/>
  <c r="LW7" i="15"/>
  <c r="LW8" i="15" s="1"/>
  <c r="LG11" i="15"/>
  <c r="NC11" i="15"/>
  <c r="MN6" i="15"/>
  <c r="MN13" i="15" s="1"/>
  <c r="NS11" i="15"/>
  <c r="ND6" i="15"/>
  <c r="ND13" i="15" s="1"/>
  <c r="KQ13" i="15"/>
  <c r="KR7" i="15"/>
  <c r="KQ7" i="15"/>
  <c r="KQ8" i="15" s="1"/>
  <c r="OJ5" i="15"/>
  <c r="OK6" i="15" s="1"/>
  <c r="KB5" i="15"/>
  <c r="GI11" i="16"/>
  <c r="GI13" i="16"/>
  <c r="FS11" i="16"/>
  <c r="FS13" i="16"/>
  <c r="FD7" i="16"/>
  <c r="FD13" i="16"/>
  <c r="EM11" i="16"/>
  <c r="EM13" i="16"/>
  <c r="OJ7" i="17"/>
  <c r="OJ8" i="17" s="1"/>
  <c r="OJ5" i="17"/>
  <c r="HP7" i="17"/>
  <c r="HP8" i="17" s="1"/>
  <c r="HP13" i="17"/>
  <c r="GI11" i="17"/>
  <c r="GI13" i="17"/>
  <c r="FD7" i="17"/>
  <c r="FD13" i="17"/>
  <c r="EM11" i="17"/>
  <c r="EM13" i="17"/>
  <c r="DG11" i="17"/>
  <c r="DG13" i="17"/>
  <c r="CQ11" i="17"/>
  <c r="CQ13" i="17"/>
  <c r="CA11" i="17"/>
  <c r="CA13" i="17"/>
  <c r="FD7" i="15"/>
  <c r="FD13" i="15"/>
  <c r="GY7" i="15"/>
  <c r="GY8" i="15" s="1"/>
  <c r="GY13" i="15"/>
  <c r="FT7" i="15"/>
  <c r="FS11" i="15"/>
  <c r="CS6" i="15"/>
  <c r="CC6" i="15"/>
  <c r="FU6" i="16"/>
  <c r="FT6" i="16"/>
  <c r="GI7" i="17"/>
  <c r="GI8" i="17" s="1"/>
  <c r="GJ7" i="17"/>
  <c r="EO6" i="17"/>
  <c r="CR7" i="13"/>
  <c r="CR8" i="13" s="1"/>
  <c r="CR13" i="13"/>
  <c r="GJ7" i="13"/>
  <c r="GJ8" i="13" s="1"/>
  <c r="GJ13" i="13"/>
  <c r="FD7" i="13"/>
  <c r="FD8" i="13" s="1"/>
  <c r="FD13" i="13"/>
  <c r="GZ7" i="13"/>
  <c r="GZ8" i="13" s="1"/>
  <c r="GZ13" i="13"/>
  <c r="HP7" i="13"/>
  <c r="HP8" i="13" s="1"/>
  <c r="HP13" i="13"/>
  <c r="DX7" i="13"/>
  <c r="DX8" i="13" s="1"/>
  <c r="DX13" i="13"/>
  <c r="IV7" i="13"/>
  <c r="IV8" i="13" s="1"/>
  <c r="IV13" i="13"/>
  <c r="MN7" i="13"/>
  <c r="MN13" i="13"/>
  <c r="CB7" i="13"/>
  <c r="CB8" i="13" s="1"/>
  <c r="CB13" i="13"/>
  <c r="B114" i="13"/>
  <c r="C111" i="13"/>
  <c r="C112" i="13"/>
  <c r="BK11" i="13"/>
  <c r="D109" i="13" s="1"/>
  <c r="BK13" i="13"/>
  <c r="FC8" i="17"/>
  <c r="BK7" i="13"/>
  <c r="BK8" i="13" s="1"/>
  <c r="CB8" i="16"/>
  <c r="BM9" i="13"/>
  <c r="BN10" i="13" s="1"/>
  <c r="BM9" i="17"/>
  <c r="BN10" i="17" s="1"/>
  <c r="BM4" i="17"/>
  <c r="EN6" i="17"/>
  <c r="DH7" i="17"/>
  <c r="DG7" i="17"/>
  <c r="DG8" i="17" s="1"/>
  <c r="HP11" i="17"/>
  <c r="HQ9" i="17"/>
  <c r="HR10" i="17" s="1"/>
  <c r="HQ4" i="17"/>
  <c r="JL11" i="17"/>
  <c r="JM9" i="17"/>
  <c r="JN10" i="17" s="1"/>
  <c r="JM4" i="17"/>
  <c r="DX6" i="17"/>
  <c r="ND11" i="17"/>
  <c r="NE9" i="17"/>
  <c r="NF10" i="17" s="1"/>
  <c r="NE4" i="17"/>
  <c r="NT11" i="17"/>
  <c r="NU9" i="17"/>
  <c r="NV10" i="17" s="1"/>
  <c r="NU4" i="17"/>
  <c r="CR11" i="17"/>
  <c r="CS9" i="17"/>
  <c r="CT10" i="17" s="1"/>
  <c r="CS4" i="17"/>
  <c r="LX11" i="17"/>
  <c r="LY9" i="17"/>
  <c r="LZ10" i="17" s="1"/>
  <c r="LY4" i="17"/>
  <c r="HA9" i="17"/>
  <c r="HB10" i="17" s="1"/>
  <c r="HA4" i="17"/>
  <c r="BK8" i="17"/>
  <c r="BL5" i="17"/>
  <c r="BL7" i="17"/>
  <c r="EO9" i="17"/>
  <c r="EP10" i="17" s="1"/>
  <c r="EO4" i="17"/>
  <c r="FU9" i="17"/>
  <c r="FV10" i="17" s="1"/>
  <c r="FU4" i="17"/>
  <c r="FD11" i="17"/>
  <c r="FE9" i="17"/>
  <c r="FF10" i="17" s="1"/>
  <c r="FE4" i="17"/>
  <c r="GJ11" i="17"/>
  <c r="GK9" i="17"/>
  <c r="GL10" i="17" s="1"/>
  <c r="GK6" i="17"/>
  <c r="GK13" i="17" s="1"/>
  <c r="GK4" i="17"/>
  <c r="CR7" i="17"/>
  <c r="CQ7" i="17"/>
  <c r="CQ8" i="17" s="1"/>
  <c r="KR11" i="17"/>
  <c r="KS9" i="17"/>
  <c r="KT10" i="17" s="1"/>
  <c r="KS4" i="17"/>
  <c r="IW9" i="17"/>
  <c r="IX10" i="17" s="1"/>
  <c r="IW4" i="17"/>
  <c r="MN11" i="17"/>
  <c r="MO9" i="17"/>
  <c r="MP10" i="17" s="1"/>
  <c r="MO4" i="17"/>
  <c r="DW7" i="17"/>
  <c r="DW8" i="17" s="1"/>
  <c r="KB11" i="17"/>
  <c r="KC9" i="17"/>
  <c r="KD10" i="17" s="1"/>
  <c r="KC6" i="17"/>
  <c r="KC4" i="17"/>
  <c r="FS7" i="17"/>
  <c r="FS8" i="17" s="1"/>
  <c r="DH11" i="17"/>
  <c r="DI9" i="17"/>
  <c r="DJ10" i="17" s="1"/>
  <c r="DI4" i="17"/>
  <c r="DI6" i="17"/>
  <c r="CB11" i="17"/>
  <c r="CC9" i="17"/>
  <c r="CD10" i="17" s="1"/>
  <c r="CC4" i="17"/>
  <c r="IV6" i="17"/>
  <c r="IV13" i="17" s="1"/>
  <c r="IG9" i="17"/>
  <c r="IH10" i="17" s="1"/>
  <c r="IG4" i="17"/>
  <c r="DY9" i="17"/>
  <c r="DZ10" i="17" s="1"/>
  <c r="DY4" i="17"/>
  <c r="CB7" i="17"/>
  <c r="CA7" i="17"/>
  <c r="CA8" i="17" s="1"/>
  <c r="OJ11" i="17"/>
  <c r="OK9" i="17"/>
  <c r="OL10" i="17" s="1"/>
  <c r="OK4" i="17"/>
  <c r="EM7" i="17"/>
  <c r="EM8" i="17" s="1"/>
  <c r="LI9" i="17"/>
  <c r="LJ10" i="17" s="1"/>
  <c r="LI4" i="17"/>
  <c r="DW11" i="17"/>
  <c r="BL7" i="16"/>
  <c r="BL8" i="16" s="1"/>
  <c r="DX7" i="16"/>
  <c r="EN7" i="16"/>
  <c r="EM7" i="16"/>
  <c r="EM8" i="16" s="1"/>
  <c r="HA9" i="16"/>
  <c r="HB10" i="16" s="1"/>
  <c r="HA4" i="16"/>
  <c r="HA6" i="16"/>
  <c r="GZ11" i="16"/>
  <c r="GK4" i="16"/>
  <c r="GK6" i="16"/>
  <c r="GK9" i="16"/>
  <c r="GL10" i="16" s="1"/>
  <c r="DX11" i="16"/>
  <c r="DY4" i="16"/>
  <c r="DY9" i="16"/>
  <c r="DZ10" i="16" s="1"/>
  <c r="NE4" i="16"/>
  <c r="NE9" i="16"/>
  <c r="NF10" i="16" s="1"/>
  <c r="EN11" i="16"/>
  <c r="EO9" i="16"/>
  <c r="EP10" i="16" s="1"/>
  <c r="EO6" i="16"/>
  <c r="EO4" i="16"/>
  <c r="NU4" i="16"/>
  <c r="NU9" i="16"/>
  <c r="NV10" i="16" s="1"/>
  <c r="IF7" i="16"/>
  <c r="IF8" i="16" s="1"/>
  <c r="LY4" i="16"/>
  <c r="LY9" i="16"/>
  <c r="LZ10" i="16" s="1"/>
  <c r="JM6" i="16"/>
  <c r="FC8" i="16"/>
  <c r="GI7" i="16"/>
  <c r="GI8" i="16" s="1"/>
  <c r="KR11" i="16"/>
  <c r="KS9" i="16"/>
  <c r="KT10" i="16" s="1"/>
  <c r="KS4" i="16"/>
  <c r="DH11" i="16"/>
  <c r="DI4" i="16"/>
  <c r="DI9" i="16"/>
  <c r="DJ10" i="16" s="1"/>
  <c r="IF11" i="16"/>
  <c r="IG9" i="16"/>
  <c r="IH10" i="16" s="1"/>
  <c r="IG4" i="16"/>
  <c r="FS7" i="16"/>
  <c r="FS8" i="16" s="1"/>
  <c r="OJ11" i="16"/>
  <c r="OK9" i="16"/>
  <c r="OL10" i="16" s="1"/>
  <c r="OK4" i="16"/>
  <c r="BM4" i="16"/>
  <c r="BL11" i="16"/>
  <c r="BM9" i="16"/>
  <c r="BN10" i="16" s="1"/>
  <c r="MO9" i="16"/>
  <c r="MP10" i="16" s="1"/>
  <c r="MO4" i="16"/>
  <c r="FU9" i="16"/>
  <c r="FV10" i="16" s="1"/>
  <c r="FU4" i="16"/>
  <c r="GZ7" i="16"/>
  <c r="GZ8" i="16" s="1"/>
  <c r="IV7" i="16"/>
  <c r="IV8" i="16" s="1"/>
  <c r="CS9" i="16"/>
  <c r="CT10" i="16" s="1"/>
  <c r="CS4" i="16"/>
  <c r="LI4" i="16"/>
  <c r="LH11" i="16"/>
  <c r="LI9" i="16"/>
  <c r="LJ10" i="16" s="1"/>
  <c r="JL11" i="16"/>
  <c r="JM4" i="16"/>
  <c r="JM9" i="16"/>
  <c r="JN10" i="16" s="1"/>
  <c r="IV11" i="16"/>
  <c r="IW9" i="16"/>
  <c r="IX10" i="16" s="1"/>
  <c r="IW4" i="16"/>
  <c r="CR6" i="16"/>
  <c r="CR13" i="16" s="1"/>
  <c r="BL5" i="16"/>
  <c r="BM6" i="16" s="1"/>
  <c r="DH7" i="16"/>
  <c r="DH8" i="16" s="1"/>
  <c r="CC4" i="16"/>
  <c r="CC9" i="16"/>
  <c r="CD10" i="16" s="1"/>
  <c r="CB11" i="16"/>
  <c r="HQ4" i="16"/>
  <c r="HQ9" i="16"/>
  <c r="HR10" i="16" s="1"/>
  <c r="FE9" i="16"/>
  <c r="FF10" i="16" s="1"/>
  <c r="FD11" i="16"/>
  <c r="FE6" i="16"/>
  <c r="FE4" i="16"/>
  <c r="KC9" i="16"/>
  <c r="KD10" i="16" s="1"/>
  <c r="KB11" i="16"/>
  <c r="KC4" i="16"/>
  <c r="BL7" i="15"/>
  <c r="BK7" i="15"/>
  <c r="BK8" i="15" s="1"/>
  <c r="CR6" i="15"/>
  <c r="CR13" i="15" s="1"/>
  <c r="DH11" i="15"/>
  <c r="DI9" i="15"/>
  <c r="DJ10" i="15" s="1"/>
  <c r="DI4" i="15"/>
  <c r="GJ7" i="15"/>
  <c r="GI7" i="15"/>
  <c r="GI8" i="15" s="1"/>
  <c r="GJ11" i="15"/>
  <c r="GK9" i="15"/>
  <c r="GL10" i="15" s="1"/>
  <c r="GK6" i="15"/>
  <c r="GK4" i="15"/>
  <c r="KS9" i="15"/>
  <c r="KT10" i="15" s="1"/>
  <c r="KR11" i="15"/>
  <c r="KS4" i="15"/>
  <c r="IW9" i="15"/>
  <c r="IX10" i="15" s="1"/>
  <c r="IV11" i="15"/>
  <c r="IW4" i="15"/>
  <c r="EN7" i="15"/>
  <c r="OK9" i="15"/>
  <c r="OL10" i="15" s="1"/>
  <c r="OJ11" i="15"/>
  <c r="OK4" i="15"/>
  <c r="NU9" i="15"/>
  <c r="NV10" i="15" s="1"/>
  <c r="NT11" i="15"/>
  <c r="NU4" i="15"/>
  <c r="DH7" i="15"/>
  <c r="DX7" i="15"/>
  <c r="DW7" i="15"/>
  <c r="DW8" i="15" s="1"/>
  <c r="IV7" i="15"/>
  <c r="IV8" i="15" s="1"/>
  <c r="FE9" i="15"/>
  <c r="FF10" i="15" s="1"/>
  <c r="FE4" i="15"/>
  <c r="FD11" i="15"/>
  <c r="IG9" i="15"/>
  <c r="IH10" i="15" s="1"/>
  <c r="IG4" i="15"/>
  <c r="FS7" i="15"/>
  <c r="FS8" i="15" s="1"/>
  <c r="FU9" i="15"/>
  <c r="FV10" i="15" s="1"/>
  <c r="FT11" i="15"/>
  <c r="FU4" i="15"/>
  <c r="BL11" i="15"/>
  <c r="BM9" i="15"/>
  <c r="BN10" i="15" s="1"/>
  <c r="BM4" i="15"/>
  <c r="DW11" i="15"/>
  <c r="EO9" i="15"/>
  <c r="EP10" i="15" s="1"/>
  <c r="EN11" i="15"/>
  <c r="EO4" i="15"/>
  <c r="GI11" i="15"/>
  <c r="CC9" i="15"/>
  <c r="CD10" i="15" s="1"/>
  <c r="CC4" i="15"/>
  <c r="EM11" i="15"/>
  <c r="GZ7" i="15"/>
  <c r="LX11" i="15"/>
  <c r="LY9" i="15"/>
  <c r="LZ10" i="15" s="1"/>
  <c r="LY4" i="15"/>
  <c r="CB6" i="15"/>
  <c r="LH11" i="15"/>
  <c r="LI9" i="15"/>
  <c r="LJ10" i="15" s="1"/>
  <c r="LI4" i="15"/>
  <c r="FC8" i="15"/>
  <c r="DG8" i="15"/>
  <c r="HP13" i="15"/>
  <c r="KC9" i="15"/>
  <c r="KD10" i="15" s="1"/>
  <c r="KC4" i="15"/>
  <c r="KB11" i="15"/>
  <c r="GZ11" i="15"/>
  <c r="HA9" i="15"/>
  <c r="HB10" i="15" s="1"/>
  <c r="HA4" i="15"/>
  <c r="MO9" i="15"/>
  <c r="MP10" i="15" s="1"/>
  <c r="MO4" i="15"/>
  <c r="BK11" i="15"/>
  <c r="DY9" i="15"/>
  <c r="DZ10" i="15" s="1"/>
  <c r="DX11" i="15"/>
  <c r="DY6" i="15"/>
  <c r="DY4" i="15"/>
  <c r="NE9" i="15"/>
  <c r="NF10" i="15" s="1"/>
  <c r="NE4" i="15"/>
  <c r="CS9" i="15"/>
  <c r="CT10" i="15" s="1"/>
  <c r="CS4" i="15"/>
  <c r="BL5" i="15"/>
  <c r="JM9" i="15"/>
  <c r="JN10" i="15" s="1"/>
  <c r="JL11" i="15"/>
  <c r="JM4" i="15"/>
  <c r="HQ9" i="15"/>
  <c r="HR10" i="15" s="1"/>
  <c r="HQ4" i="15"/>
  <c r="HQ13" i="15" s="1"/>
  <c r="BL7" i="13"/>
  <c r="BL11" i="13"/>
  <c r="EO6" i="13"/>
  <c r="FU6" i="13"/>
  <c r="GK6" i="13"/>
  <c r="BL5" i="13"/>
  <c r="BL22" i="13" s="1"/>
  <c r="LI4" i="13"/>
  <c r="DY6" i="13"/>
  <c r="JM6" i="13"/>
  <c r="EN11" i="13"/>
  <c r="FT11" i="13"/>
  <c r="CB11" i="13"/>
  <c r="KC9" i="13"/>
  <c r="KD10" i="13" s="1"/>
  <c r="KC4" i="13"/>
  <c r="KB11" i="13"/>
  <c r="KB7" i="13"/>
  <c r="KB8" i="13" s="1"/>
  <c r="JM9" i="13"/>
  <c r="JN10" i="13" s="1"/>
  <c r="JL11" i="13"/>
  <c r="JM4" i="13"/>
  <c r="JL7" i="13"/>
  <c r="JL8" i="13" s="1"/>
  <c r="GZ11" i="13"/>
  <c r="FD11" i="13"/>
  <c r="CR11" i="13"/>
  <c r="HP11" i="13"/>
  <c r="IV11" i="13"/>
  <c r="IF11" i="13"/>
  <c r="DX11" i="13"/>
  <c r="DH11" i="13"/>
  <c r="GJ11" i="13"/>
  <c r="MO4" i="13"/>
  <c r="LI9" i="13"/>
  <c r="LJ10" i="13" s="1"/>
  <c r="DY9" i="13"/>
  <c r="DZ10" i="13" s="1"/>
  <c r="DY4" i="13"/>
  <c r="LH11" i="13"/>
  <c r="LY9" i="13"/>
  <c r="LZ10" i="13" s="1"/>
  <c r="LY4" i="13"/>
  <c r="FE9" i="13"/>
  <c r="FF10" i="13" s="1"/>
  <c r="FE4" i="13"/>
  <c r="HA9" i="13"/>
  <c r="HB10" i="13" s="1"/>
  <c r="HA4" i="13"/>
  <c r="EN7" i="13"/>
  <c r="EN8" i="13" s="1"/>
  <c r="DH7" i="13"/>
  <c r="DH8" i="13" s="1"/>
  <c r="CS4" i="13"/>
  <c r="CS9" i="13"/>
  <c r="CT10" i="13" s="1"/>
  <c r="OJ11" i="13"/>
  <c r="OK9" i="13"/>
  <c r="OL10" i="13" s="1"/>
  <c r="OK4" i="13"/>
  <c r="IW4" i="13"/>
  <c r="IW9" i="13"/>
  <c r="IX10" i="13" s="1"/>
  <c r="GK4" i="13"/>
  <c r="GK9" i="13"/>
  <c r="GL10" i="13" s="1"/>
  <c r="IF7" i="13"/>
  <c r="IF8" i="13" s="1"/>
  <c r="EO4" i="13"/>
  <c r="EO9" i="13"/>
  <c r="EP10" i="13" s="1"/>
  <c r="IG4" i="13"/>
  <c r="IG9" i="13"/>
  <c r="IH10" i="13" s="1"/>
  <c r="DI9" i="13"/>
  <c r="DJ10" i="13" s="1"/>
  <c r="DI4" i="13"/>
  <c r="FT7" i="13"/>
  <c r="FT8" i="13" s="1"/>
  <c r="MN11" i="13"/>
  <c r="KS4" i="13"/>
  <c r="KS9" i="13"/>
  <c r="KT10" i="13" s="1"/>
  <c r="HQ4" i="13"/>
  <c r="HQ9" i="13"/>
  <c r="HR10" i="13" s="1"/>
  <c r="NU4" i="13"/>
  <c r="NT11" i="13"/>
  <c r="NU9" i="13"/>
  <c r="NV10" i="13" s="1"/>
  <c r="CC4" i="13"/>
  <c r="CC9" i="13"/>
  <c r="CD10" i="13" s="1"/>
  <c r="FU9" i="13"/>
  <c r="FV10" i="13" s="1"/>
  <c r="FU4" i="13"/>
  <c r="NE9" i="13"/>
  <c r="NF10" i="13" s="1"/>
  <c r="NE4" i="13"/>
  <c r="ND11" i="13"/>
  <c r="BL95" i="13" l="1"/>
  <c r="BL75" i="13"/>
  <c r="BL94" i="13"/>
  <c r="BL74" i="13"/>
  <c r="BL93" i="13"/>
  <c r="BL73" i="13"/>
  <c r="BL88" i="13"/>
  <c r="BL96" i="13"/>
  <c r="BL104" i="13"/>
  <c r="BL86" i="13"/>
  <c r="BL103" i="13"/>
  <c r="BL85" i="13"/>
  <c r="BL102" i="13"/>
  <c r="BL84" i="13"/>
  <c r="BL76" i="13"/>
  <c r="BK96" i="13"/>
  <c r="BK76" i="13"/>
  <c r="BK95" i="13"/>
  <c r="BK75" i="13"/>
  <c r="BK94" i="13"/>
  <c r="BK74" i="13"/>
  <c r="BK93" i="13"/>
  <c r="BK73" i="13"/>
  <c r="BK88" i="13"/>
  <c r="BK104" i="13"/>
  <c r="BK86" i="13"/>
  <c r="BK103" i="13"/>
  <c r="BK85" i="13"/>
  <c r="BK102" i="13"/>
  <c r="BK84" i="13"/>
  <c r="CQ66" i="13"/>
  <c r="CQ103" i="13"/>
  <c r="D103" i="13" s="1"/>
  <c r="CQ65" i="13"/>
  <c r="CQ68" i="13"/>
  <c r="CQ104" i="13"/>
  <c r="CQ67" i="13"/>
  <c r="CQ76" i="13"/>
  <c r="CQ74" i="13"/>
  <c r="D74" i="13" s="1"/>
  <c r="CQ88" i="13"/>
  <c r="CQ64" i="13"/>
  <c r="CQ84" i="13"/>
  <c r="CQ86" i="13"/>
  <c r="D86" i="13" s="1"/>
  <c r="CQ85" i="13"/>
  <c r="D85" i="13" s="1"/>
  <c r="CQ96" i="13"/>
  <c r="CQ94" i="13"/>
  <c r="D94" i="13" s="1"/>
  <c r="CQ69" i="13"/>
  <c r="CQ73" i="13"/>
  <c r="D73" i="13" s="1"/>
  <c r="CQ93" i="13"/>
  <c r="D93" i="13" s="1"/>
  <c r="CQ95" i="13"/>
  <c r="CQ102" i="13"/>
  <c r="D102" i="13" s="1"/>
  <c r="CQ75" i="13"/>
  <c r="D75" i="13" s="1"/>
  <c r="CS6" i="13"/>
  <c r="CS7" i="13" s="1"/>
  <c r="CS8" i="13" s="1"/>
  <c r="CR22" i="13"/>
  <c r="BL66" i="13"/>
  <c r="BL64" i="13"/>
  <c r="BL69" i="13"/>
  <c r="BL65" i="13"/>
  <c r="BL67" i="13"/>
  <c r="BL68" i="13"/>
  <c r="BK66" i="13"/>
  <c r="BK64" i="13"/>
  <c r="BK69" i="13"/>
  <c r="BK65" i="13"/>
  <c r="BK67" i="13"/>
  <c r="BK68" i="13"/>
  <c r="E95" i="17"/>
  <c r="E66" i="17"/>
  <c r="E64" i="17"/>
  <c r="E96" i="17"/>
  <c r="E85" i="17"/>
  <c r="E88" i="17"/>
  <c r="E94" i="17"/>
  <c r="E103" i="17"/>
  <c r="E67" i="17"/>
  <c r="E84" i="17"/>
  <c r="E69" i="17"/>
  <c r="E76" i="17"/>
  <c r="E104" i="17"/>
  <c r="E86" i="17"/>
  <c r="E65" i="17"/>
  <c r="E75" i="17"/>
  <c r="E93" i="17"/>
  <c r="E74" i="17"/>
  <c r="E68" i="17"/>
  <c r="E73" i="17"/>
  <c r="F84" i="15"/>
  <c r="F103" i="15"/>
  <c r="F75" i="15"/>
  <c r="F94" i="15"/>
  <c r="F68" i="15"/>
  <c r="F86" i="15"/>
  <c r="F93" i="15"/>
  <c r="F73" i="15"/>
  <c r="F102" i="15"/>
  <c r="F76" i="15"/>
  <c r="F67" i="15"/>
  <c r="F88" i="15"/>
  <c r="F96" i="15"/>
  <c r="F66" i="15"/>
  <c r="F85" i="15"/>
  <c r="F104" i="15"/>
  <c r="F95" i="15"/>
  <c r="F69" i="15"/>
  <c r="F65" i="15"/>
  <c r="F64" i="15"/>
  <c r="F74" i="15"/>
  <c r="F84" i="16"/>
  <c r="F67" i="16"/>
  <c r="F86" i="16"/>
  <c r="F93" i="16"/>
  <c r="F66" i="16"/>
  <c r="F73" i="16"/>
  <c r="F85" i="16"/>
  <c r="F69" i="16"/>
  <c r="F76" i="16"/>
  <c r="F94" i="16"/>
  <c r="F65" i="16"/>
  <c r="F68" i="16"/>
  <c r="F75" i="16"/>
  <c r="F88" i="16"/>
  <c r="F64" i="16"/>
  <c r="F96" i="16"/>
  <c r="F95" i="16"/>
  <c r="F74" i="16"/>
  <c r="F76" i="17"/>
  <c r="F75" i="17"/>
  <c r="F102" i="17"/>
  <c r="IG13" i="13"/>
  <c r="MN8" i="13"/>
  <c r="CS13" i="15"/>
  <c r="KS13" i="15"/>
  <c r="LY13" i="15"/>
  <c r="CC5" i="13"/>
  <c r="CD6" i="13" s="1"/>
  <c r="KC13" i="16"/>
  <c r="DI13" i="17"/>
  <c r="OK13" i="15"/>
  <c r="JM13" i="17"/>
  <c r="CS13" i="16"/>
  <c r="JM13" i="15"/>
  <c r="FU13" i="13"/>
  <c r="EO13" i="15"/>
  <c r="KS13" i="13"/>
  <c r="KS13" i="16"/>
  <c r="BM13" i="16"/>
  <c r="HQ13" i="16"/>
  <c r="NE13" i="16"/>
  <c r="D110" i="16"/>
  <c r="D111" i="16" s="1"/>
  <c r="D109" i="16"/>
  <c r="CC13" i="16"/>
  <c r="CC7" i="16"/>
  <c r="DY13" i="15"/>
  <c r="JM13" i="16"/>
  <c r="GK13" i="16"/>
  <c r="NE13" i="15"/>
  <c r="OK13" i="16"/>
  <c r="LY13" i="17"/>
  <c r="MO13" i="17"/>
  <c r="IW13" i="17"/>
  <c r="BW75" i="9"/>
  <c r="BW64" i="9"/>
  <c r="BW95" i="9"/>
  <c r="BW103" i="9"/>
  <c r="BW68" i="9"/>
  <c r="BW104" i="9"/>
  <c r="BW96" i="9"/>
  <c r="BW85" i="9"/>
  <c r="BW73" i="9"/>
  <c r="BW65" i="9"/>
  <c r="BW67" i="9"/>
  <c r="BW76" i="9"/>
  <c r="BW66" i="9"/>
  <c r="BW94" i="9"/>
  <c r="BW84" i="9"/>
  <c r="BW102" i="9"/>
  <c r="BW69" i="9"/>
  <c r="BW74" i="9"/>
  <c r="BW88" i="9"/>
  <c r="BW93" i="9"/>
  <c r="BW86" i="9"/>
  <c r="IG13" i="15"/>
  <c r="MN8" i="17"/>
  <c r="FU13" i="16"/>
  <c r="NE13" i="13"/>
  <c r="KC13" i="17"/>
  <c r="LY13" i="16"/>
  <c r="NE13" i="17"/>
  <c r="EO13" i="17"/>
  <c r="CC13" i="15"/>
  <c r="D110" i="15"/>
  <c r="D111" i="15" s="1"/>
  <c r="MO13" i="16"/>
  <c r="D110" i="13"/>
  <c r="C114" i="13" s="1"/>
  <c r="BI86" i="9"/>
  <c r="BI68" i="9"/>
  <c r="BI75" i="9"/>
  <c r="BI67" i="9"/>
  <c r="BI94" i="9"/>
  <c r="BI103" i="9"/>
  <c r="BI64" i="9"/>
  <c r="BI65" i="9"/>
  <c r="BI93" i="9"/>
  <c r="BI104" i="9"/>
  <c r="BI95" i="9"/>
  <c r="BI88" i="9"/>
  <c r="BI66" i="9"/>
  <c r="BI85" i="9"/>
  <c r="BI84" i="9"/>
  <c r="BI96" i="9"/>
  <c r="BI74" i="9"/>
  <c r="BI76" i="9"/>
  <c r="BI102" i="9"/>
  <c r="BI69" i="9"/>
  <c r="BI73" i="9"/>
  <c r="LY13" i="13"/>
  <c r="BI6" i="9"/>
  <c r="BI9" i="9" s="1"/>
  <c r="AH8" i="9"/>
  <c r="IW5" i="16"/>
  <c r="HQ5" i="15"/>
  <c r="NE5" i="15"/>
  <c r="HA5" i="15"/>
  <c r="IG5" i="17"/>
  <c r="MO5" i="17"/>
  <c r="JM5" i="15"/>
  <c r="DY5" i="15"/>
  <c r="IG5" i="15"/>
  <c r="IW5" i="15"/>
  <c r="DY5" i="13"/>
  <c r="DZ6" i="13" s="1"/>
  <c r="NU5" i="13"/>
  <c r="NV6" i="13" s="1"/>
  <c r="ND7" i="13"/>
  <c r="ND8" i="13" s="1"/>
  <c r="LI5" i="13"/>
  <c r="FE5" i="15"/>
  <c r="NU5" i="15"/>
  <c r="JM5" i="16"/>
  <c r="BJ8" i="9"/>
  <c r="BJ5" i="9" s="1"/>
  <c r="GK5" i="17"/>
  <c r="HQ5" i="17"/>
  <c r="KR13" i="13"/>
  <c r="KS7" i="13"/>
  <c r="KR7" i="13"/>
  <c r="KR8" i="13" s="1"/>
  <c r="KS5" i="13"/>
  <c r="KT6" i="13" s="1"/>
  <c r="NU6" i="13"/>
  <c r="NE5" i="13"/>
  <c r="NF6" i="13" s="1"/>
  <c r="KS5" i="15"/>
  <c r="KT6" i="15" s="1"/>
  <c r="CC5" i="15"/>
  <c r="GK5" i="16"/>
  <c r="GL6" i="16" s="1"/>
  <c r="KC5" i="17"/>
  <c r="EO5" i="17"/>
  <c r="HA5" i="13"/>
  <c r="HB6" i="13" s="1"/>
  <c r="EO5" i="13"/>
  <c r="EP6" i="13" s="1"/>
  <c r="IG5" i="13"/>
  <c r="IH6" i="13" s="1"/>
  <c r="MO5" i="13"/>
  <c r="MP6" i="13" s="1"/>
  <c r="FU5" i="16"/>
  <c r="LI13" i="13"/>
  <c r="FE5" i="13"/>
  <c r="FF6" i="13" s="1"/>
  <c r="DI5" i="13"/>
  <c r="DJ6" i="13" s="1"/>
  <c r="FU5" i="15"/>
  <c r="KC5" i="16"/>
  <c r="HQ5" i="16"/>
  <c r="NT8" i="13"/>
  <c r="HQ5" i="13"/>
  <c r="HA5" i="16"/>
  <c r="LX13" i="13"/>
  <c r="LY7" i="13"/>
  <c r="OK5" i="13"/>
  <c r="OL6" i="13" s="1"/>
  <c r="CS5" i="16"/>
  <c r="IG5" i="16"/>
  <c r="DI5" i="17"/>
  <c r="CS5" i="13"/>
  <c r="CT6" i="13" s="1"/>
  <c r="FU5" i="13"/>
  <c r="FV6" i="13" s="1"/>
  <c r="LX7" i="13"/>
  <c r="LX8" i="13" s="1"/>
  <c r="OK6" i="13"/>
  <c r="OK13" i="13" s="1"/>
  <c r="KC5" i="13"/>
  <c r="KD6" i="13" s="1"/>
  <c r="JM5" i="13"/>
  <c r="JN6" i="13" s="1"/>
  <c r="CC6" i="13"/>
  <c r="CC7" i="13" s="1"/>
  <c r="CC8" i="13" s="1"/>
  <c r="GK5" i="15"/>
  <c r="FE5" i="16"/>
  <c r="EO5" i="16"/>
  <c r="LH13" i="13"/>
  <c r="LI7" i="13"/>
  <c r="LH7" i="13"/>
  <c r="LH8" i="13" s="1"/>
  <c r="GK5" i="13"/>
  <c r="GL6" i="13" s="1"/>
  <c r="IW5" i="13"/>
  <c r="IX6" i="13" s="1"/>
  <c r="LY5" i="13"/>
  <c r="BW6" i="9"/>
  <c r="BW9" i="9" s="1"/>
  <c r="BX8" i="9"/>
  <c r="BX5" i="9" s="1"/>
  <c r="DI5" i="15"/>
  <c r="DJ6" i="15" s="1"/>
  <c r="CS5" i="15"/>
  <c r="CT6" i="15" s="1"/>
  <c r="D110" i="17"/>
  <c r="D111" i="17" s="1"/>
  <c r="D109" i="17"/>
  <c r="E109" i="13"/>
  <c r="D109" i="15"/>
  <c r="EO5" i="15"/>
  <c r="FT11" i="17"/>
  <c r="MO7" i="17"/>
  <c r="MO8" i="17" s="1"/>
  <c r="IW5" i="17"/>
  <c r="IX6" i="17" s="1"/>
  <c r="LH11" i="17"/>
  <c r="HA5" i="17"/>
  <c r="KR8" i="17"/>
  <c r="JM5" i="17"/>
  <c r="JN6" i="17" s="1"/>
  <c r="NU5" i="17"/>
  <c r="NV6" i="17" s="1"/>
  <c r="NV7" i="17" s="1"/>
  <c r="LY5" i="17"/>
  <c r="LZ6" i="17" s="1"/>
  <c r="GJ8" i="17"/>
  <c r="LY7" i="17"/>
  <c r="FT7" i="17"/>
  <c r="FT8" i="17" s="1"/>
  <c r="FU5" i="17"/>
  <c r="DY5" i="17"/>
  <c r="LI13" i="17"/>
  <c r="LH8" i="17"/>
  <c r="NT8" i="17"/>
  <c r="ND8" i="17"/>
  <c r="GZ13" i="17"/>
  <c r="FD8" i="17"/>
  <c r="GZ7" i="17"/>
  <c r="GZ8" i="17" s="1"/>
  <c r="NE5" i="17"/>
  <c r="NU13" i="17"/>
  <c r="CS5" i="17"/>
  <c r="CT6" i="17" s="1"/>
  <c r="KS5" i="17"/>
  <c r="FU6" i="17"/>
  <c r="FU13" i="17" s="1"/>
  <c r="LH13" i="17"/>
  <c r="LI7" i="17"/>
  <c r="CC5" i="17"/>
  <c r="CD6" i="17" s="1"/>
  <c r="LI5" i="17"/>
  <c r="LJ6" i="17" s="1"/>
  <c r="FE5" i="17"/>
  <c r="FF6" i="17" s="1"/>
  <c r="MP6" i="17"/>
  <c r="OK5" i="17"/>
  <c r="OL6" i="17" s="1"/>
  <c r="KS6" i="17"/>
  <c r="KS11" i="17" s="1"/>
  <c r="NU7" i="17"/>
  <c r="LX8" i="17"/>
  <c r="DY5" i="16"/>
  <c r="DZ6" i="16" s="1"/>
  <c r="KS5" i="16"/>
  <c r="KT6" i="16" s="1"/>
  <c r="LX11" i="16"/>
  <c r="LH8" i="16"/>
  <c r="CC5" i="16"/>
  <c r="CD6" i="16" s="1"/>
  <c r="MN11" i="16"/>
  <c r="FD8" i="16"/>
  <c r="LY5" i="16"/>
  <c r="LZ6" i="16" s="1"/>
  <c r="LI5" i="16"/>
  <c r="LJ6" i="16" s="1"/>
  <c r="NU5" i="16"/>
  <c r="NV6" i="16" s="1"/>
  <c r="NT7" i="16"/>
  <c r="NT8" i="16" s="1"/>
  <c r="NU13" i="16"/>
  <c r="DI5" i="16"/>
  <c r="DJ6" i="16" s="1"/>
  <c r="MO7" i="16"/>
  <c r="KS7" i="16"/>
  <c r="KS8" i="16" s="1"/>
  <c r="MO5" i="16"/>
  <c r="ND13" i="16"/>
  <c r="ND7" i="16"/>
  <c r="ND8" i="16" s="1"/>
  <c r="LI6" i="16"/>
  <c r="DX8" i="16"/>
  <c r="LX8" i="16"/>
  <c r="NT13" i="16"/>
  <c r="NU7" i="16"/>
  <c r="OK5" i="16"/>
  <c r="OL6" i="16" s="1"/>
  <c r="LX13" i="16"/>
  <c r="LY7" i="16"/>
  <c r="MN7" i="16"/>
  <c r="MN8" i="16" s="1"/>
  <c r="NE5" i="16"/>
  <c r="OJ8" i="16"/>
  <c r="GZ8" i="15"/>
  <c r="ND11" i="15"/>
  <c r="KR8" i="15"/>
  <c r="ND7" i="15"/>
  <c r="ND8" i="15" s="1"/>
  <c r="OJ8" i="15"/>
  <c r="NT8" i="15"/>
  <c r="MN7" i="15"/>
  <c r="MN8" i="15" s="1"/>
  <c r="LH8" i="15"/>
  <c r="LX8" i="15"/>
  <c r="KC5" i="15"/>
  <c r="KD6" i="15" s="1"/>
  <c r="KC6" i="15"/>
  <c r="KC13" i="15" s="1"/>
  <c r="KS7" i="15"/>
  <c r="MN11" i="15"/>
  <c r="LI5" i="15"/>
  <c r="LJ6" i="15" s="1"/>
  <c r="NU13" i="15"/>
  <c r="FD8" i="15"/>
  <c r="LY7" i="15"/>
  <c r="OK5" i="15"/>
  <c r="OL6" i="15" s="1"/>
  <c r="NU7" i="15"/>
  <c r="LY5" i="15"/>
  <c r="NF6" i="15"/>
  <c r="NV6" i="15"/>
  <c r="LI6" i="15"/>
  <c r="LI11" i="15" s="1"/>
  <c r="MO5" i="15"/>
  <c r="IW7" i="16"/>
  <c r="IW8" i="16" s="1"/>
  <c r="IW13" i="16"/>
  <c r="HP7" i="16"/>
  <c r="HP8" i="16" s="1"/>
  <c r="HP13" i="16"/>
  <c r="HA7" i="16"/>
  <c r="HA8" i="16" s="1"/>
  <c r="HA13" i="16"/>
  <c r="GJ11" i="16"/>
  <c r="GJ13" i="16"/>
  <c r="FT11" i="16"/>
  <c r="FT13" i="16"/>
  <c r="FE7" i="16"/>
  <c r="FE13" i="16"/>
  <c r="EO7" i="16"/>
  <c r="EO13" i="16"/>
  <c r="DI7" i="16"/>
  <c r="DI8" i="16" s="1"/>
  <c r="DI13" i="16"/>
  <c r="OK6" i="17"/>
  <c r="OK13" i="17" s="1"/>
  <c r="IF11" i="17"/>
  <c r="IF13" i="17"/>
  <c r="HQ7" i="17"/>
  <c r="HQ8" i="17" s="1"/>
  <c r="HQ13" i="17"/>
  <c r="FE7" i="17"/>
  <c r="FE13" i="17"/>
  <c r="EN11" i="17"/>
  <c r="EN13" i="17"/>
  <c r="DX7" i="17"/>
  <c r="DX8" i="17" s="1"/>
  <c r="DX13" i="17"/>
  <c r="CS7" i="17"/>
  <c r="CS13" i="17"/>
  <c r="CC7" i="17"/>
  <c r="CC13" i="17"/>
  <c r="FT7" i="16"/>
  <c r="FT8" i="16" s="1"/>
  <c r="FT8" i="15"/>
  <c r="CR11" i="15"/>
  <c r="MO7" i="15"/>
  <c r="MO13" i="15"/>
  <c r="IF11" i="15"/>
  <c r="IF13" i="15"/>
  <c r="CB11" i="15"/>
  <c r="CB13" i="15"/>
  <c r="GK7" i="15"/>
  <c r="GK13" i="15"/>
  <c r="HB6" i="15"/>
  <c r="FF6" i="15"/>
  <c r="HQ7" i="16"/>
  <c r="GJ7" i="16"/>
  <c r="GJ8" i="16" s="1"/>
  <c r="HP11" i="16"/>
  <c r="GK7" i="16"/>
  <c r="DY6" i="16"/>
  <c r="IH6" i="16"/>
  <c r="EN7" i="17"/>
  <c r="EN8" i="17" s="1"/>
  <c r="KC7" i="13"/>
  <c r="KC8" i="13" s="1"/>
  <c r="KC13" i="13"/>
  <c r="HQ7" i="13"/>
  <c r="HQ8" i="13" s="1"/>
  <c r="HQ13" i="13"/>
  <c r="DY7" i="13"/>
  <c r="DY8" i="13" s="1"/>
  <c r="DY13" i="13"/>
  <c r="JM7" i="13"/>
  <c r="JM8" i="13" s="1"/>
  <c r="JM13" i="13"/>
  <c r="HA7" i="13"/>
  <c r="HA8" i="13" s="1"/>
  <c r="HA13" i="13"/>
  <c r="EO7" i="13"/>
  <c r="EO8" i="13" s="1"/>
  <c r="EO13" i="13"/>
  <c r="GK7" i="13"/>
  <c r="GK8" i="13" s="1"/>
  <c r="GK13" i="13"/>
  <c r="DI7" i="13"/>
  <c r="DI8" i="13" s="1"/>
  <c r="DI13" i="13"/>
  <c r="MO7" i="13"/>
  <c r="MO8" i="13" s="1"/>
  <c r="MO13" i="13"/>
  <c r="FE7" i="13"/>
  <c r="FE8" i="13" s="1"/>
  <c r="FE13" i="13"/>
  <c r="IW7" i="13"/>
  <c r="IW8" i="13" s="1"/>
  <c r="IW13" i="13"/>
  <c r="C113" i="13"/>
  <c r="BL8" i="13"/>
  <c r="BN9" i="13"/>
  <c r="BO10" i="13" s="1"/>
  <c r="BN4" i="13"/>
  <c r="CC8" i="16"/>
  <c r="DH8" i="17"/>
  <c r="BL8" i="17"/>
  <c r="EN8" i="15"/>
  <c r="MO11" i="17"/>
  <c r="MP9" i="17"/>
  <c r="MQ10" i="17" s="1"/>
  <c r="MP4" i="17"/>
  <c r="NE7" i="17"/>
  <c r="JM7" i="17"/>
  <c r="JM8" i="17" s="1"/>
  <c r="CB8" i="17"/>
  <c r="DI11" i="17"/>
  <c r="DJ9" i="17"/>
  <c r="DK10" i="17" s="1"/>
  <c r="DJ4" i="17"/>
  <c r="IW11" i="17"/>
  <c r="IX9" i="17"/>
  <c r="IY10" i="17" s="1"/>
  <c r="IX4" i="17"/>
  <c r="HB6" i="17"/>
  <c r="LY11" i="17"/>
  <c r="LZ9" i="17"/>
  <c r="MA10" i="17" s="1"/>
  <c r="LZ4" i="17"/>
  <c r="NE11" i="17"/>
  <c r="NF9" i="17"/>
  <c r="NG10" i="17" s="1"/>
  <c r="NF4" i="17"/>
  <c r="OL9" i="17"/>
  <c r="OM10" i="17" s="1"/>
  <c r="OL4" i="17"/>
  <c r="DZ4" i="17"/>
  <c r="DZ9" i="17"/>
  <c r="EA10" i="17" s="1"/>
  <c r="IW7" i="17"/>
  <c r="IV7" i="17"/>
  <c r="IV8" i="17" s="1"/>
  <c r="GK11" i="17"/>
  <c r="GL9" i="17"/>
  <c r="GM10" i="17" s="1"/>
  <c r="GL4" i="17"/>
  <c r="HA6" i="17"/>
  <c r="HA13" i="17" s="1"/>
  <c r="DI7" i="17"/>
  <c r="CC11" i="17"/>
  <c r="CD9" i="17"/>
  <c r="CE10" i="17" s="1"/>
  <c r="CD4" i="17"/>
  <c r="EO11" i="17"/>
  <c r="EP6" i="17"/>
  <c r="EP9" i="17"/>
  <c r="EQ10" i="17" s="1"/>
  <c r="EP4" i="17"/>
  <c r="BM5" i="17"/>
  <c r="HQ11" i="17"/>
  <c r="HR9" i="17"/>
  <c r="HS10" i="17" s="1"/>
  <c r="HR6" i="17"/>
  <c r="HR4" i="17"/>
  <c r="EO7" i="17"/>
  <c r="HB9" i="17"/>
  <c r="HC10" i="17" s="1"/>
  <c r="HB4" i="17"/>
  <c r="DY6" i="17"/>
  <c r="KC11" i="17"/>
  <c r="KD9" i="17"/>
  <c r="KE10" i="17" s="1"/>
  <c r="KD4" i="17"/>
  <c r="BN4" i="17"/>
  <c r="BN9" i="17"/>
  <c r="BO10" i="17" s="1"/>
  <c r="KC7" i="17"/>
  <c r="KC8" i="17" s="1"/>
  <c r="FV4" i="17"/>
  <c r="FV9" i="17"/>
  <c r="FW10" i="17" s="1"/>
  <c r="NU11" i="17"/>
  <c r="NV9" i="17"/>
  <c r="NW10" i="17" s="1"/>
  <c r="NV4" i="17"/>
  <c r="BM6" i="17"/>
  <c r="BM13" i="17" s="1"/>
  <c r="LI11" i="17"/>
  <c r="LJ9" i="17"/>
  <c r="LK10" i="17" s="1"/>
  <c r="LJ4" i="17"/>
  <c r="IF7" i="17"/>
  <c r="IF8" i="17" s="1"/>
  <c r="DX11" i="17"/>
  <c r="IV11" i="17"/>
  <c r="KT9" i="17"/>
  <c r="KU10" i="17" s="1"/>
  <c r="KT4" i="17"/>
  <c r="CS11" i="17"/>
  <c r="CT4" i="17"/>
  <c r="CT9" i="17"/>
  <c r="CU10" i="17" s="1"/>
  <c r="GK7" i="17"/>
  <c r="IH6" i="17"/>
  <c r="IH9" i="17"/>
  <c r="II10" i="17" s="1"/>
  <c r="IH4" i="17"/>
  <c r="CR8" i="17"/>
  <c r="FE11" i="17"/>
  <c r="FF9" i="17"/>
  <c r="FG10" i="17" s="1"/>
  <c r="FF4" i="17"/>
  <c r="JM11" i="17"/>
  <c r="JN9" i="17"/>
  <c r="JO10" i="17" s="1"/>
  <c r="JN4" i="17"/>
  <c r="BM7" i="16"/>
  <c r="BM8" i="16" s="1"/>
  <c r="DI11" i="16"/>
  <c r="DJ4" i="16"/>
  <c r="DJ9" i="16"/>
  <c r="DK10" i="16" s="1"/>
  <c r="CS7" i="16"/>
  <c r="CR7" i="16"/>
  <c r="CR8" i="16" s="1"/>
  <c r="EN8" i="16"/>
  <c r="BM5" i="16"/>
  <c r="BN6" i="16" s="1"/>
  <c r="KC7" i="16"/>
  <c r="KC8" i="16" s="1"/>
  <c r="CS11" i="16"/>
  <c r="CT9" i="16"/>
  <c r="CU10" i="16" s="1"/>
  <c r="CT4" i="16"/>
  <c r="OK7" i="16"/>
  <c r="NU11" i="16"/>
  <c r="NV4" i="16"/>
  <c r="NV9" i="16"/>
  <c r="NW10" i="16" s="1"/>
  <c r="GK11" i="16"/>
  <c r="GL9" i="16"/>
  <c r="GM10" i="16" s="1"/>
  <c r="GL4" i="16"/>
  <c r="KC11" i="16"/>
  <c r="KD4" i="16"/>
  <c r="KD9" i="16"/>
  <c r="KE10" i="16" s="1"/>
  <c r="JM11" i="16"/>
  <c r="JN4" i="16"/>
  <c r="JN9" i="16"/>
  <c r="JO10" i="16" s="1"/>
  <c r="MO11" i="16"/>
  <c r="MP9" i="16"/>
  <c r="MQ10" i="16" s="1"/>
  <c r="MP4" i="16"/>
  <c r="OK11" i="16"/>
  <c r="OL4" i="16"/>
  <c r="OL9" i="16"/>
  <c r="OM10" i="16" s="1"/>
  <c r="BM11" i="16"/>
  <c r="BN9" i="16"/>
  <c r="BO10" i="16" s="1"/>
  <c r="BN4" i="16"/>
  <c r="LJ9" i="16"/>
  <c r="LK10" i="16" s="1"/>
  <c r="LJ4" i="16"/>
  <c r="FV9" i="16"/>
  <c r="FW10" i="16" s="1"/>
  <c r="FU11" i="16"/>
  <c r="FV4" i="16"/>
  <c r="HQ11" i="16"/>
  <c r="HR4" i="16"/>
  <c r="HR9" i="16"/>
  <c r="HS10" i="16" s="1"/>
  <c r="IW11" i="16"/>
  <c r="IX9" i="16"/>
  <c r="IY10" i="16" s="1"/>
  <c r="IX4" i="16"/>
  <c r="JM7" i="16"/>
  <c r="JM8" i="16" s="1"/>
  <c r="EO11" i="16"/>
  <c r="EP4" i="16"/>
  <c r="EP9" i="16"/>
  <c r="EQ10" i="16" s="1"/>
  <c r="NE11" i="16"/>
  <c r="NF4" i="16"/>
  <c r="NF9" i="16"/>
  <c r="NG10" i="16" s="1"/>
  <c r="CC11" i="16"/>
  <c r="CD4" i="16"/>
  <c r="CD9" i="16"/>
  <c r="CE10" i="16" s="1"/>
  <c r="CR11" i="16"/>
  <c r="FU7" i="16"/>
  <c r="NE7" i="16"/>
  <c r="HA11" i="16"/>
  <c r="HB9" i="16"/>
  <c r="HC10" i="16" s="1"/>
  <c r="HB4" i="16"/>
  <c r="HB6" i="16"/>
  <c r="IG13" i="16"/>
  <c r="FE11" i="16"/>
  <c r="FF4" i="16"/>
  <c r="FF9" i="16"/>
  <c r="FG10" i="16" s="1"/>
  <c r="IH4" i="16"/>
  <c r="IH9" i="16"/>
  <c r="II10" i="16" s="1"/>
  <c r="KT9" i="16"/>
  <c r="KU10" i="16" s="1"/>
  <c r="KS11" i="16"/>
  <c r="KT4" i="16"/>
  <c r="LY11" i="16"/>
  <c r="LZ4" i="16"/>
  <c r="LZ9" i="16"/>
  <c r="MA10" i="16" s="1"/>
  <c r="DZ4" i="16"/>
  <c r="DZ9" i="16"/>
  <c r="EA10" i="16" s="1"/>
  <c r="FU7" i="15"/>
  <c r="HQ7" i="15"/>
  <c r="HP7" i="15"/>
  <c r="HP8" i="15" s="1"/>
  <c r="IX9" i="15"/>
  <c r="IY10" i="15" s="1"/>
  <c r="IX4" i="15"/>
  <c r="BM5" i="15"/>
  <c r="BN6" i="15" s="1"/>
  <c r="DZ9" i="15"/>
  <c r="EA10" i="15" s="1"/>
  <c r="DZ4" i="15"/>
  <c r="DY11" i="15"/>
  <c r="MO11" i="15"/>
  <c r="MP9" i="15"/>
  <c r="MQ10" i="15" s="1"/>
  <c r="MP4" i="15"/>
  <c r="BN9" i="15"/>
  <c r="BO10" i="15" s="1"/>
  <c r="BN4" i="15"/>
  <c r="FE6" i="15"/>
  <c r="DH8" i="15"/>
  <c r="OL9" i="15"/>
  <c r="OM10" i="15" s="1"/>
  <c r="OK11" i="15"/>
  <c r="OL4" i="15"/>
  <c r="GJ8" i="15"/>
  <c r="HQ11" i="15"/>
  <c r="HR9" i="15"/>
  <c r="HS10" i="15" s="1"/>
  <c r="HR4" i="15"/>
  <c r="BL8" i="15"/>
  <c r="IG7" i="15"/>
  <c r="IF7" i="15"/>
  <c r="IF8" i="15" s="1"/>
  <c r="HB9" i="15"/>
  <c r="HC10" i="15" s="1"/>
  <c r="HB4" i="15"/>
  <c r="BM6" i="15"/>
  <c r="BM13" i="15" s="1"/>
  <c r="JM7" i="15"/>
  <c r="JM8" i="15" s="1"/>
  <c r="DX8" i="15"/>
  <c r="HA6" i="15"/>
  <c r="LJ9" i="15"/>
  <c r="LK10" i="15" s="1"/>
  <c r="LJ4" i="15"/>
  <c r="CC7" i="15"/>
  <c r="CB7" i="15"/>
  <c r="CB8" i="15" s="1"/>
  <c r="OK7" i="15"/>
  <c r="GK11" i="15"/>
  <c r="GL9" i="15"/>
  <c r="GM10" i="15" s="1"/>
  <c r="GL6" i="15"/>
  <c r="GL4" i="15"/>
  <c r="HP11" i="15"/>
  <c r="CD9" i="15"/>
  <c r="CE10" i="15" s="1"/>
  <c r="CC11" i="15"/>
  <c r="CD6" i="15"/>
  <c r="CD4" i="15"/>
  <c r="NV9" i="15"/>
  <c r="NW10" i="15" s="1"/>
  <c r="NV4" i="15"/>
  <c r="NU11" i="15"/>
  <c r="KT9" i="15"/>
  <c r="KU10" i="15" s="1"/>
  <c r="KS11" i="15"/>
  <c r="KT4" i="15"/>
  <c r="DJ9" i="15"/>
  <c r="DK10" i="15" s="1"/>
  <c r="DJ4" i="15"/>
  <c r="JN9" i="15"/>
  <c r="JO10" i="15" s="1"/>
  <c r="JM11" i="15"/>
  <c r="JN6" i="15"/>
  <c r="JN4" i="15"/>
  <c r="FV9" i="15"/>
  <c r="FW10" i="15" s="1"/>
  <c r="FU11" i="15"/>
  <c r="FV4" i="15"/>
  <c r="IH9" i="15"/>
  <c r="II10" i="15" s="1"/>
  <c r="IH4" i="15"/>
  <c r="IG11" i="15"/>
  <c r="IH6" i="15"/>
  <c r="FF9" i="15"/>
  <c r="FG10" i="15" s="1"/>
  <c r="FF4" i="15"/>
  <c r="NE7" i="15"/>
  <c r="LZ9" i="15"/>
  <c r="MA10" i="15" s="1"/>
  <c r="LY11" i="15"/>
  <c r="LZ4" i="15"/>
  <c r="EP9" i="15"/>
  <c r="EQ10" i="15" s="1"/>
  <c r="EP6" i="15"/>
  <c r="EO11" i="15"/>
  <c r="EP4" i="15"/>
  <c r="CS11" i="15"/>
  <c r="CT9" i="15"/>
  <c r="CU10" i="15" s="1"/>
  <c r="CT4" i="15"/>
  <c r="NF9" i="15"/>
  <c r="NG10" i="15" s="1"/>
  <c r="NF4" i="15"/>
  <c r="NE11" i="15"/>
  <c r="KD9" i="15"/>
  <c r="KE10" i="15" s="1"/>
  <c r="KD4" i="15"/>
  <c r="EO7" i="15"/>
  <c r="DY7" i="15"/>
  <c r="DI6" i="15"/>
  <c r="DI13" i="15" s="1"/>
  <c r="CS7" i="15"/>
  <c r="CR7" i="15"/>
  <c r="CR8" i="15" s="1"/>
  <c r="BM6" i="13"/>
  <c r="LJ4" i="13"/>
  <c r="LJ9" i="13"/>
  <c r="LK10" i="13" s="1"/>
  <c r="LI11" i="13"/>
  <c r="MP9" i="13"/>
  <c r="MQ10" i="13" s="1"/>
  <c r="MO11" i="13"/>
  <c r="MP4" i="13"/>
  <c r="BM5" i="13"/>
  <c r="BM22" i="13" s="1"/>
  <c r="HR6" i="13"/>
  <c r="DI11" i="13"/>
  <c r="IG11" i="13"/>
  <c r="FU11" i="13"/>
  <c r="KD9" i="13"/>
  <c r="KE10" i="13" s="1"/>
  <c r="KC11" i="13"/>
  <c r="KD4" i="13"/>
  <c r="JN9" i="13"/>
  <c r="JO10" i="13" s="1"/>
  <c r="JM11" i="13"/>
  <c r="JN4" i="13"/>
  <c r="GK11" i="13"/>
  <c r="HQ11" i="13"/>
  <c r="EO11" i="13"/>
  <c r="DY11" i="13"/>
  <c r="IW11" i="13"/>
  <c r="HA11" i="13"/>
  <c r="FE11" i="13"/>
  <c r="LZ4" i="13"/>
  <c r="DZ4" i="13"/>
  <c r="LY11" i="13"/>
  <c r="LZ9" i="13"/>
  <c r="MA10" i="13" s="1"/>
  <c r="DZ9" i="13"/>
  <c r="EA10" i="13" s="1"/>
  <c r="IH9" i="13"/>
  <c r="II10" i="13" s="1"/>
  <c r="IH4" i="13"/>
  <c r="KT9" i="13"/>
  <c r="KU10" i="13" s="1"/>
  <c r="KS11" i="13"/>
  <c r="KT4" i="13"/>
  <c r="HB9" i="13"/>
  <c r="HC10" i="13" s="1"/>
  <c r="HB4" i="13"/>
  <c r="HC4" i="13" s="1"/>
  <c r="FF4" i="13"/>
  <c r="FF9" i="13"/>
  <c r="FG10" i="13" s="1"/>
  <c r="EP4" i="13"/>
  <c r="EP9" i="13"/>
  <c r="EQ10" i="13" s="1"/>
  <c r="HR4" i="13"/>
  <c r="HR9" i="13"/>
  <c r="HS10" i="13" s="1"/>
  <c r="CT9" i="13"/>
  <c r="CU10" i="13" s="1"/>
  <c r="CT4" i="13"/>
  <c r="CD4" i="13"/>
  <c r="CD9" i="13"/>
  <c r="CE10" i="13" s="1"/>
  <c r="IX9" i="13"/>
  <c r="IY10" i="13" s="1"/>
  <c r="IX4" i="13"/>
  <c r="FV9" i="13"/>
  <c r="FW10" i="13" s="1"/>
  <c r="FV4" i="13"/>
  <c r="NF9" i="13"/>
  <c r="NG10" i="13" s="1"/>
  <c r="NE11" i="13"/>
  <c r="NF4" i="13"/>
  <c r="DJ4" i="13"/>
  <c r="DJ9" i="13"/>
  <c r="DK10" i="13" s="1"/>
  <c r="GL4" i="13"/>
  <c r="GL9" i="13"/>
  <c r="GM10" i="13" s="1"/>
  <c r="NE7" i="13"/>
  <c r="NU11" i="13"/>
  <c r="NV4" i="13"/>
  <c r="NV9" i="13"/>
  <c r="NW10" i="13" s="1"/>
  <c r="FU7" i="13"/>
  <c r="FU8" i="13" s="1"/>
  <c r="IG7" i="13"/>
  <c r="IG8" i="13" s="1"/>
  <c r="OL9" i="13"/>
  <c r="OM10" i="13" s="1"/>
  <c r="OL4" i="13"/>
  <c r="D88" i="13" l="1"/>
  <c r="D64" i="13"/>
  <c r="D76" i="13"/>
  <c r="D66" i="13"/>
  <c r="D96" i="13"/>
  <c r="D104" i="13"/>
  <c r="BM94" i="13"/>
  <c r="BM74" i="13"/>
  <c r="BM93" i="13"/>
  <c r="BM73" i="13"/>
  <c r="BM88" i="13"/>
  <c r="BM104" i="13"/>
  <c r="BM86" i="13"/>
  <c r="BM75" i="13"/>
  <c r="BM103" i="13"/>
  <c r="BM85" i="13"/>
  <c r="BM102" i="13"/>
  <c r="BM84" i="13"/>
  <c r="BM96" i="13"/>
  <c r="BM76" i="13"/>
  <c r="BM95" i="13"/>
  <c r="D95" i="13"/>
  <c r="D84" i="13"/>
  <c r="D68" i="13"/>
  <c r="D65" i="13"/>
  <c r="CS11" i="13"/>
  <c r="CS13" i="13"/>
  <c r="D67" i="13"/>
  <c r="D69" i="13"/>
  <c r="CS22" i="13"/>
  <c r="CR64" i="13"/>
  <c r="E64" i="13" s="1"/>
  <c r="CR85" i="13"/>
  <c r="E85" i="13" s="1"/>
  <c r="CR65" i="13"/>
  <c r="E65" i="13" s="1"/>
  <c r="CR86" i="13"/>
  <c r="E86" i="13" s="1"/>
  <c r="CR66" i="13"/>
  <c r="E66" i="13" s="1"/>
  <c r="CR73" i="13"/>
  <c r="E73" i="13" s="1"/>
  <c r="CR75" i="13"/>
  <c r="E75" i="13" s="1"/>
  <c r="CR95" i="13"/>
  <c r="E95" i="13" s="1"/>
  <c r="CR84" i="13"/>
  <c r="E84" i="13" s="1"/>
  <c r="CR76" i="13"/>
  <c r="E76" i="13" s="1"/>
  <c r="CR74" i="13"/>
  <c r="E74" i="13" s="1"/>
  <c r="CR93" i="13"/>
  <c r="E93" i="13" s="1"/>
  <c r="CR103" i="13"/>
  <c r="E103" i="13" s="1"/>
  <c r="CR69" i="13"/>
  <c r="E69" i="13" s="1"/>
  <c r="CR104" i="13"/>
  <c r="E104" i="13" s="1"/>
  <c r="CR96" i="13"/>
  <c r="E96" i="13" s="1"/>
  <c r="CR68" i="13"/>
  <c r="E68" i="13" s="1"/>
  <c r="CR102" i="13"/>
  <c r="E102" i="13" s="1"/>
  <c r="CR94" i="13"/>
  <c r="E94" i="13" s="1"/>
  <c r="CR67" i="13"/>
  <c r="E67" i="13" s="1"/>
  <c r="CR88" i="13"/>
  <c r="E88" i="13" s="1"/>
  <c r="BM66" i="13"/>
  <c r="BM68" i="13"/>
  <c r="BM69" i="13"/>
  <c r="BM67" i="13"/>
  <c r="BM64" i="13"/>
  <c r="BM65" i="13"/>
  <c r="BN22" i="13"/>
  <c r="BN65" i="13"/>
  <c r="F104" i="17"/>
  <c r="F67" i="17"/>
  <c r="F93" i="17"/>
  <c r="F74" i="17"/>
  <c r="F64" i="17"/>
  <c r="F96" i="17"/>
  <c r="F85" i="17"/>
  <c r="F84" i="17"/>
  <c r="F65" i="17"/>
  <c r="F88" i="17"/>
  <c r="F73" i="17"/>
  <c r="F103" i="17"/>
  <c r="F66" i="17"/>
  <c r="F94" i="17"/>
  <c r="F68" i="17"/>
  <c r="F95" i="17"/>
  <c r="F86" i="17"/>
  <c r="F69" i="17"/>
  <c r="MP13" i="17"/>
  <c r="G84" i="16"/>
  <c r="G86" i="16"/>
  <c r="G67" i="16"/>
  <c r="G66" i="16"/>
  <c r="G93" i="16"/>
  <c r="G73" i="16"/>
  <c r="G85" i="16"/>
  <c r="G69" i="16"/>
  <c r="G76" i="16"/>
  <c r="G65" i="16"/>
  <c r="G94" i="16"/>
  <c r="G68" i="16"/>
  <c r="G75" i="16"/>
  <c r="G88" i="16"/>
  <c r="G64" i="16"/>
  <c r="G96" i="16"/>
  <c r="G95" i="16"/>
  <c r="G74" i="16"/>
  <c r="G84" i="17"/>
  <c r="G66" i="17"/>
  <c r="G73" i="17"/>
  <c r="G69" i="17"/>
  <c r="G68" i="17"/>
  <c r="G96" i="17"/>
  <c r="G102" i="17"/>
  <c r="G67" i="17"/>
  <c r="BN13" i="16"/>
  <c r="G84" i="15"/>
  <c r="G103" i="15"/>
  <c r="G75" i="15"/>
  <c r="G94" i="15"/>
  <c r="G86" i="15"/>
  <c r="G68" i="15"/>
  <c r="G73" i="15"/>
  <c r="G93" i="15"/>
  <c r="G102" i="15"/>
  <c r="G76" i="15"/>
  <c r="G67" i="15"/>
  <c r="G88" i="15"/>
  <c r="G96" i="15"/>
  <c r="G85" i="15"/>
  <c r="G104" i="15"/>
  <c r="G66" i="15"/>
  <c r="G95" i="15"/>
  <c r="G69" i="15"/>
  <c r="G65" i="15"/>
  <c r="G64" i="15"/>
  <c r="G74" i="15"/>
  <c r="OK7" i="13"/>
  <c r="OK8" i="13" s="1"/>
  <c r="OK11" i="13"/>
  <c r="MP13" i="13"/>
  <c r="LI8" i="13"/>
  <c r="NE8" i="13"/>
  <c r="LY8" i="13"/>
  <c r="BO4" i="13"/>
  <c r="D112" i="13"/>
  <c r="D113" i="13" s="1"/>
  <c r="D111" i="13"/>
  <c r="CC13" i="13"/>
  <c r="CC11" i="13"/>
  <c r="BN13" i="15"/>
  <c r="EP13" i="17"/>
  <c r="JN13" i="13"/>
  <c r="CD13" i="15"/>
  <c r="OL13" i="16"/>
  <c r="CT13" i="13"/>
  <c r="KT13" i="13"/>
  <c r="GL13" i="13"/>
  <c r="HB13" i="16"/>
  <c r="C114" i="17"/>
  <c r="D112" i="16"/>
  <c r="D113" i="16" s="1"/>
  <c r="LZ13" i="16"/>
  <c r="C114" i="16"/>
  <c r="E109" i="17"/>
  <c r="E110" i="16"/>
  <c r="D114" i="16" s="1"/>
  <c r="D112" i="15"/>
  <c r="D113" i="15" s="1"/>
  <c r="C114" i="15"/>
  <c r="CD13" i="16"/>
  <c r="CD7" i="16"/>
  <c r="CD8" i="16" s="1"/>
  <c r="CD5" i="13"/>
  <c r="CE6" i="13" s="1"/>
  <c r="DJ13" i="13"/>
  <c r="HB13" i="17"/>
  <c r="NF13" i="15"/>
  <c r="LJ13" i="15"/>
  <c r="DJ13" i="15"/>
  <c r="FV13" i="13"/>
  <c r="IX13" i="13"/>
  <c r="IH13" i="15"/>
  <c r="E109" i="16"/>
  <c r="FF13" i="15"/>
  <c r="KT13" i="16"/>
  <c r="LJ13" i="17"/>
  <c r="E110" i="13"/>
  <c r="E111" i="13" s="1"/>
  <c r="HB13" i="15"/>
  <c r="LJ13" i="16"/>
  <c r="IH13" i="16"/>
  <c r="IX13" i="16"/>
  <c r="HR13" i="17"/>
  <c r="CT13" i="15"/>
  <c r="IH13" i="17"/>
  <c r="E110" i="15"/>
  <c r="D114" i="15" s="1"/>
  <c r="BX95" i="9"/>
  <c r="BX67" i="9"/>
  <c r="BX68" i="9"/>
  <c r="BX104" i="9"/>
  <c r="BX75" i="9"/>
  <c r="BX73" i="9"/>
  <c r="BX86" i="9"/>
  <c r="BX69" i="9"/>
  <c r="BX84" i="9"/>
  <c r="BX76" i="9"/>
  <c r="BX88" i="9"/>
  <c r="BX66" i="9"/>
  <c r="BX85" i="9"/>
  <c r="BX96" i="9"/>
  <c r="BX102" i="9"/>
  <c r="BX65" i="9"/>
  <c r="BX94" i="9"/>
  <c r="BX64" i="9"/>
  <c r="BX103" i="9"/>
  <c r="BX74" i="9"/>
  <c r="BX93" i="9"/>
  <c r="BJ67" i="9"/>
  <c r="BJ86" i="9"/>
  <c r="BJ85" i="9"/>
  <c r="BJ68" i="9"/>
  <c r="BJ75" i="9"/>
  <c r="BJ74" i="9"/>
  <c r="BJ102" i="9"/>
  <c r="BJ65" i="9"/>
  <c r="BJ64" i="9"/>
  <c r="BJ73" i="9"/>
  <c r="BJ69" i="9"/>
  <c r="BJ103" i="9"/>
  <c r="BJ84" i="9"/>
  <c r="BJ76" i="9"/>
  <c r="BJ66" i="9"/>
  <c r="BJ94" i="9"/>
  <c r="BJ88" i="9"/>
  <c r="BJ104" i="9"/>
  <c r="BJ96" i="9"/>
  <c r="BJ93" i="9"/>
  <c r="BJ95" i="9"/>
  <c r="IX13" i="15"/>
  <c r="DZ13" i="16"/>
  <c r="KT13" i="15"/>
  <c r="LZ13" i="17"/>
  <c r="BK5" i="9"/>
  <c r="BJ6" i="9"/>
  <c r="BJ9" i="9" s="1"/>
  <c r="FF5" i="16"/>
  <c r="NV13" i="13"/>
  <c r="KD5" i="13"/>
  <c r="KE6" i="13" s="1"/>
  <c r="HR5" i="13"/>
  <c r="HS6" i="13" s="1"/>
  <c r="GL5" i="16"/>
  <c r="LZ5" i="13"/>
  <c r="MP5" i="13"/>
  <c r="MQ6" i="13" s="1"/>
  <c r="IX5" i="13"/>
  <c r="IY6" i="13" s="1"/>
  <c r="GL5" i="13"/>
  <c r="GM6" i="13" s="1"/>
  <c r="CT5" i="13"/>
  <c r="CU6" i="13" s="1"/>
  <c r="NV5" i="13"/>
  <c r="NW6" i="13" s="1"/>
  <c r="NF5" i="15"/>
  <c r="GL5" i="15"/>
  <c r="IH5" i="15"/>
  <c r="JN5" i="16"/>
  <c r="LK4" i="13"/>
  <c r="LL4" i="13" s="1"/>
  <c r="AI8" i="9"/>
  <c r="HR5" i="15"/>
  <c r="DZ5" i="15"/>
  <c r="FV5" i="16"/>
  <c r="IH5" i="17"/>
  <c r="HR5" i="17"/>
  <c r="E110" i="17"/>
  <c r="D114" i="17" s="1"/>
  <c r="NF5" i="13"/>
  <c r="NG6" i="13" s="1"/>
  <c r="KT5" i="13"/>
  <c r="KU6" i="13" s="1"/>
  <c r="DZ5" i="13"/>
  <c r="FV5" i="15"/>
  <c r="CD5" i="15"/>
  <c r="HB5" i="16"/>
  <c r="KD5" i="17"/>
  <c r="DJ5" i="17"/>
  <c r="E109" i="15"/>
  <c r="OL5" i="13"/>
  <c r="OM6" i="13" s="1"/>
  <c r="IH5" i="13"/>
  <c r="II6" i="13" s="1"/>
  <c r="NU13" i="13"/>
  <c r="NV7" i="13"/>
  <c r="NU7" i="13"/>
  <c r="NU8" i="13" s="1"/>
  <c r="KS8" i="13"/>
  <c r="EP5" i="16"/>
  <c r="GL5" i="17"/>
  <c r="DZ5" i="16"/>
  <c r="IX5" i="16"/>
  <c r="KD5" i="16"/>
  <c r="DJ5" i="13"/>
  <c r="DK6" i="13" s="1"/>
  <c r="EP5" i="13"/>
  <c r="EQ6" i="13" s="1"/>
  <c r="EP5" i="17"/>
  <c r="HR5" i="16"/>
  <c r="BO9" i="13"/>
  <c r="BP10" i="13" s="1"/>
  <c r="MA6" i="13"/>
  <c r="KT5" i="15"/>
  <c r="HB5" i="15"/>
  <c r="IH5" i="16"/>
  <c r="FV5" i="13"/>
  <c r="FW6" i="13" s="1"/>
  <c r="FF5" i="13"/>
  <c r="FG6" i="13" s="1"/>
  <c r="HB5" i="13"/>
  <c r="HC6" i="13" s="1"/>
  <c r="LJ5" i="13"/>
  <c r="BK8" i="9"/>
  <c r="FF5" i="15"/>
  <c r="JN5" i="15"/>
  <c r="IX5" i="15"/>
  <c r="IY6" i="15" s="1"/>
  <c r="CT5" i="16"/>
  <c r="JN5" i="13"/>
  <c r="JO6" i="13" s="1"/>
  <c r="LJ6" i="13"/>
  <c r="LJ11" i="13" s="1"/>
  <c r="LZ6" i="13"/>
  <c r="LZ11" i="13" s="1"/>
  <c r="BX6" i="9"/>
  <c r="BX9" i="9" s="1"/>
  <c r="BY8" i="9"/>
  <c r="BY5" i="9" s="1"/>
  <c r="D112" i="17"/>
  <c r="D113" i="17" s="1"/>
  <c r="DJ5" i="15"/>
  <c r="CT5" i="15"/>
  <c r="CU6" i="15" s="1"/>
  <c r="EP5" i="15"/>
  <c r="EQ6" i="15" s="1"/>
  <c r="IX5" i="17"/>
  <c r="IY6" i="17" s="1"/>
  <c r="HB5" i="17"/>
  <c r="HC6" i="17" s="1"/>
  <c r="LZ5" i="17"/>
  <c r="MA6" i="17" s="1"/>
  <c r="NV5" i="17"/>
  <c r="NW6" i="17" s="1"/>
  <c r="JN5" i="17"/>
  <c r="LY8" i="17"/>
  <c r="DZ5" i="17"/>
  <c r="EA6" i="17" s="1"/>
  <c r="DZ6" i="17"/>
  <c r="DZ13" i="17" s="1"/>
  <c r="NU8" i="17"/>
  <c r="NV8" i="17" s="1"/>
  <c r="LJ7" i="17"/>
  <c r="FE8" i="17"/>
  <c r="FV5" i="17"/>
  <c r="GK8" i="17"/>
  <c r="OL13" i="17"/>
  <c r="OL7" i="17"/>
  <c r="NE8" i="17"/>
  <c r="NF5" i="17"/>
  <c r="NG6" i="17" s="1"/>
  <c r="MP7" i="17"/>
  <c r="MP8" i="17" s="1"/>
  <c r="BM11" i="17"/>
  <c r="MP5" i="17"/>
  <c r="FF5" i="17"/>
  <c r="FG6" i="17" s="1"/>
  <c r="KT5" i="17"/>
  <c r="NF6" i="17"/>
  <c r="FU11" i="17"/>
  <c r="OK11" i="17"/>
  <c r="KS13" i="17"/>
  <c r="KS7" i="17"/>
  <c r="KS8" i="17" s="1"/>
  <c r="LJ5" i="17"/>
  <c r="LK6" i="17" s="1"/>
  <c r="CT5" i="17"/>
  <c r="CU6" i="17" s="1"/>
  <c r="KT6" i="17"/>
  <c r="KT13" i="17" s="1"/>
  <c r="FU7" i="17"/>
  <c r="FU8" i="17" s="1"/>
  <c r="CD5" i="17"/>
  <c r="CE6" i="17" s="1"/>
  <c r="NV13" i="17"/>
  <c r="LI8" i="17"/>
  <c r="CS8" i="17"/>
  <c r="LZ5" i="16"/>
  <c r="MA6" i="16" s="1"/>
  <c r="CD5" i="16"/>
  <c r="CE6" i="16" s="1"/>
  <c r="EO8" i="16"/>
  <c r="NU8" i="16"/>
  <c r="NV5" i="16"/>
  <c r="NW6" i="16" s="1"/>
  <c r="NW7" i="16" s="1"/>
  <c r="LJ5" i="16"/>
  <c r="LK6" i="16" s="1"/>
  <c r="FE8" i="16"/>
  <c r="HQ8" i="16"/>
  <c r="MO8" i="16"/>
  <c r="NF5" i="16"/>
  <c r="NG6" i="16" s="1"/>
  <c r="NF6" i="16"/>
  <c r="NF13" i="16" s="1"/>
  <c r="MP5" i="16"/>
  <c r="MQ6" i="16" s="1"/>
  <c r="LY8" i="16"/>
  <c r="OL7" i="16"/>
  <c r="LI13" i="16"/>
  <c r="LJ7" i="16"/>
  <c r="LI7" i="16"/>
  <c r="LI8" i="16" s="1"/>
  <c r="LI11" i="16"/>
  <c r="OK8" i="16"/>
  <c r="NV13" i="16"/>
  <c r="DJ5" i="16"/>
  <c r="DK6" i="16" s="1"/>
  <c r="MP6" i="16"/>
  <c r="MP11" i="16" s="1"/>
  <c r="NV7" i="16"/>
  <c r="KT5" i="16"/>
  <c r="GK8" i="16"/>
  <c r="OL5" i="16"/>
  <c r="NE8" i="16"/>
  <c r="MO8" i="15"/>
  <c r="OK8" i="15"/>
  <c r="FU8" i="15"/>
  <c r="KC7" i="15"/>
  <c r="KC8" i="15" s="1"/>
  <c r="KS8" i="15"/>
  <c r="NU8" i="15"/>
  <c r="KD5" i="15"/>
  <c r="KE6" i="15" s="1"/>
  <c r="LY8" i="15"/>
  <c r="KC11" i="15"/>
  <c r="LZ5" i="15"/>
  <c r="MA6" i="15" s="1"/>
  <c r="NE8" i="15"/>
  <c r="LJ5" i="15"/>
  <c r="LZ6" i="15"/>
  <c r="LZ13" i="15" s="1"/>
  <c r="MP5" i="15"/>
  <c r="MQ6" i="15" s="1"/>
  <c r="NG6" i="15"/>
  <c r="LI13" i="15"/>
  <c r="LJ7" i="15"/>
  <c r="LI7" i="15"/>
  <c r="LI8" i="15" s="1"/>
  <c r="GK8" i="15"/>
  <c r="OL5" i="15"/>
  <c r="NV13" i="15"/>
  <c r="NV5" i="15"/>
  <c r="NW6" i="15" s="1"/>
  <c r="KU6" i="15"/>
  <c r="MP6" i="15"/>
  <c r="MP13" i="15" s="1"/>
  <c r="NV7" i="15"/>
  <c r="GL7" i="16"/>
  <c r="GL13" i="16"/>
  <c r="DY7" i="16"/>
  <c r="DY8" i="16" s="1"/>
  <c r="DY13" i="16"/>
  <c r="DJ7" i="16"/>
  <c r="DJ8" i="16" s="1"/>
  <c r="DJ13" i="16"/>
  <c r="OK7" i="17"/>
  <c r="OK8" i="17" s="1"/>
  <c r="OL5" i="17"/>
  <c r="JN7" i="17"/>
  <c r="JN8" i="17" s="1"/>
  <c r="JN13" i="17"/>
  <c r="IX7" i="17"/>
  <c r="IX13" i="17"/>
  <c r="IG11" i="17"/>
  <c r="IG13" i="17"/>
  <c r="FF7" i="17"/>
  <c r="FF13" i="17"/>
  <c r="EP7" i="17"/>
  <c r="DY11" i="17"/>
  <c r="DY13" i="17"/>
  <c r="CT7" i="17"/>
  <c r="CT8" i="17" s="1"/>
  <c r="CT13" i="17"/>
  <c r="CC8" i="17"/>
  <c r="CD7" i="17"/>
  <c r="CD13" i="17"/>
  <c r="FE11" i="15"/>
  <c r="FE13" i="15"/>
  <c r="KD7" i="15"/>
  <c r="KD13" i="15"/>
  <c r="GL7" i="15"/>
  <c r="GL13" i="15"/>
  <c r="EP7" i="15"/>
  <c r="EP13" i="15"/>
  <c r="IW11" i="15"/>
  <c r="IW13" i="15"/>
  <c r="HA11" i="15"/>
  <c r="HA13" i="15"/>
  <c r="OL7" i="15"/>
  <c r="OL13" i="15"/>
  <c r="JN7" i="15"/>
  <c r="JN8" i="15" s="1"/>
  <c r="JN13" i="15"/>
  <c r="HC6" i="15"/>
  <c r="FW6" i="15"/>
  <c r="EA6" i="15"/>
  <c r="DY7" i="17"/>
  <c r="DY8" i="17" s="1"/>
  <c r="DY11" i="16"/>
  <c r="JO6" i="16"/>
  <c r="JN6" i="16"/>
  <c r="EQ6" i="16"/>
  <c r="CU6" i="16"/>
  <c r="DZ7" i="16"/>
  <c r="DK6" i="17"/>
  <c r="EP7" i="13"/>
  <c r="EP8" i="13" s="1"/>
  <c r="EP13" i="13"/>
  <c r="NF7" i="13"/>
  <c r="NF8" i="13" s="1"/>
  <c r="NF13" i="13"/>
  <c r="DZ7" i="13"/>
  <c r="DZ8" i="13" s="1"/>
  <c r="DZ13" i="13"/>
  <c r="HB7" i="13"/>
  <c r="HB8" i="13" s="1"/>
  <c r="HB13" i="13"/>
  <c r="OL7" i="13"/>
  <c r="OL8" i="13" s="1"/>
  <c r="OL13" i="13"/>
  <c r="KD7" i="13"/>
  <c r="KD8" i="13" s="1"/>
  <c r="KD13" i="13"/>
  <c r="IH7" i="13"/>
  <c r="IH8" i="13" s="1"/>
  <c r="IH13" i="13"/>
  <c r="FF7" i="13"/>
  <c r="FF8" i="13" s="1"/>
  <c r="FF13" i="13"/>
  <c r="CD7" i="13"/>
  <c r="CD8" i="13" s="1"/>
  <c r="CD13" i="13"/>
  <c r="HR7" i="13"/>
  <c r="HR8" i="13" s="1"/>
  <c r="HR13" i="13"/>
  <c r="BM11" i="13"/>
  <c r="BM13" i="13"/>
  <c r="FU8" i="16"/>
  <c r="EO8" i="17"/>
  <c r="EO8" i="15"/>
  <c r="DY8" i="15"/>
  <c r="DI8" i="17"/>
  <c r="LJ11" i="17"/>
  <c r="LK9" i="17"/>
  <c r="LL10" i="17" s="1"/>
  <c r="LK4" i="17"/>
  <c r="LZ11" i="17"/>
  <c r="MA9" i="17"/>
  <c r="MB10" i="17" s="1"/>
  <c r="MA4" i="17"/>
  <c r="FW9" i="17"/>
  <c r="FX10" i="17" s="1"/>
  <c r="FW4" i="17"/>
  <c r="GM9" i="17"/>
  <c r="GN10" i="17" s="1"/>
  <c r="GM4" i="17"/>
  <c r="GM6" i="17"/>
  <c r="BN5" i="17"/>
  <c r="NG9" i="17"/>
  <c r="NH10" i="17" s="1"/>
  <c r="NG4" i="17"/>
  <c r="LZ7" i="17"/>
  <c r="HR7" i="17"/>
  <c r="HR8" i="17" s="1"/>
  <c r="JN11" i="17"/>
  <c r="JO9" i="17"/>
  <c r="JP10" i="17" s="1"/>
  <c r="JO4" i="17"/>
  <c r="FF11" i="17"/>
  <c r="FG9" i="17"/>
  <c r="FH10" i="17" s="1"/>
  <c r="FG4" i="17"/>
  <c r="CU9" i="17"/>
  <c r="CV10" i="17" s="1"/>
  <c r="CT11" i="17"/>
  <c r="CU4" i="17"/>
  <c r="IH7" i="17"/>
  <c r="IG7" i="17"/>
  <c r="IG8" i="17" s="1"/>
  <c r="BM7" i="17"/>
  <c r="BM8" i="17" s="1"/>
  <c r="HB7" i="17"/>
  <c r="HA7" i="17"/>
  <c r="HA8" i="17" s="1"/>
  <c r="OL11" i="17"/>
  <c r="OM9" i="17"/>
  <c r="ON10" i="17" s="1"/>
  <c r="OM4" i="17"/>
  <c r="DK9" i="17"/>
  <c r="DL10" i="17" s="1"/>
  <c r="DK4" i="17"/>
  <c r="BN6" i="17"/>
  <c r="EP11" i="17"/>
  <c r="EQ9" i="17"/>
  <c r="ER10" i="17" s="1"/>
  <c r="EQ4" i="17"/>
  <c r="CD11" i="17"/>
  <c r="CE9" i="17"/>
  <c r="CF10" i="17" s="1"/>
  <c r="CE4" i="17"/>
  <c r="KU9" i="17"/>
  <c r="KV10" i="17" s="1"/>
  <c r="KU4" i="17"/>
  <c r="KE9" i="17"/>
  <c r="KF10" i="17" s="1"/>
  <c r="KE4" i="17"/>
  <c r="HB11" i="17"/>
  <c r="HC9" i="17"/>
  <c r="HD10" i="17" s="1"/>
  <c r="HC4" i="17"/>
  <c r="II9" i="17"/>
  <c r="IJ10" i="17" s="1"/>
  <c r="II4" i="17"/>
  <c r="IH11" i="17"/>
  <c r="HA11" i="17"/>
  <c r="IW8" i="17"/>
  <c r="DJ6" i="17"/>
  <c r="DJ13" i="17" s="1"/>
  <c r="MQ9" i="17"/>
  <c r="MR10" i="17" s="1"/>
  <c r="MP11" i="17"/>
  <c r="MQ4" i="17"/>
  <c r="EA9" i="17"/>
  <c r="EB10" i="17" s="1"/>
  <c r="EA4" i="17"/>
  <c r="KD6" i="17"/>
  <c r="NW9" i="17"/>
  <c r="NX10" i="17" s="1"/>
  <c r="NV11" i="17"/>
  <c r="NW4" i="17"/>
  <c r="FV6" i="17"/>
  <c r="FV13" i="17" s="1"/>
  <c r="BO9" i="17"/>
  <c r="BP10" i="17" s="1"/>
  <c r="BO4" i="17"/>
  <c r="HS9" i="17"/>
  <c r="HT10" i="17" s="1"/>
  <c r="HR11" i="17"/>
  <c r="HS6" i="17"/>
  <c r="HS4" i="17"/>
  <c r="GL6" i="17"/>
  <c r="GL13" i="17" s="1"/>
  <c r="IY9" i="17"/>
  <c r="IZ10" i="17" s="1"/>
  <c r="IX11" i="17"/>
  <c r="IY4" i="17"/>
  <c r="EQ4" i="16"/>
  <c r="EQ9" i="16"/>
  <c r="ER10" i="16" s="1"/>
  <c r="FW4" i="16"/>
  <c r="FW9" i="16"/>
  <c r="FX10" i="16" s="1"/>
  <c r="BN11" i="16"/>
  <c r="BO9" i="16"/>
  <c r="BP10" i="16" s="1"/>
  <c r="BO4" i="16"/>
  <c r="IX7" i="16"/>
  <c r="IX8" i="16" s="1"/>
  <c r="DJ11" i="16"/>
  <c r="DK4" i="16"/>
  <c r="DK9" i="16"/>
  <c r="DL10" i="16" s="1"/>
  <c r="KT7" i="16"/>
  <c r="KT8" i="16" s="1"/>
  <c r="EA4" i="16"/>
  <c r="DZ11" i="16"/>
  <c r="EA9" i="16"/>
  <c r="EB10" i="16" s="1"/>
  <c r="CD11" i="16"/>
  <c r="CE9" i="16"/>
  <c r="CF10" i="16" s="1"/>
  <c r="CE4" i="16"/>
  <c r="IY9" i="16"/>
  <c r="IZ10" i="16" s="1"/>
  <c r="IY4" i="16"/>
  <c r="IX11" i="16"/>
  <c r="IH11" i="16"/>
  <c r="II4" i="16"/>
  <c r="II9" i="16"/>
  <c r="IJ10" i="16" s="1"/>
  <c r="FG6" i="16"/>
  <c r="FG4" i="16"/>
  <c r="FG9" i="16"/>
  <c r="FH10" i="16" s="1"/>
  <c r="HS6" i="16"/>
  <c r="OL11" i="16"/>
  <c r="OM4" i="16"/>
  <c r="OM9" i="16"/>
  <c r="ON10" i="16" s="1"/>
  <c r="CU4" i="16"/>
  <c r="CU9" i="16"/>
  <c r="CV10" i="16" s="1"/>
  <c r="HS4" i="16"/>
  <c r="HS9" i="16"/>
  <c r="HT10" i="16" s="1"/>
  <c r="IH7" i="16"/>
  <c r="IG7" i="16"/>
  <c r="IG8" i="16" s="1"/>
  <c r="GL11" i="16"/>
  <c r="GM9" i="16"/>
  <c r="GN10" i="16" s="1"/>
  <c r="GM4" i="16"/>
  <c r="FF6" i="16"/>
  <c r="CT6" i="16"/>
  <c r="CT13" i="16" s="1"/>
  <c r="BN7" i="16"/>
  <c r="BN8" i="16" s="1"/>
  <c r="IG11" i="16"/>
  <c r="HB11" i="16"/>
  <c r="HC9" i="16"/>
  <c r="HD10" i="16" s="1"/>
  <c r="HC4" i="16"/>
  <c r="KD6" i="16"/>
  <c r="LZ7" i="16"/>
  <c r="LJ11" i="16"/>
  <c r="LK9" i="16"/>
  <c r="LL10" i="16" s="1"/>
  <c r="LK4" i="16"/>
  <c r="HB7" i="16"/>
  <c r="HB8" i="16" s="1"/>
  <c r="MQ4" i="16"/>
  <c r="MQ9" i="16"/>
  <c r="MR10" i="16" s="1"/>
  <c r="NW4" i="16"/>
  <c r="NV11" i="16"/>
  <c r="NW9" i="16"/>
  <c r="NX10" i="16" s="1"/>
  <c r="EP6" i="16"/>
  <c r="NG4" i="16"/>
  <c r="NG9" i="16"/>
  <c r="NH10" i="16" s="1"/>
  <c r="LZ11" i="16"/>
  <c r="MA9" i="16"/>
  <c r="MB10" i="16" s="1"/>
  <c r="MA4" i="16"/>
  <c r="KT11" i="16"/>
  <c r="KU9" i="16"/>
  <c r="KV10" i="16" s="1"/>
  <c r="KU4" i="16"/>
  <c r="HR6" i="16"/>
  <c r="HR13" i="16" s="1"/>
  <c r="FV6" i="16"/>
  <c r="FV13" i="16" s="1"/>
  <c r="JO4" i="16"/>
  <c r="JO9" i="16"/>
  <c r="JP10" i="16" s="1"/>
  <c r="KE4" i="16"/>
  <c r="KE6" i="16"/>
  <c r="KE9" i="16"/>
  <c r="KF10" i="16" s="1"/>
  <c r="II6" i="16"/>
  <c r="BN5" i="16"/>
  <c r="CS8" i="16"/>
  <c r="CD11" i="15"/>
  <c r="CE4" i="15"/>
  <c r="CE9" i="15"/>
  <c r="CF10" i="15" s="1"/>
  <c r="KT11" i="15"/>
  <c r="KU9" i="15"/>
  <c r="KV10" i="15" s="1"/>
  <c r="KU4" i="15"/>
  <c r="FF7" i="15"/>
  <c r="FE7" i="15"/>
  <c r="FE8" i="15" s="1"/>
  <c r="KT7" i="15"/>
  <c r="JN11" i="15"/>
  <c r="JO9" i="15"/>
  <c r="JP10" i="15" s="1"/>
  <c r="JO4" i="15"/>
  <c r="DK6" i="15"/>
  <c r="DK4" i="15"/>
  <c r="DJ11" i="15"/>
  <c r="DK9" i="15"/>
  <c r="DL10" i="15" s="1"/>
  <c r="NW4" i="15"/>
  <c r="NW9" i="15"/>
  <c r="NX10" i="15" s="1"/>
  <c r="NV11" i="15"/>
  <c r="IX7" i="15"/>
  <c r="IW7" i="15"/>
  <c r="IW8" i="15" s="1"/>
  <c r="DZ6" i="15"/>
  <c r="DJ7" i="15"/>
  <c r="DI7" i="15"/>
  <c r="DI8" i="15" s="1"/>
  <c r="CD7" i="15"/>
  <c r="CC8" i="15"/>
  <c r="OL11" i="15"/>
  <c r="OM9" i="15"/>
  <c r="ON10" i="15" s="1"/>
  <c r="OM4" i="15"/>
  <c r="HB11" i="15"/>
  <c r="HC9" i="15"/>
  <c r="HD10" i="15" s="1"/>
  <c r="HC4" i="15"/>
  <c r="EA4" i="15"/>
  <c r="EA9" i="15"/>
  <c r="EB10" i="15" s="1"/>
  <c r="GM4" i="15"/>
  <c r="GL11" i="15"/>
  <c r="GM9" i="15"/>
  <c r="GN10" i="15" s="1"/>
  <c r="LK4" i="15"/>
  <c r="LJ11" i="15"/>
  <c r="LK9" i="15"/>
  <c r="LL10" i="15" s="1"/>
  <c r="BN7" i="15"/>
  <c r="BM7" i="15"/>
  <c r="BM8" i="15" s="1"/>
  <c r="HS6" i="15"/>
  <c r="BM11" i="15"/>
  <c r="BN5" i="15"/>
  <c r="BO6" i="15" s="1"/>
  <c r="HQ8" i="15"/>
  <c r="CE6" i="15"/>
  <c r="MQ4" i="15"/>
  <c r="MQ9" i="15"/>
  <c r="MR10" i="15" s="1"/>
  <c r="FW9" i="15"/>
  <c r="FX10" i="15" s="1"/>
  <c r="FW4" i="15"/>
  <c r="IG8" i="15"/>
  <c r="KD11" i="15"/>
  <c r="KE4" i="15"/>
  <c r="KE9" i="15"/>
  <c r="KF10" i="15" s="1"/>
  <c r="HS4" i="15"/>
  <c r="HS9" i="15"/>
  <c r="HT10" i="15" s="1"/>
  <c r="IY4" i="15"/>
  <c r="IY9" i="15"/>
  <c r="IZ10" i="15" s="1"/>
  <c r="IX11" i="15"/>
  <c r="II9" i="15"/>
  <c r="IJ10" i="15" s="1"/>
  <c r="II4" i="15"/>
  <c r="IH11" i="15"/>
  <c r="II6" i="15"/>
  <c r="DI11" i="15"/>
  <c r="BO4" i="15"/>
  <c r="BO9" i="15"/>
  <c r="BP10" i="15" s="1"/>
  <c r="BN11" i="15"/>
  <c r="MA9" i="15"/>
  <c r="MB10" i="15" s="1"/>
  <c r="MA4" i="15"/>
  <c r="FV6" i="15"/>
  <c r="FV13" i="15" s="1"/>
  <c r="NG9" i="15"/>
  <c r="NH10" i="15" s="1"/>
  <c r="NG4" i="15"/>
  <c r="NF11" i="15"/>
  <c r="CU9" i="15"/>
  <c r="CV10" i="15" s="1"/>
  <c r="CU4" i="15"/>
  <c r="CT11" i="15"/>
  <c r="EP11" i="15"/>
  <c r="EQ4" i="15"/>
  <c r="EQ9" i="15"/>
  <c r="ER10" i="15" s="1"/>
  <c r="NF7" i="15"/>
  <c r="HB7" i="15"/>
  <c r="HA7" i="15"/>
  <c r="HA8" i="15" s="1"/>
  <c r="IH7" i="15"/>
  <c r="CS8" i="15"/>
  <c r="FF11" i="15"/>
  <c r="FG6" i="15"/>
  <c r="FG4" i="15"/>
  <c r="FG9" i="15"/>
  <c r="FH10" i="15" s="1"/>
  <c r="CT7" i="15"/>
  <c r="HR6" i="15"/>
  <c r="BM7" i="13"/>
  <c r="BM8" i="13" s="1"/>
  <c r="BN6" i="13"/>
  <c r="MQ4" i="13"/>
  <c r="LK9" i="13"/>
  <c r="LL10" i="13" s="1"/>
  <c r="MQ9" i="13"/>
  <c r="MR10" i="13" s="1"/>
  <c r="EA6" i="13"/>
  <c r="MP11" i="13"/>
  <c r="BN5" i="13"/>
  <c r="IH11" i="13"/>
  <c r="HB11" i="13"/>
  <c r="CD11" i="13"/>
  <c r="EP11" i="13"/>
  <c r="KD11" i="13"/>
  <c r="KE4" i="13"/>
  <c r="KE9" i="13"/>
  <c r="KF10" i="13" s="1"/>
  <c r="JN11" i="13"/>
  <c r="JO4" i="13"/>
  <c r="JO9" i="13"/>
  <c r="JP10" i="13" s="1"/>
  <c r="JN7" i="13"/>
  <c r="JN8" i="13" s="1"/>
  <c r="DZ11" i="13"/>
  <c r="IX11" i="13"/>
  <c r="CT11" i="13"/>
  <c r="GL11" i="13"/>
  <c r="HR11" i="13"/>
  <c r="IX7" i="13"/>
  <c r="IX8" i="13" s="1"/>
  <c r="FF11" i="13"/>
  <c r="FV11" i="13"/>
  <c r="DJ11" i="13"/>
  <c r="EA4" i="13"/>
  <c r="MA4" i="13"/>
  <c r="EA9" i="13"/>
  <c r="EB10" i="13" s="1"/>
  <c r="MA9" i="13"/>
  <c r="MB10" i="13" s="1"/>
  <c r="NF11" i="13"/>
  <c r="NG9" i="13"/>
  <c r="NH10" i="13" s="1"/>
  <c r="NG4" i="13"/>
  <c r="CE9" i="13"/>
  <c r="CF10" i="13" s="1"/>
  <c r="CE4" i="13"/>
  <c r="EQ4" i="13"/>
  <c r="EQ9" i="13"/>
  <c r="ER10" i="13" s="1"/>
  <c r="GM4" i="13"/>
  <c r="GM9" i="13"/>
  <c r="GN10" i="13" s="1"/>
  <c r="IY4" i="13"/>
  <c r="IY9" i="13"/>
  <c r="IZ10" i="13" s="1"/>
  <c r="FV7" i="13"/>
  <c r="FV8" i="13" s="1"/>
  <c r="DK4" i="13"/>
  <c r="DK9" i="13"/>
  <c r="DL10" i="13" s="1"/>
  <c r="GL7" i="13"/>
  <c r="GL8" i="13" s="1"/>
  <c r="KT7" i="13"/>
  <c r="CT7" i="13"/>
  <c r="CT8" i="13" s="1"/>
  <c r="FG9" i="13"/>
  <c r="FH10" i="13" s="1"/>
  <c r="FG4" i="13"/>
  <c r="MP7" i="13"/>
  <c r="MP8" i="13" s="1"/>
  <c r="II9" i="13"/>
  <c r="IJ10" i="13" s="1"/>
  <c r="II4" i="13"/>
  <c r="CU9" i="13"/>
  <c r="CV10" i="13" s="1"/>
  <c r="CU4" i="13"/>
  <c r="FW9" i="13"/>
  <c r="FX10" i="13" s="1"/>
  <c r="FW4" i="13"/>
  <c r="DJ7" i="13"/>
  <c r="DJ8" i="13" s="1"/>
  <c r="KU9" i="13"/>
  <c r="KV10" i="13" s="1"/>
  <c r="KT11" i="13"/>
  <c r="KU4" i="13"/>
  <c r="OM4" i="13"/>
  <c r="OM9" i="13"/>
  <c r="ON10" i="13" s="1"/>
  <c r="OL11" i="13"/>
  <c r="HS4" i="13"/>
  <c r="HS9" i="13"/>
  <c r="HT10" i="13" s="1"/>
  <c r="NW9" i="13"/>
  <c r="NX10" i="13" s="1"/>
  <c r="NW4" i="13"/>
  <c r="NV11" i="13"/>
  <c r="HC9" i="13"/>
  <c r="HD10" i="13" s="1"/>
  <c r="BN64" i="13" l="1"/>
  <c r="BN93" i="13"/>
  <c r="BN73" i="13"/>
  <c r="BN88" i="13"/>
  <c r="BN104" i="13"/>
  <c r="BN86" i="13"/>
  <c r="BN103" i="13"/>
  <c r="BN85" i="13"/>
  <c r="BN94" i="13"/>
  <c r="BN102" i="13"/>
  <c r="BN84" i="13"/>
  <c r="BN96" i="13"/>
  <c r="BN76" i="13"/>
  <c r="BN95" i="13"/>
  <c r="BN75" i="13"/>
  <c r="BN74" i="13"/>
  <c r="CS104" i="13"/>
  <c r="F104" i="13" s="1"/>
  <c r="CS93" i="13"/>
  <c r="F93" i="13" s="1"/>
  <c r="CS102" i="13"/>
  <c r="F102" i="13" s="1"/>
  <c r="CS74" i="13"/>
  <c r="F74" i="13" s="1"/>
  <c r="CS67" i="13"/>
  <c r="F67" i="13" s="1"/>
  <c r="CS69" i="13"/>
  <c r="F69" i="13" s="1"/>
  <c r="CS64" i="13"/>
  <c r="F64" i="13" s="1"/>
  <c r="CS75" i="13"/>
  <c r="F75" i="13" s="1"/>
  <c r="CS65" i="13"/>
  <c r="F65" i="13" s="1"/>
  <c r="CS86" i="13"/>
  <c r="F86" i="13" s="1"/>
  <c r="CS96" i="13"/>
  <c r="F96" i="13" s="1"/>
  <c r="CS73" i="13"/>
  <c r="F73" i="13" s="1"/>
  <c r="CS95" i="13"/>
  <c r="F95" i="13" s="1"/>
  <c r="CS76" i="13"/>
  <c r="F76" i="13" s="1"/>
  <c r="CS94" i="13"/>
  <c r="F94" i="13" s="1"/>
  <c r="CS85" i="13"/>
  <c r="F85" i="13" s="1"/>
  <c r="CS88" i="13"/>
  <c r="F88" i="13" s="1"/>
  <c r="CS103" i="13"/>
  <c r="F103" i="13" s="1"/>
  <c r="CS66" i="13"/>
  <c r="F66" i="13" s="1"/>
  <c r="CS84" i="13"/>
  <c r="F84" i="13" s="1"/>
  <c r="CS68" i="13"/>
  <c r="F68" i="13" s="1"/>
  <c r="CT22" i="13"/>
  <c r="BN68" i="13"/>
  <c r="BN66" i="13"/>
  <c r="BN69" i="13"/>
  <c r="BN67" i="13"/>
  <c r="BP4" i="13"/>
  <c r="G104" i="17"/>
  <c r="G76" i="17"/>
  <c r="G74" i="17"/>
  <c r="G94" i="17"/>
  <c r="G64" i="17"/>
  <c r="G75" i="17"/>
  <c r="G93" i="17"/>
  <c r="G88" i="17"/>
  <c r="G85" i="17"/>
  <c r="G103" i="17"/>
  <c r="G86" i="17"/>
  <c r="G95" i="17"/>
  <c r="G65" i="17"/>
  <c r="E112" i="17"/>
  <c r="E113" i="17" s="1"/>
  <c r="H84" i="16"/>
  <c r="H86" i="16"/>
  <c r="H67" i="16"/>
  <c r="H93" i="16"/>
  <c r="H66" i="16"/>
  <c r="H85" i="16"/>
  <c r="H73" i="16"/>
  <c r="H76" i="16"/>
  <c r="H69" i="16"/>
  <c r="H94" i="16"/>
  <c r="H65" i="16"/>
  <c r="H68" i="16"/>
  <c r="H75" i="16"/>
  <c r="H88" i="16"/>
  <c r="H64" i="16"/>
  <c r="H95" i="16"/>
  <c r="H96" i="16"/>
  <c r="H74" i="16"/>
  <c r="H84" i="15"/>
  <c r="H75" i="15"/>
  <c r="H94" i="15"/>
  <c r="H103" i="15"/>
  <c r="H86" i="15"/>
  <c r="H68" i="15"/>
  <c r="H73" i="15"/>
  <c r="H93" i="15"/>
  <c r="H102" i="15"/>
  <c r="H76" i="15"/>
  <c r="H67" i="15"/>
  <c r="H96" i="15"/>
  <c r="H88" i="15"/>
  <c r="H104" i="15"/>
  <c r="H95" i="15"/>
  <c r="H85" i="15"/>
  <c r="H66" i="15"/>
  <c r="H69" i="15"/>
  <c r="H65" i="15"/>
  <c r="H64" i="15"/>
  <c r="H74" i="15"/>
  <c r="KE13" i="16"/>
  <c r="CU13" i="16"/>
  <c r="KU13" i="15"/>
  <c r="H103" i="17"/>
  <c r="H93" i="17"/>
  <c r="H68" i="17"/>
  <c r="H67" i="17"/>
  <c r="H86" i="17"/>
  <c r="BP9" i="13"/>
  <c r="BQ10" i="13" s="1"/>
  <c r="KT8" i="13"/>
  <c r="LK5" i="13"/>
  <c r="LZ7" i="13"/>
  <c r="LZ8" i="13" s="1"/>
  <c r="LZ13" i="13"/>
  <c r="LL9" i="13"/>
  <c r="LM10" i="13" s="1"/>
  <c r="E112" i="15"/>
  <c r="E113" i="15" s="1"/>
  <c r="F110" i="13"/>
  <c r="F111" i="13" s="1"/>
  <c r="F109" i="13"/>
  <c r="D114" i="13"/>
  <c r="BO13" i="15"/>
  <c r="DK13" i="15"/>
  <c r="OM13" i="13"/>
  <c r="HS13" i="15"/>
  <c r="GM13" i="17"/>
  <c r="F109" i="16"/>
  <c r="E112" i="16"/>
  <c r="E113" i="16" s="1"/>
  <c r="F110" i="16"/>
  <c r="E114" i="16" s="1"/>
  <c r="E111" i="15"/>
  <c r="IY13" i="17"/>
  <c r="HC13" i="15"/>
  <c r="MA13" i="15"/>
  <c r="DK13" i="16"/>
  <c r="LK13" i="16"/>
  <c r="CE13" i="16"/>
  <c r="E111" i="17"/>
  <c r="E111" i="16"/>
  <c r="E112" i="13"/>
  <c r="E113" i="13" s="1"/>
  <c r="NG13" i="17"/>
  <c r="BY85" i="9"/>
  <c r="BY104" i="9"/>
  <c r="BY68" i="9"/>
  <c r="BY74" i="9"/>
  <c r="BY67" i="9"/>
  <c r="BY93" i="9"/>
  <c r="BY65" i="9"/>
  <c r="BY96" i="9"/>
  <c r="BY84" i="9"/>
  <c r="BY73" i="9"/>
  <c r="BY95" i="9"/>
  <c r="BY69" i="9"/>
  <c r="BY76" i="9"/>
  <c r="BY64" i="9"/>
  <c r="BY102" i="9"/>
  <c r="BY94" i="9"/>
  <c r="BY66" i="9"/>
  <c r="BY88" i="9"/>
  <c r="BY75" i="9"/>
  <c r="BY103" i="9"/>
  <c r="BY86" i="9"/>
  <c r="MQ13" i="16"/>
  <c r="JO13" i="16"/>
  <c r="EQ13" i="16"/>
  <c r="NG13" i="16"/>
  <c r="CU13" i="17"/>
  <c r="BK67" i="9"/>
  <c r="BK86" i="9"/>
  <c r="BK85" i="9"/>
  <c r="BK75" i="9"/>
  <c r="BK74" i="9"/>
  <c r="BK95" i="9"/>
  <c r="BK73" i="9"/>
  <c r="BK66" i="9"/>
  <c r="BK84" i="9"/>
  <c r="BK68" i="9"/>
  <c r="BK69" i="9"/>
  <c r="BK93" i="9"/>
  <c r="BK102" i="9"/>
  <c r="BK76" i="9"/>
  <c r="BK94" i="9"/>
  <c r="BK104" i="9"/>
  <c r="BK88" i="9"/>
  <c r="BK96" i="9"/>
  <c r="BK64" i="9"/>
  <c r="BK103" i="9"/>
  <c r="BK65" i="9"/>
  <c r="KU13" i="13"/>
  <c r="CU13" i="13"/>
  <c r="MA13" i="16"/>
  <c r="LK13" i="17"/>
  <c r="DK13" i="17"/>
  <c r="EA13" i="15"/>
  <c r="MA13" i="17"/>
  <c r="EQ13" i="15"/>
  <c r="FG13" i="16"/>
  <c r="CE13" i="15"/>
  <c r="HS13" i="16"/>
  <c r="FG13" i="13"/>
  <c r="II13" i="13"/>
  <c r="FW13" i="15"/>
  <c r="F110" i="17"/>
  <c r="E114" i="17" s="1"/>
  <c r="HC13" i="17"/>
  <c r="NV8" i="13"/>
  <c r="AJ8" i="9"/>
  <c r="FW5" i="16"/>
  <c r="HS5" i="17"/>
  <c r="EQ5" i="17"/>
  <c r="F110" i="15"/>
  <c r="F111" i="15" s="1"/>
  <c r="MQ5" i="13"/>
  <c r="MR6" i="13" s="1"/>
  <c r="HS5" i="16"/>
  <c r="FG5" i="16"/>
  <c r="KE5" i="17"/>
  <c r="KU5" i="13"/>
  <c r="KV6" i="13" s="1"/>
  <c r="HS5" i="13"/>
  <c r="HT6" i="13" s="1"/>
  <c r="JO5" i="15"/>
  <c r="EQ5" i="16"/>
  <c r="JO5" i="13"/>
  <c r="JP6" i="13" s="1"/>
  <c r="NG5" i="13"/>
  <c r="NH6" i="13" s="1"/>
  <c r="NW5" i="13"/>
  <c r="NX6" i="13" s="1"/>
  <c r="MA5" i="13"/>
  <c r="MB6" i="13" s="1"/>
  <c r="KE5" i="13"/>
  <c r="KF6" i="13" s="1"/>
  <c r="II5" i="15"/>
  <c r="FW5" i="15"/>
  <c r="GM5" i="15"/>
  <c r="KE5" i="16"/>
  <c r="KF6" i="16" s="1"/>
  <c r="GM5" i="16"/>
  <c r="CU5" i="16"/>
  <c r="HC5" i="13"/>
  <c r="HD6" i="13" s="1"/>
  <c r="EQ5" i="13"/>
  <c r="ER6" i="13" s="1"/>
  <c r="NW13" i="13"/>
  <c r="NW7" i="13"/>
  <c r="CE5" i="15"/>
  <c r="HC5" i="16"/>
  <c r="HD6" i="16" s="1"/>
  <c r="IY5" i="17"/>
  <c r="II5" i="17"/>
  <c r="DK5" i="17"/>
  <c r="FG5" i="13"/>
  <c r="FH6" i="13" s="1"/>
  <c r="DK5" i="13"/>
  <c r="DL6" i="13" s="1"/>
  <c r="II5" i="13"/>
  <c r="IJ6" i="13" s="1"/>
  <c r="IY5" i="15"/>
  <c r="II5" i="16"/>
  <c r="BL8" i="9"/>
  <c r="MR4" i="13"/>
  <c r="FG5" i="15"/>
  <c r="EA5" i="15"/>
  <c r="JO5" i="16"/>
  <c r="GM5" i="17"/>
  <c r="FW5" i="13"/>
  <c r="FX6" i="13" s="1"/>
  <c r="OM5" i="13"/>
  <c r="ON6" i="13" s="1"/>
  <c r="EA5" i="13"/>
  <c r="CU5" i="13"/>
  <c r="CV6" i="13" s="1"/>
  <c r="CE5" i="13"/>
  <c r="CF6" i="13" s="1"/>
  <c r="HS5" i="15"/>
  <c r="HC5" i="15"/>
  <c r="EA5" i="16"/>
  <c r="LJ13" i="13"/>
  <c r="LJ7" i="13"/>
  <c r="LJ8" i="13" s="1"/>
  <c r="LK6" i="13"/>
  <c r="LK13" i="13" s="1"/>
  <c r="GM5" i="13"/>
  <c r="GN6" i="13" s="1"/>
  <c r="IY5" i="16"/>
  <c r="IZ6" i="16" s="1"/>
  <c r="LL5" i="13"/>
  <c r="LL6" i="13"/>
  <c r="LL13" i="13" s="1"/>
  <c r="IY5" i="13"/>
  <c r="BL5" i="9"/>
  <c r="BK6" i="9"/>
  <c r="BK9" i="9" s="1"/>
  <c r="BY6" i="9"/>
  <c r="BY9" i="9" s="1"/>
  <c r="F109" i="17"/>
  <c r="BZ8" i="9"/>
  <c r="BZ5" i="9" s="1"/>
  <c r="DK5" i="15"/>
  <c r="CU5" i="15"/>
  <c r="CV6" i="15" s="1"/>
  <c r="F109" i="15"/>
  <c r="EQ5" i="15"/>
  <c r="JO5" i="17"/>
  <c r="HC5" i="17"/>
  <c r="DZ11" i="17"/>
  <c r="DZ7" i="17"/>
  <c r="DZ8" i="17" s="1"/>
  <c r="LZ8" i="17"/>
  <c r="FF8" i="17"/>
  <c r="EA5" i="17"/>
  <c r="LJ8" i="17"/>
  <c r="OL8" i="17"/>
  <c r="NG7" i="17"/>
  <c r="FW5" i="17"/>
  <c r="FX6" i="17" s="1"/>
  <c r="IX8" i="17"/>
  <c r="NF11" i="17"/>
  <c r="KU5" i="17"/>
  <c r="KV6" i="17" s="1"/>
  <c r="EP8" i="17"/>
  <c r="MQ5" i="17"/>
  <c r="MR6" i="17" s="1"/>
  <c r="NW13" i="17"/>
  <c r="FG5" i="17"/>
  <c r="MA7" i="17"/>
  <c r="CU5" i="17"/>
  <c r="KU6" i="17"/>
  <c r="KU13" i="17" s="1"/>
  <c r="NW5" i="17"/>
  <c r="NX6" i="17" s="1"/>
  <c r="NW7" i="17"/>
  <c r="NW8" i="17" s="1"/>
  <c r="KT11" i="17"/>
  <c r="KT7" i="17"/>
  <c r="KT8" i="17" s="1"/>
  <c r="CD8" i="17"/>
  <c r="CE5" i="17"/>
  <c r="CF6" i="17" s="1"/>
  <c r="LK5" i="17"/>
  <c r="LL6" i="17" s="1"/>
  <c r="NF13" i="17"/>
  <c r="NF7" i="17"/>
  <c r="NF8" i="17" s="1"/>
  <c r="MQ6" i="17"/>
  <c r="MQ11" i="17" s="1"/>
  <c r="BN7" i="17"/>
  <c r="BN8" i="17" s="1"/>
  <c r="BN13" i="17"/>
  <c r="NG5" i="17"/>
  <c r="MA5" i="17"/>
  <c r="MB6" i="17" s="1"/>
  <c r="CE5" i="16"/>
  <c r="CF6" i="16" s="1"/>
  <c r="NV8" i="16"/>
  <c r="NW8" i="16" s="1"/>
  <c r="NG5" i="16"/>
  <c r="NH6" i="16" s="1"/>
  <c r="LZ8" i="16"/>
  <c r="NF7" i="16"/>
  <c r="NF8" i="16" s="1"/>
  <c r="GL8" i="16"/>
  <c r="NF11" i="16"/>
  <c r="MQ5" i="16"/>
  <c r="MR6" i="16" s="1"/>
  <c r="OL8" i="16"/>
  <c r="DZ8" i="16"/>
  <c r="KU5" i="16"/>
  <c r="KV6" i="16" s="1"/>
  <c r="LJ8" i="16"/>
  <c r="OM5" i="16"/>
  <c r="MA5" i="16"/>
  <c r="MB6" i="16" s="1"/>
  <c r="DK5" i="16"/>
  <c r="LK5" i="16"/>
  <c r="LL6" i="16" s="1"/>
  <c r="OM6" i="16"/>
  <c r="NW13" i="16"/>
  <c r="NW5" i="16"/>
  <c r="NX6" i="16" s="1"/>
  <c r="MP13" i="16"/>
  <c r="MP7" i="16"/>
  <c r="MP8" i="16" s="1"/>
  <c r="KU6" i="16"/>
  <c r="KU13" i="16" s="1"/>
  <c r="KD8" i="15"/>
  <c r="KT8" i="15"/>
  <c r="KE5" i="15"/>
  <c r="OL8" i="15"/>
  <c r="NV8" i="15"/>
  <c r="NF8" i="15"/>
  <c r="MP7" i="15"/>
  <c r="MP8" i="15" s="1"/>
  <c r="LZ7" i="15"/>
  <c r="LZ8" i="15" s="1"/>
  <c r="MP11" i="15"/>
  <c r="LJ8" i="15"/>
  <c r="LK5" i="15"/>
  <c r="LL6" i="15" s="1"/>
  <c r="NW13" i="15"/>
  <c r="NW7" i="15"/>
  <c r="GL8" i="15"/>
  <c r="OM5" i="15"/>
  <c r="LK6" i="15"/>
  <c r="LK13" i="15" s="1"/>
  <c r="LZ11" i="15"/>
  <c r="OM6" i="15"/>
  <c r="OM13" i="15" s="1"/>
  <c r="MA5" i="15"/>
  <c r="NW5" i="15"/>
  <c r="KU5" i="15"/>
  <c r="KV6" i="15" s="1"/>
  <c r="MQ5" i="15"/>
  <c r="NG5" i="15"/>
  <c r="NH6" i="15" s="1"/>
  <c r="KD11" i="16"/>
  <c r="KD13" i="16"/>
  <c r="JN11" i="16"/>
  <c r="JN13" i="16"/>
  <c r="II7" i="16"/>
  <c r="II13" i="16"/>
  <c r="FF11" i="16"/>
  <c r="FF13" i="16"/>
  <c r="EP11" i="16"/>
  <c r="EP13" i="16"/>
  <c r="OM5" i="17"/>
  <c r="ON6" i="17" s="1"/>
  <c r="OM6" i="17"/>
  <c r="OM11" i="17" s="1"/>
  <c r="KD11" i="17"/>
  <c r="KD13" i="17"/>
  <c r="HS7" i="17"/>
  <c r="HS8" i="17" s="1"/>
  <c r="HS13" i="17"/>
  <c r="FG7" i="17"/>
  <c r="FG13" i="17"/>
  <c r="EA7" i="17"/>
  <c r="EA13" i="17"/>
  <c r="EP8" i="15"/>
  <c r="IY7" i="15"/>
  <c r="IY13" i="15"/>
  <c r="DZ11" i="15"/>
  <c r="DZ13" i="15"/>
  <c r="MA7" i="15"/>
  <c r="FG7" i="15"/>
  <c r="FG13" i="15"/>
  <c r="II7" i="15"/>
  <c r="II13" i="15"/>
  <c r="CU7" i="15"/>
  <c r="CU13" i="15"/>
  <c r="MQ7" i="15"/>
  <c r="MQ13" i="15"/>
  <c r="NG7" i="15"/>
  <c r="NG13" i="15"/>
  <c r="HR11" i="15"/>
  <c r="HR13" i="15"/>
  <c r="KE7" i="15"/>
  <c r="KE13" i="15"/>
  <c r="JP6" i="15"/>
  <c r="GN6" i="15"/>
  <c r="BN11" i="17"/>
  <c r="JN7" i="16"/>
  <c r="JN8" i="16" s="1"/>
  <c r="FX6" i="16"/>
  <c r="GN6" i="16"/>
  <c r="HC6" i="16"/>
  <c r="II6" i="17"/>
  <c r="II13" i="17" s="1"/>
  <c r="DL6" i="17"/>
  <c r="KF6" i="17"/>
  <c r="FW6" i="17"/>
  <c r="DK7" i="13"/>
  <c r="DK8" i="13" s="1"/>
  <c r="DK13" i="13"/>
  <c r="MA7" i="13"/>
  <c r="MA13" i="13"/>
  <c r="CE7" i="13"/>
  <c r="CE8" i="13" s="1"/>
  <c r="CE13" i="13"/>
  <c r="KE7" i="13"/>
  <c r="KE8" i="13" s="1"/>
  <c r="KE13" i="13"/>
  <c r="EQ7" i="13"/>
  <c r="EQ8" i="13" s="1"/>
  <c r="EQ13" i="13"/>
  <c r="HS7" i="13"/>
  <c r="HS8" i="13" s="1"/>
  <c r="HS13" i="13"/>
  <c r="IY7" i="13"/>
  <c r="IY8" i="13" s="1"/>
  <c r="IY13" i="13"/>
  <c r="GM7" i="13"/>
  <c r="GM8" i="13" s="1"/>
  <c r="GM13" i="13"/>
  <c r="HC7" i="13"/>
  <c r="HC8" i="13" s="1"/>
  <c r="HC13" i="13"/>
  <c r="FW7" i="13"/>
  <c r="FW8" i="13" s="1"/>
  <c r="FW13" i="13"/>
  <c r="MQ7" i="13"/>
  <c r="MQ8" i="13" s="1"/>
  <c r="MQ13" i="13"/>
  <c r="NG7" i="13"/>
  <c r="NG8" i="13" s="1"/>
  <c r="NG13" i="13"/>
  <c r="EA7" i="13"/>
  <c r="EA8" i="13" s="1"/>
  <c r="EA13" i="13"/>
  <c r="JO7" i="13"/>
  <c r="JO13" i="13"/>
  <c r="BN11" i="13"/>
  <c r="G109" i="13" s="1"/>
  <c r="BN13" i="13"/>
  <c r="G110" i="13" s="1"/>
  <c r="MR9" i="13"/>
  <c r="MS10" i="13" s="1"/>
  <c r="CT8" i="15"/>
  <c r="CD8" i="15"/>
  <c r="IH8" i="15"/>
  <c r="FF8" i="15"/>
  <c r="DJ8" i="15"/>
  <c r="IH8" i="16"/>
  <c r="HB8" i="15"/>
  <c r="BP9" i="17"/>
  <c r="BQ10" i="17" s="1"/>
  <c r="BP4" i="17"/>
  <c r="MB9" i="17"/>
  <c r="MC10" i="17" s="1"/>
  <c r="MB4" i="17"/>
  <c r="MA11" i="17"/>
  <c r="HB8" i="17"/>
  <c r="ER9" i="17"/>
  <c r="ES10" i="17" s="1"/>
  <c r="ER4" i="17"/>
  <c r="CU7" i="17"/>
  <c r="CU8" i="17" s="1"/>
  <c r="LL9" i="17"/>
  <c r="LM10" i="17" s="1"/>
  <c r="LK11" i="17"/>
  <c r="LL4" i="17"/>
  <c r="GM7" i="17"/>
  <c r="GL7" i="17"/>
  <c r="GL8" i="17" s="1"/>
  <c r="KV9" i="17"/>
  <c r="KW10" i="17" s="1"/>
  <c r="KV4" i="17"/>
  <c r="EQ6" i="17"/>
  <c r="EQ13" i="17" s="1"/>
  <c r="GL11" i="17"/>
  <c r="FV7" i="17"/>
  <c r="FV8" i="17" s="1"/>
  <c r="MR9" i="17"/>
  <c r="MS10" i="17" s="1"/>
  <c r="MR4" i="17"/>
  <c r="DK7" i="17"/>
  <c r="DJ7" i="17"/>
  <c r="DJ8" i="17" s="1"/>
  <c r="JP9" i="17"/>
  <c r="JQ10" i="17" s="1"/>
  <c r="JP6" i="17"/>
  <c r="JP4" i="17"/>
  <c r="GN9" i="17"/>
  <c r="GO10" i="17" s="1"/>
  <c r="GM11" i="17"/>
  <c r="GN4" i="17"/>
  <c r="FV11" i="17"/>
  <c r="LK7" i="17"/>
  <c r="HD9" i="17"/>
  <c r="HE10" i="17" s="1"/>
  <c r="HD4" i="17"/>
  <c r="HC11" i="17"/>
  <c r="IY11" i="17"/>
  <c r="IZ9" i="17"/>
  <c r="JA10" i="17" s="1"/>
  <c r="IZ6" i="17"/>
  <c r="IZ13" i="17" s="1"/>
  <c r="IZ4" i="17"/>
  <c r="HT9" i="17"/>
  <c r="HU10" i="17" s="1"/>
  <c r="HS11" i="17"/>
  <c r="HT6" i="17"/>
  <c r="HT4" i="17"/>
  <c r="KD7" i="17"/>
  <c r="KD8" i="17" s="1"/>
  <c r="ON9" i="17"/>
  <c r="OO10" i="17" s="1"/>
  <c r="ON4" i="17"/>
  <c r="IH8" i="17"/>
  <c r="FH9" i="17"/>
  <c r="FI10" i="17" s="1"/>
  <c r="FG11" i="17"/>
  <c r="FH4" i="17"/>
  <c r="JO6" i="17"/>
  <c r="BO5" i="17"/>
  <c r="BP6" i="17" s="1"/>
  <c r="BP13" i="17" s="1"/>
  <c r="FX9" i="17"/>
  <c r="FY10" i="17" s="1"/>
  <c r="FX4" i="17"/>
  <c r="NW11" i="17"/>
  <c r="NX9" i="17"/>
  <c r="NY10" i="17" s="1"/>
  <c r="NX4" i="17"/>
  <c r="IY7" i="17"/>
  <c r="KE6" i="17"/>
  <c r="DJ11" i="17"/>
  <c r="CV9" i="17"/>
  <c r="CW10" i="17" s="1"/>
  <c r="CU11" i="17"/>
  <c r="CV4" i="17"/>
  <c r="NH9" i="17"/>
  <c r="NI10" i="17" s="1"/>
  <c r="NG11" i="17"/>
  <c r="NH4" i="17"/>
  <c r="EA11" i="17"/>
  <c r="EB9" i="17"/>
  <c r="EC10" i="17" s="1"/>
  <c r="EB4" i="17"/>
  <c r="BO6" i="17"/>
  <c r="BO13" i="17" s="1"/>
  <c r="IJ9" i="17"/>
  <c r="IK10" i="17" s="1"/>
  <c r="IJ4" i="17"/>
  <c r="IJ6" i="17"/>
  <c r="KF9" i="17"/>
  <c r="KG10" i="17" s="1"/>
  <c r="KF4" i="17"/>
  <c r="CF9" i="17"/>
  <c r="CG10" i="17" s="1"/>
  <c r="CF4" i="17"/>
  <c r="DL9" i="17"/>
  <c r="DM10" i="17" s="1"/>
  <c r="DK11" i="17"/>
  <c r="DL4" i="17"/>
  <c r="HC7" i="17"/>
  <c r="FV7" i="16"/>
  <c r="FV8" i="16" s="1"/>
  <c r="LK11" i="16"/>
  <c r="LL9" i="16"/>
  <c r="LM10" i="16" s="1"/>
  <c r="LL4" i="16"/>
  <c r="ON9" i="16"/>
  <c r="OO10" i="16" s="1"/>
  <c r="ON4" i="16"/>
  <c r="HS7" i="16"/>
  <c r="HR7" i="16"/>
  <c r="HR8" i="16" s="1"/>
  <c r="MB9" i="16"/>
  <c r="MC10" i="16" s="1"/>
  <c r="MA11" i="16"/>
  <c r="MB4" i="16"/>
  <c r="CU7" i="16"/>
  <c r="CT7" i="16"/>
  <c r="CT8" i="16" s="1"/>
  <c r="FG7" i="16"/>
  <c r="FF7" i="16"/>
  <c r="FF8" i="16" s="1"/>
  <c r="DK7" i="16"/>
  <c r="DK8" i="16" s="1"/>
  <c r="CE11" i="16"/>
  <c r="KF9" i="16"/>
  <c r="KG10" i="16" s="1"/>
  <c r="KE11" i="16"/>
  <c r="KF4" i="16"/>
  <c r="MR9" i="16"/>
  <c r="MS10" i="16" s="1"/>
  <c r="MQ11" i="16"/>
  <c r="MR4" i="16"/>
  <c r="CT11" i="16"/>
  <c r="DL9" i="16"/>
  <c r="DM10" i="16" s="1"/>
  <c r="DL4" i="16"/>
  <c r="DK11" i="16"/>
  <c r="MA7" i="16"/>
  <c r="HR11" i="16"/>
  <c r="CV9" i="16"/>
  <c r="CW10" i="16" s="1"/>
  <c r="CU11" i="16"/>
  <c r="CV4" i="16"/>
  <c r="HT6" i="16"/>
  <c r="CF9" i="16"/>
  <c r="CG10" i="16" s="1"/>
  <c r="CF4" i="16"/>
  <c r="EA6" i="16"/>
  <c r="JO7" i="16"/>
  <c r="BO5" i="16"/>
  <c r="BP6" i="16" s="1"/>
  <c r="GN4" i="16"/>
  <c r="GN9" i="16"/>
  <c r="GO10" i="16" s="1"/>
  <c r="IY6" i="16"/>
  <c r="BO6" i="16"/>
  <c r="JP9" i="16"/>
  <c r="JQ10" i="16" s="1"/>
  <c r="JO11" i="16"/>
  <c r="JP4" i="16"/>
  <c r="GM6" i="16"/>
  <c r="GM13" i="16" s="1"/>
  <c r="HT9" i="16"/>
  <c r="HU10" i="16" s="1"/>
  <c r="HS11" i="16"/>
  <c r="HT4" i="16"/>
  <c r="BP9" i="16"/>
  <c r="BQ10" i="16" s="1"/>
  <c r="BP4" i="16"/>
  <c r="FX9" i="16"/>
  <c r="FY10" i="16" s="1"/>
  <c r="FX4" i="16"/>
  <c r="EQ11" i="16"/>
  <c r="ER4" i="16"/>
  <c r="ER9" i="16"/>
  <c r="ES10" i="16" s="1"/>
  <c r="KV9" i="16"/>
  <c r="KW10" i="16" s="1"/>
  <c r="KV4" i="16"/>
  <c r="KE7" i="16"/>
  <c r="KD7" i="16"/>
  <c r="KD8" i="16" s="1"/>
  <c r="HD9" i="16"/>
  <c r="HE10" i="16" s="1"/>
  <c r="HD4" i="16"/>
  <c r="FH9" i="16"/>
  <c r="FI10" i="16" s="1"/>
  <c r="FH6" i="16"/>
  <c r="FH4" i="16"/>
  <c r="FG11" i="16"/>
  <c r="II11" i="16"/>
  <c r="IJ4" i="16"/>
  <c r="IJ9" i="16"/>
  <c r="IK10" i="16" s="1"/>
  <c r="IZ9" i="16"/>
  <c r="JA10" i="16" s="1"/>
  <c r="IZ4" i="16"/>
  <c r="FW6" i="16"/>
  <c r="FW13" i="16" s="1"/>
  <c r="NH9" i="16"/>
  <c r="NI10" i="16" s="1"/>
  <c r="NH4" i="16"/>
  <c r="NG11" i="16"/>
  <c r="EQ7" i="16"/>
  <c r="EP7" i="16"/>
  <c r="EP8" i="16" s="1"/>
  <c r="NW11" i="16"/>
  <c r="NX9" i="16"/>
  <c r="NY10" i="16" s="1"/>
  <c r="NX4" i="16"/>
  <c r="LK7" i="16"/>
  <c r="MQ7" i="16"/>
  <c r="NG7" i="16"/>
  <c r="EB9" i="16"/>
  <c r="EC10" i="16" s="1"/>
  <c r="EB4" i="16"/>
  <c r="FV11" i="16"/>
  <c r="CE7" i="15"/>
  <c r="NH9" i="15"/>
  <c r="NI10" i="15" s="1"/>
  <c r="NH4" i="15"/>
  <c r="NG11" i="15"/>
  <c r="IJ9" i="15"/>
  <c r="IK10" i="15" s="1"/>
  <c r="IJ4" i="15"/>
  <c r="II11" i="15"/>
  <c r="KF9" i="15"/>
  <c r="KG10" i="15" s="1"/>
  <c r="KE11" i="15"/>
  <c r="KF4" i="15"/>
  <c r="EB9" i="15"/>
  <c r="EC10" i="15" s="1"/>
  <c r="EA11" i="15"/>
  <c r="EB4" i="15"/>
  <c r="EA7" i="15"/>
  <c r="DZ7" i="15"/>
  <c r="DZ8" i="15" s="1"/>
  <c r="BO5" i="15"/>
  <c r="BP6" i="15" s="1"/>
  <c r="BP13" i="15" s="1"/>
  <c r="HD9" i="15"/>
  <c r="HE10" i="15" s="1"/>
  <c r="HD4" i="15"/>
  <c r="HC11" i="15"/>
  <c r="ON9" i="15"/>
  <c r="OO10" i="15" s="1"/>
  <c r="ON4" i="15"/>
  <c r="BO7" i="15"/>
  <c r="KV9" i="15"/>
  <c r="KW10" i="15" s="1"/>
  <c r="KU11" i="15"/>
  <c r="KV4" i="15"/>
  <c r="CF9" i="15"/>
  <c r="CG10" i="15" s="1"/>
  <c r="CF4" i="15"/>
  <c r="CE11" i="15"/>
  <c r="ER9" i="15"/>
  <c r="ES10" i="15" s="1"/>
  <c r="EQ11" i="15"/>
  <c r="ER4" i="15"/>
  <c r="FX9" i="15"/>
  <c r="FY10" i="15" s="1"/>
  <c r="FW11" i="15"/>
  <c r="FX4" i="15"/>
  <c r="FX6" i="15"/>
  <c r="CV9" i="15"/>
  <c r="CW10" i="15" s="1"/>
  <c r="CV4" i="15"/>
  <c r="CU11" i="15"/>
  <c r="FW7" i="15"/>
  <c r="FV7" i="15"/>
  <c r="FV8" i="15" s="1"/>
  <c r="BO11" i="15"/>
  <c r="BP9" i="15"/>
  <c r="BQ10" i="15" s="1"/>
  <c r="BP4" i="15"/>
  <c r="MB9" i="15"/>
  <c r="MC10" i="15" s="1"/>
  <c r="MB4" i="15"/>
  <c r="MA11" i="15"/>
  <c r="LL9" i="15"/>
  <c r="LM10" i="15" s="1"/>
  <c r="LL4" i="15"/>
  <c r="GN9" i="15"/>
  <c r="GO10" i="15" s="1"/>
  <c r="GN4" i="15"/>
  <c r="IX8" i="15"/>
  <c r="NX9" i="15"/>
  <c r="NY10" i="15" s="1"/>
  <c r="NW11" i="15"/>
  <c r="NX4" i="15"/>
  <c r="HD6" i="15"/>
  <c r="HS7" i="15"/>
  <c r="HR7" i="15"/>
  <c r="HR8" i="15" s="1"/>
  <c r="FH9" i="15"/>
  <c r="FI10" i="15" s="1"/>
  <c r="FG11" i="15"/>
  <c r="FH4" i="15"/>
  <c r="HT9" i="15"/>
  <c r="HU10" i="15" s="1"/>
  <c r="HT4" i="15"/>
  <c r="HS11" i="15"/>
  <c r="HT6" i="15"/>
  <c r="HT13" i="15" s="1"/>
  <c r="GM6" i="15"/>
  <c r="GM13" i="15" s="1"/>
  <c r="JP9" i="15"/>
  <c r="JQ10" i="15" s="1"/>
  <c r="JP4" i="15"/>
  <c r="EQ7" i="15"/>
  <c r="HC7" i="15"/>
  <c r="JO6" i="15"/>
  <c r="JO13" i="15" s="1"/>
  <c r="KU7" i="15"/>
  <c r="DK7" i="15"/>
  <c r="IZ9" i="15"/>
  <c r="JA10" i="15" s="1"/>
  <c r="IY11" i="15"/>
  <c r="IZ4" i="15"/>
  <c r="IZ6" i="15"/>
  <c r="FV11" i="15"/>
  <c r="MR9" i="15"/>
  <c r="MS10" i="15" s="1"/>
  <c r="MR4" i="15"/>
  <c r="MQ11" i="15"/>
  <c r="BN8" i="15"/>
  <c r="DL9" i="15"/>
  <c r="DM10" i="15" s="1"/>
  <c r="DL4" i="15"/>
  <c r="DK11" i="15"/>
  <c r="DL6" i="15"/>
  <c r="DL13" i="15" s="1"/>
  <c r="BO6" i="13"/>
  <c r="BN7" i="13"/>
  <c r="BN8" i="13" s="1"/>
  <c r="EB4" i="13"/>
  <c r="MB4" i="13"/>
  <c r="EB6" i="13"/>
  <c r="BO5" i="13"/>
  <c r="BO22" i="13" s="1"/>
  <c r="EQ11" i="13"/>
  <c r="II11" i="13"/>
  <c r="DK11" i="13"/>
  <c r="EB9" i="13"/>
  <c r="EC10" i="13" s="1"/>
  <c r="CE11" i="13"/>
  <c r="FW11" i="13"/>
  <c r="JO8" i="13"/>
  <c r="KE11" i="13"/>
  <c r="KF9" i="13"/>
  <c r="KG10" i="13" s="1"/>
  <c r="KF4" i="13"/>
  <c r="JO11" i="13"/>
  <c r="JP4" i="13"/>
  <c r="JP9" i="13"/>
  <c r="JQ10" i="13" s="1"/>
  <c r="FG11" i="13"/>
  <c r="IY11" i="13"/>
  <c r="GM11" i="13"/>
  <c r="CU11" i="13"/>
  <c r="HC11" i="13"/>
  <c r="MB9" i="13"/>
  <c r="MC10" i="13" s="1"/>
  <c r="HS11" i="13"/>
  <c r="EA11" i="13"/>
  <c r="MA11" i="13"/>
  <c r="BI17" i="13"/>
  <c r="CV9" i="13"/>
  <c r="CW10" i="13" s="1"/>
  <c r="CV4" i="13"/>
  <c r="FX9" i="13"/>
  <c r="FY10" i="13" s="1"/>
  <c r="FX4" i="13"/>
  <c r="CF9" i="13"/>
  <c r="CG10" i="13" s="1"/>
  <c r="CF4" i="13"/>
  <c r="BQ4" i="13"/>
  <c r="BQ9" i="13"/>
  <c r="KU11" i="13"/>
  <c r="KV9" i="13"/>
  <c r="KW10" i="13" s="1"/>
  <c r="KV4" i="13"/>
  <c r="HD9" i="13"/>
  <c r="HE10" i="13" s="1"/>
  <c r="HD4" i="13"/>
  <c r="IJ9" i="13"/>
  <c r="IK10" i="13" s="1"/>
  <c r="IJ4" i="13"/>
  <c r="FH4" i="13"/>
  <c r="FH9" i="13"/>
  <c r="FI10" i="13" s="1"/>
  <c r="CU7" i="13"/>
  <c r="CU8" i="13" s="1"/>
  <c r="GN4" i="13"/>
  <c r="GN9" i="13"/>
  <c r="GO10" i="13" s="1"/>
  <c r="ER9" i="13"/>
  <c r="ES10" i="13" s="1"/>
  <c r="ER4" i="13"/>
  <c r="II7" i="13"/>
  <c r="II8" i="13" s="1"/>
  <c r="ON4" i="13"/>
  <c r="OM11" i="13"/>
  <c r="ON9" i="13"/>
  <c r="OO10" i="13" s="1"/>
  <c r="LM4" i="13"/>
  <c r="LM9" i="13"/>
  <c r="LE17" i="13"/>
  <c r="IZ9" i="13"/>
  <c r="JA10" i="13" s="1"/>
  <c r="IZ4" i="13"/>
  <c r="HT9" i="13"/>
  <c r="HU10" i="13" s="1"/>
  <c r="HT4" i="13"/>
  <c r="NW11" i="13"/>
  <c r="NX9" i="13"/>
  <c r="NY10" i="13" s="1"/>
  <c r="NX4" i="13"/>
  <c r="MQ11" i="13"/>
  <c r="FG7" i="13"/>
  <c r="FG8" i="13" s="1"/>
  <c r="DL4" i="13"/>
  <c r="DL9" i="13"/>
  <c r="DM10" i="13" s="1"/>
  <c r="OM7" i="13"/>
  <c r="OM8" i="13" s="1"/>
  <c r="KU7" i="13"/>
  <c r="KU8" i="13" s="1"/>
  <c r="NG11" i="13"/>
  <c r="NH9" i="13"/>
  <c r="NI10" i="13" s="1"/>
  <c r="NH4" i="13"/>
  <c r="BO88" i="13" l="1"/>
  <c r="BO104" i="13"/>
  <c r="BO86" i="13"/>
  <c r="BO103" i="13"/>
  <c r="BO85" i="13"/>
  <c r="BO102" i="13"/>
  <c r="BO84" i="13"/>
  <c r="BO96" i="13"/>
  <c r="BO76" i="13"/>
  <c r="BO73" i="13"/>
  <c r="BO95" i="13"/>
  <c r="BO75" i="13"/>
  <c r="BO94" i="13"/>
  <c r="BO74" i="13"/>
  <c r="BO93" i="13"/>
  <c r="CT65" i="13"/>
  <c r="G65" i="13" s="1"/>
  <c r="CT96" i="13"/>
  <c r="G96" i="13" s="1"/>
  <c r="CT73" i="13"/>
  <c r="G73" i="13" s="1"/>
  <c r="CT85" i="13"/>
  <c r="G85" i="13" s="1"/>
  <c r="CT84" i="13"/>
  <c r="G84" i="13" s="1"/>
  <c r="CT67" i="13"/>
  <c r="G67" i="13" s="1"/>
  <c r="CT94" i="13"/>
  <c r="G94" i="13" s="1"/>
  <c r="CT93" i="13"/>
  <c r="G93" i="13" s="1"/>
  <c r="CT75" i="13"/>
  <c r="G75" i="13" s="1"/>
  <c r="CT86" i="13"/>
  <c r="G86" i="13" s="1"/>
  <c r="CT69" i="13"/>
  <c r="G69" i="13" s="1"/>
  <c r="CT103" i="13"/>
  <c r="G103" i="13" s="1"/>
  <c r="CT76" i="13"/>
  <c r="G76" i="13" s="1"/>
  <c r="CT102" i="13"/>
  <c r="G102" i="13" s="1"/>
  <c r="CT104" i="13"/>
  <c r="G104" i="13" s="1"/>
  <c r="CT68" i="13"/>
  <c r="G68" i="13" s="1"/>
  <c r="CT66" i="13"/>
  <c r="G66" i="13" s="1"/>
  <c r="CT95" i="13"/>
  <c r="G95" i="13" s="1"/>
  <c r="CT64" i="13"/>
  <c r="G64" i="13" s="1"/>
  <c r="CT88" i="13"/>
  <c r="G88" i="13" s="1"/>
  <c r="CT74" i="13"/>
  <c r="G74" i="13" s="1"/>
  <c r="CU22" i="13"/>
  <c r="BO66" i="13"/>
  <c r="BO65" i="13"/>
  <c r="BO68" i="13"/>
  <c r="BO64" i="13"/>
  <c r="BO67" i="13"/>
  <c r="BO69" i="13"/>
  <c r="H84" i="17"/>
  <c r="H95" i="17"/>
  <c r="H102" i="17"/>
  <c r="H104" i="17"/>
  <c r="H76" i="17"/>
  <c r="H69" i="17"/>
  <c r="H96" i="17"/>
  <c r="H65" i="17"/>
  <c r="H74" i="17"/>
  <c r="H66" i="17"/>
  <c r="H64" i="17"/>
  <c r="H88" i="17"/>
  <c r="H94" i="17"/>
  <c r="H75" i="17"/>
  <c r="H85" i="17"/>
  <c r="H73" i="17"/>
  <c r="KF13" i="17"/>
  <c r="JP13" i="15"/>
  <c r="G110" i="15"/>
  <c r="NH13" i="15"/>
  <c r="LL11" i="13"/>
  <c r="MA8" i="13"/>
  <c r="MR13" i="13"/>
  <c r="MS4" i="13"/>
  <c r="NW8" i="13"/>
  <c r="MS9" i="13"/>
  <c r="LK7" i="13"/>
  <c r="GN13" i="13"/>
  <c r="F112" i="16"/>
  <c r="F113" i="16" s="1"/>
  <c r="F111" i="16"/>
  <c r="E114" i="13"/>
  <c r="F112" i="13"/>
  <c r="F113" i="13" s="1"/>
  <c r="F112" i="17"/>
  <c r="F113" i="17" s="1"/>
  <c r="F111" i="17"/>
  <c r="E114" i="15"/>
  <c r="KV13" i="13"/>
  <c r="ON13" i="13"/>
  <c r="KE8" i="15"/>
  <c r="FX13" i="13"/>
  <c r="JP13" i="17"/>
  <c r="IZ13" i="16"/>
  <c r="NH13" i="13"/>
  <c r="KF13" i="13"/>
  <c r="BP13" i="16"/>
  <c r="CF13" i="16"/>
  <c r="G109" i="15"/>
  <c r="G112" i="15" s="1"/>
  <c r="G113" i="15" s="1"/>
  <c r="F112" i="15"/>
  <c r="F113" i="15" s="1"/>
  <c r="EK17" i="15"/>
  <c r="HD13" i="16"/>
  <c r="GN13" i="16"/>
  <c r="FX13" i="16"/>
  <c r="KV13" i="16"/>
  <c r="NH13" i="16"/>
  <c r="I84" i="16"/>
  <c r="LL13" i="15"/>
  <c r="AK8" i="9"/>
  <c r="ER13" i="13"/>
  <c r="ON13" i="17"/>
  <c r="MR13" i="16"/>
  <c r="MB13" i="17"/>
  <c r="CF13" i="17"/>
  <c r="FX13" i="17"/>
  <c r="LL7" i="13"/>
  <c r="FH13" i="16"/>
  <c r="GN13" i="15"/>
  <c r="G110" i="16"/>
  <c r="G111" i="16" s="1"/>
  <c r="BZ85" i="9"/>
  <c r="BZ64" i="9"/>
  <c r="BZ95" i="9"/>
  <c r="BZ96" i="9"/>
  <c r="BZ93" i="9"/>
  <c r="BZ67" i="9"/>
  <c r="BZ103" i="9"/>
  <c r="BZ68" i="9"/>
  <c r="BZ88" i="9"/>
  <c r="BZ73" i="9"/>
  <c r="BZ104" i="9"/>
  <c r="BZ74" i="9"/>
  <c r="BZ86" i="9"/>
  <c r="BZ94" i="9"/>
  <c r="BZ75" i="9"/>
  <c r="BZ76" i="9"/>
  <c r="BZ84" i="9"/>
  <c r="BZ66" i="9"/>
  <c r="BZ65" i="9"/>
  <c r="BZ69" i="9"/>
  <c r="BZ102" i="9"/>
  <c r="G109" i="16"/>
  <c r="LK11" i="13"/>
  <c r="G110" i="17"/>
  <c r="G111" i="17" s="1"/>
  <c r="CV13" i="15"/>
  <c r="BL94" i="9"/>
  <c r="BL85" i="9"/>
  <c r="BL93" i="9"/>
  <c r="BL74" i="9"/>
  <c r="BL84" i="9"/>
  <c r="BL64" i="9"/>
  <c r="BL86" i="9"/>
  <c r="BL95" i="9"/>
  <c r="BL68" i="9"/>
  <c r="BL102" i="9"/>
  <c r="BL75" i="9"/>
  <c r="BL65" i="9"/>
  <c r="BL66" i="9"/>
  <c r="BL96" i="9"/>
  <c r="BL67" i="9"/>
  <c r="BL73" i="9"/>
  <c r="BL76" i="9"/>
  <c r="BL104" i="9"/>
  <c r="BL103" i="9"/>
  <c r="BL69" i="9"/>
  <c r="BL88" i="9"/>
  <c r="GN5" i="13"/>
  <c r="GO6" i="13" s="1"/>
  <c r="MR13" i="17"/>
  <c r="IZ5" i="13"/>
  <c r="JA6" i="13" s="1"/>
  <c r="JP13" i="13"/>
  <c r="F114" i="15"/>
  <c r="G111" i="15"/>
  <c r="IZ5" i="16"/>
  <c r="JA6" i="16" s="1"/>
  <c r="GW17" i="17"/>
  <c r="HT5" i="15"/>
  <c r="NQ17" i="15"/>
  <c r="IJ5" i="15"/>
  <c r="IJ5" i="16"/>
  <c r="FX5" i="16"/>
  <c r="JP5" i="16"/>
  <c r="IZ5" i="17"/>
  <c r="EB5" i="15"/>
  <c r="KF5" i="16"/>
  <c r="GN5" i="17"/>
  <c r="LM5" i="13"/>
  <c r="NX13" i="13"/>
  <c r="FX5" i="13"/>
  <c r="FY6" i="13" s="1"/>
  <c r="HT5" i="13"/>
  <c r="HU6" i="13" s="1"/>
  <c r="BM5" i="9"/>
  <c r="BL6" i="9"/>
  <c r="BL9" i="9" s="1"/>
  <c r="HD5" i="13"/>
  <c r="HE6" i="13" s="1"/>
  <c r="KF5" i="13"/>
  <c r="KG6" i="13" s="1"/>
  <c r="KV5" i="13"/>
  <c r="KW6" i="13" s="1"/>
  <c r="FH5" i="15"/>
  <c r="IZ5" i="15"/>
  <c r="JA6" i="15" s="1"/>
  <c r="JI17" i="15"/>
  <c r="BI17" i="15"/>
  <c r="CF5" i="15"/>
  <c r="FH5" i="16"/>
  <c r="FI6" i="16" s="1"/>
  <c r="CF5" i="13"/>
  <c r="CG6" i="13" s="1"/>
  <c r="FH5" i="13"/>
  <c r="FI6" i="13" s="1"/>
  <c r="LM6" i="13"/>
  <c r="LM13" i="13" s="1"/>
  <c r="MB5" i="13"/>
  <c r="G109" i="17"/>
  <c r="GN5" i="15"/>
  <c r="GO6" i="15" s="1"/>
  <c r="FX5" i="15"/>
  <c r="GW17" i="15"/>
  <c r="JY17" i="15"/>
  <c r="HT5" i="16"/>
  <c r="KF5" i="17"/>
  <c r="HT5" i="17"/>
  <c r="JP5" i="17"/>
  <c r="CV5" i="13"/>
  <c r="CW6" i="13" s="1"/>
  <c r="NX7" i="13"/>
  <c r="NX8" i="13" s="1"/>
  <c r="NX5" i="13"/>
  <c r="NY6" i="13" s="1"/>
  <c r="JP5" i="13"/>
  <c r="MR5" i="13"/>
  <c r="MS5" i="13" s="1"/>
  <c r="CF5" i="16"/>
  <c r="CG6" i="16" s="1"/>
  <c r="CV5" i="16"/>
  <c r="EB5" i="13"/>
  <c r="EC6" i="13" s="1"/>
  <c r="NH5" i="13"/>
  <c r="BM8" i="9"/>
  <c r="MC9" i="13"/>
  <c r="MC6" i="13"/>
  <c r="IZ6" i="13"/>
  <c r="IZ13" i="13" s="1"/>
  <c r="HD5" i="16"/>
  <c r="ER5" i="16"/>
  <c r="ES6" i="16" s="1"/>
  <c r="GN5" i="16"/>
  <c r="ER5" i="17"/>
  <c r="ES6" i="17" s="1"/>
  <c r="LK8" i="13"/>
  <c r="LL8" i="13" s="1"/>
  <c r="H110" i="15"/>
  <c r="H111" i="15" s="1"/>
  <c r="ON5" i="13"/>
  <c r="OO6" i="13" s="1"/>
  <c r="MK17" i="13"/>
  <c r="IJ5" i="13"/>
  <c r="IK6" i="13" s="1"/>
  <c r="ER5" i="13"/>
  <c r="ES6" i="13" s="1"/>
  <c r="OG17" i="13"/>
  <c r="KU8" i="15"/>
  <c r="EB5" i="16"/>
  <c r="EC6" i="16" s="1"/>
  <c r="DL5" i="17"/>
  <c r="IJ5" i="17"/>
  <c r="DL5" i="13"/>
  <c r="DM6" i="13" s="1"/>
  <c r="CA5" i="9"/>
  <c r="BZ6" i="9"/>
  <c r="BZ9" i="9" s="1"/>
  <c r="CA8" i="9"/>
  <c r="DL5" i="15"/>
  <c r="CV5" i="15"/>
  <c r="CW6" i="15" s="1"/>
  <c r="ER5" i="15"/>
  <c r="ES6" i="15" s="1"/>
  <c r="FG8" i="17"/>
  <c r="LK8" i="17"/>
  <c r="MA8" i="17"/>
  <c r="FX5" i="17"/>
  <c r="EB5" i="17"/>
  <c r="EC6" i="17" s="1"/>
  <c r="NG8" i="17"/>
  <c r="KV5" i="17"/>
  <c r="KW6" i="17" s="1"/>
  <c r="II11" i="17"/>
  <c r="IY8" i="17"/>
  <c r="CV5" i="17"/>
  <c r="CW6" i="17" s="1"/>
  <c r="II7" i="17"/>
  <c r="II8" i="17" s="1"/>
  <c r="EA8" i="17"/>
  <c r="LL13" i="17"/>
  <c r="LL7" i="17"/>
  <c r="KV13" i="17"/>
  <c r="KV7" i="17"/>
  <c r="MR7" i="17"/>
  <c r="KU7" i="17"/>
  <c r="KU8" i="17" s="1"/>
  <c r="LU17" i="17"/>
  <c r="MQ13" i="17"/>
  <c r="MQ7" i="17"/>
  <c r="MQ8" i="17" s="1"/>
  <c r="CV6" i="17"/>
  <c r="CV7" i="17" s="1"/>
  <c r="CV8" i="17" s="1"/>
  <c r="KU11" i="17"/>
  <c r="FH5" i="17"/>
  <c r="FI6" i="17" s="1"/>
  <c r="MR5" i="17"/>
  <c r="MS6" i="17" s="1"/>
  <c r="NX13" i="17"/>
  <c r="MB5" i="17"/>
  <c r="LL5" i="17"/>
  <c r="NA17" i="17"/>
  <c r="NH5" i="17"/>
  <c r="NI6" i="17" s="1"/>
  <c r="CF5" i="17"/>
  <c r="CG6" i="17" s="1"/>
  <c r="NX7" i="17"/>
  <c r="NX8" i="17" s="1"/>
  <c r="NH6" i="17"/>
  <c r="NH11" i="17" s="1"/>
  <c r="HD5" i="17"/>
  <c r="HE6" i="17" s="1"/>
  <c r="MK17" i="17"/>
  <c r="MB7" i="17"/>
  <c r="NX5" i="17"/>
  <c r="NY6" i="17" s="1"/>
  <c r="MR5" i="16"/>
  <c r="MS6" i="16" s="1"/>
  <c r="NH5" i="16"/>
  <c r="NI6" i="16" s="1"/>
  <c r="MA8" i="16"/>
  <c r="NG8" i="16"/>
  <c r="LK8" i="16"/>
  <c r="KU7" i="16"/>
  <c r="KU8" i="16" s="1"/>
  <c r="KU11" i="16"/>
  <c r="MB13" i="16"/>
  <c r="MB7" i="16"/>
  <c r="ON5" i="16"/>
  <c r="OO6" i="16" s="1"/>
  <c r="GW17" i="16"/>
  <c r="LL13" i="16"/>
  <c r="LL7" i="16"/>
  <c r="BO11" i="16"/>
  <c r="BO13" i="16"/>
  <c r="OM13" i="16"/>
  <c r="OM7" i="16"/>
  <c r="OM8" i="16" s="1"/>
  <c r="KV5" i="16"/>
  <c r="II8" i="16"/>
  <c r="NX5" i="16"/>
  <c r="NY6" i="16" s="1"/>
  <c r="NX13" i="16"/>
  <c r="OG17" i="16"/>
  <c r="NX7" i="16"/>
  <c r="NX8" i="16" s="1"/>
  <c r="ON6" i="16"/>
  <c r="ON13" i="16" s="1"/>
  <c r="DL5" i="16"/>
  <c r="DM6" i="16" s="1"/>
  <c r="LE17" i="16"/>
  <c r="LL5" i="16"/>
  <c r="LM6" i="16" s="1"/>
  <c r="OM11" i="16"/>
  <c r="MQ8" i="16"/>
  <c r="MK17" i="16"/>
  <c r="MB5" i="16"/>
  <c r="MC6" i="16" s="1"/>
  <c r="OM7" i="15"/>
  <c r="OM8" i="15" s="1"/>
  <c r="NW8" i="15"/>
  <c r="NG8" i="15"/>
  <c r="EQ8" i="15"/>
  <c r="MQ8" i="15"/>
  <c r="CU8" i="15"/>
  <c r="OM11" i="15"/>
  <c r="MA8" i="15"/>
  <c r="JP5" i="15"/>
  <c r="JQ6" i="15" s="1"/>
  <c r="MB5" i="15"/>
  <c r="MC6" i="15" s="1"/>
  <c r="NX5" i="15"/>
  <c r="NY6" i="15" s="1"/>
  <c r="NX6" i="15"/>
  <c r="LK11" i="15"/>
  <c r="LK7" i="15"/>
  <c r="LK8" i="15" s="1"/>
  <c r="ON5" i="15"/>
  <c r="HD5" i="15"/>
  <c r="LU17" i="15"/>
  <c r="NA17" i="15"/>
  <c r="NH5" i="15"/>
  <c r="LL5" i="15"/>
  <c r="MR5" i="15"/>
  <c r="ON6" i="15"/>
  <c r="ON13" i="15" s="1"/>
  <c r="KV5" i="15"/>
  <c r="MB6" i="15"/>
  <c r="MB13" i="15" s="1"/>
  <c r="MR6" i="15"/>
  <c r="MR7" i="15" s="1"/>
  <c r="KF5" i="15"/>
  <c r="KG6" i="15" s="1"/>
  <c r="IY8" i="15"/>
  <c r="II8" i="15"/>
  <c r="KF7" i="16"/>
  <c r="KF13" i="16"/>
  <c r="JO8" i="16"/>
  <c r="IY11" i="16"/>
  <c r="IY13" i="16"/>
  <c r="HT7" i="16"/>
  <c r="HT13" i="16"/>
  <c r="HC7" i="16"/>
  <c r="HC8" i="16" s="1"/>
  <c r="HC13" i="16"/>
  <c r="EA11" i="16"/>
  <c r="EA13" i="16"/>
  <c r="OM13" i="17"/>
  <c r="OM7" i="17"/>
  <c r="OM8" i="17" s="1"/>
  <c r="ON7" i="17"/>
  <c r="ON5" i="17"/>
  <c r="KE11" i="17"/>
  <c r="KE13" i="17"/>
  <c r="JO11" i="17"/>
  <c r="JO13" i="17"/>
  <c r="IJ7" i="17"/>
  <c r="IJ13" i="17"/>
  <c r="HT7" i="17"/>
  <c r="HT8" i="17" s="1"/>
  <c r="HT13" i="17"/>
  <c r="FW7" i="17"/>
  <c r="FW8" i="17" s="1"/>
  <c r="FW13" i="17"/>
  <c r="DL7" i="17"/>
  <c r="DL13" i="17"/>
  <c r="CE11" i="17"/>
  <c r="CE13" i="17"/>
  <c r="DE17" i="17"/>
  <c r="NH7" i="15"/>
  <c r="CO17" i="15"/>
  <c r="KV7" i="15"/>
  <c r="KV8" i="15" s="1"/>
  <c r="KV13" i="15"/>
  <c r="IK6" i="15"/>
  <c r="IZ7" i="15"/>
  <c r="IZ13" i="15"/>
  <c r="FX7" i="15"/>
  <c r="FX13" i="15"/>
  <c r="HD7" i="15"/>
  <c r="HD13" i="15"/>
  <c r="FG8" i="15"/>
  <c r="EC6" i="15"/>
  <c r="IJ6" i="15"/>
  <c r="EB6" i="15"/>
  <c r="FA17" i="16"/>
  <c r="EB6" i="16"/>
  <c r="FY6" i="16"/>
  <c r="CW6" i="16"/>
  <c r="HC11" i="16"/>
  <c r="FW11" i="17"/>
  <c r="GO6" i="17"/>
  <c r="FX7" i="17"/>
  <c r="ER6" i="17"/>
  <c r="FH6" i="17"/>
  <c r="FH7" i="17" s="1"/>
  <c r="EB7" i="13"/>
  <c r="EB8" i="13" s="1"/>
  <c r="EB13" i="13"/>
  <c r="CV7" i="13"/>
  <c r="CV8" i="13" s="1"/>
  <c r="CV13" i="13"/>
  <c r="IJ7" i="13"/>
  <c r="IJ8" i="13" s="1"/>
  <c r="IJ13" i="13"/>
  <c r="MB7" i="13"/>
  <c r="MB8" i="13" s="1"/>
  <c r="MB13" i="13"/>
  <c r="DL7" i="13"/>
  <c r="DL8" i="13" s="1"/>
  <c r="DL13" i="13"/>
  <c r="HT7" i="13"/>
  <c r="HT8" i="13" s="1"/>
  <c r="HT13" i="13"/>
  <c r="FH7" i="13"/>
  <c r="FH8" i="13" s="1"/>
  <c r="FH13" i="13"/>
  <c r="HD7" i="13"/>
  <c r="HD8" i="13" s="1"/>
  <c r="HD13" i="13"/>
  <c r="LM7" i="13"/>
  <c r="CF7" i="13"/>
  <c r="CF8" i="13" s="1"/>
  <c r="CF13" i="13"/>
  <c r="G112" i="13"/>
  <c r="G113" i="13" s="1"/>
  <c r="F114" i="13"/>
  <c r="G111" i="13"/>
  <c r="BO11" i="13"/>
  <c r="BO13" i="13"/>
  <c r="H110" i="13" s="1"/>
  <c r="CE8" i="15"/>
  <c r="FW8" i="15"/>
  <c r="EA8" i="15"/>
  <c r="HC8" i="15"/>
  <c r="BO8" i="15"/>
  <c r="HS8" i="15"/>
  <c r="DK8" i="15"/>
  <c r="HC8" i="17"/>
  <c r="EQ8" i="16"/>
  <c r="GM8" i="17"/>
  <c r="ON11" i="17"/>
  <c r="OO9" i="17"/>
  <c r="OO4" i="17"/>
  <c r="BQ9" i="17"/>
  <c r="BQ4" i="17"/>
  <c r="BP11" i="17"/>
  <c r="KF7" i="17"/>
  <c r="CF11" i="17"/>
  <c r="CG9" i="17"/>
  <c r="CG4" i="17"/>
  <c r="KF11" i="17"/>
  <c r="KG4" i="17"/>
  <c r="KG9" i="17"/>
  <c r="JY17" i="17"/>
  <c r="FX11" i="17"/>
  <c r="FY4" i="17"/>
  <c r="FY9" i="17"/>
  <c r="FQ17" i="17"/>
  <c r="KE7" i="17"/>
  <c r="KE8" i="17" s="1"/>
  <c r="ES4" i="17"/>
  <c r="ES9" i="17"/>
  <c r="EK17" i="17"/>
  <c r="CW4" i="17"/>
  <c r="CW9" i="17"/>
  <c r="CO17" i="17"/>
  <c r="BP7" i="17"/>
  <c r="NI4" i="17"/>
  <c r="NI9" i="17"/>
  <c r="BP5" i="17"/>
  <c r="HT11" i="17"/>
  <c r="HU4" i="17"/>
  <c r="HU9" i="17"/>
  <c r="HM17" i="17"/>
  <c r="HD6" i="17"/>
  <c r="HD13" i="17" s="1"/>
  <c r="EQ7" i="17"/>
  <c r="EQ8" i="17" s="1"/>
  <c r="LL11" i="17"/>
  <c r="LM4" i="17"/>
  <c r="LM9" i="17"/>
  <c r="LE17" i="17"/>
  <c r="BO11" i="17"/>
  <c r="IZ11" i="17"/>
  <c r="JA4" i="17"/>
  <c r="JA9" i="17"/>
  <c r="IS17" i="17"/>
  <c r="GO4" i="17"/>
  <c r="GO9" i="17"/>
  <c r="GG17" i="17"/>
  <c r="MR11" i="17"/>
  <c r="MS4" i="17"/>
  <c r="MS9" i="17"/>
  <c r="EQ11" i="17"/>
  <c r="IJ11" i="17"/>
  <c r="IK4" i="17"/>
  <c r="IK9" i="17"/>
  <c r="IC17" i="17"/>
  <c r="EC9" i="17"/>
  <c r="EC4" i="17"/>
  <c r="NX11" i="17"/>
  <c r="NY4" i="17"/>
  <c r="NY9" i="17"/>
  <c r="NQ17" i="17"/>
  <c r="JP7" i="17"/>
  <c r="JO7" i="17"/>
  <c r="JO8" i="17" s="1"/>
  <c r="KV11" i="17"/>
  <c r="KW9" i="17"/>
  <c r="KW4" i="17"/>
  <c r="KO17" i="17"/>
  <c r="DL11" i="17"/>
  <c r="DM4" i="17"/>
  <c r="DM9" i="17"/>
  <c r="DM6" i="17"/>
  <c r="BO7" i="17"/>
  <c r="BO8" i="17" s="1"/>
  <c r="EB6" i="17"/>
  <c r="EB13" i="17" s="1"/>
  <c r="FI9" i="17"/>
  <c r="FI4" i="17"/>
  <c r="FA17" i="17"/>
  <c r="HE9" i="17"/>
  <c r="HE4" i="17"/>
  <c r="GN6" i="17"/>
  <c r="GN13" i="17" s="1"/>
  <c r="JP11" i="17"/>
  <c r="JQ6" i="17"/>
  <c r="JQ9" i="17"/>
  <c r="JQ4" i="17"/>
  <c r="JI17" i="17"/>
  <c r="JA6" i="17"/>
  <c r="DK8" i="17"/>
  <c r="BY17" i="17"/>
  <c r="CF7" i="17"/>
  <c r="CE7" i="17"/>
  <c r="CE8" i="17" s="1"/>
  <c r="OG17" i="17"/>
  <c r="IZ7" i="17"/>
  <c r="MB11" i="17"/>
  <c r="MC9" i="17"/>
  <c r="MC4" i="17"/>
  <c r="BI17" i="17"/>
  <c r="DU17" i="17"/>
  <c r="JQ9" i="16"/>
  <c r="JQ4" i="16"/>
  <c r="CF11" i="16"/>
  <c r="CG9" i="16"/>
  <c r="CG4" i="16"/>
  <c r="BY17" i="16"/>
  <c r="KW9" i="16"/>
  <c r="KW4" i="16"/>
  <c r="KV11" i="16"/>
  <c r="KO17" i="16"/>
  <c r="HU9" i="16"/>
  <c r="HT11" i="16"/>
  <c r="HU4" i="16"/>
  <c r="HM17" i="16"/>
  <c r="GN7" i="16"/>
  <c r="GM7" i="16"/>
  <c r="GM8" i="16" s="1"/>
  <c r="CU8" i="16"/>
  <c r="EC9" i="16"/>
  <c r="EC4" i="16"/>
  <c r="DU17" i="16"/>
  <c r="GN11" i="16"/>
  <c r="GO4" i="16"/>
  <c r="GO9" i="16"/>
  <c r="GG17" i="16"/>
  <c r="DM9" i="16"/>
  <c r="DM4" i="16"/>
  <c r="DE17" i="16"/>
  <c r="MS9" i="16"/>
  <c r="MR11" i="16"/>
  <c r="MS4" i="16"/>
  <c r="MB11" i="16"/>
  <c r="MC9" i="16"/>
  <c r="MC4" i="16"/>
  <c r="NH11" i="16"/>
  <c r="NI9" i="16"/>
  <c r="NI4" i="16"/>
  <c r="NA17" i="16"/>
  <c r="FX7" i="16"/>
  <c r="IK9" i="16"/>
  <c r="IK4" i="16"/>
  <c r="IC17" i="16"/>
  <c r="FW11" i="16"/>
  <c r="DL6" i="16"/>
  <c r="JY17" i="16"/>
  <c r="OO9" i="16"/>
  <c r="OO4" i="16"/>
  <c r="LL11" i="16"/>
  <c r="LM9" i="16"/>
  <c r="LM4" i="16"/>
  <c r="BP11" i="16"/>
  <c r="BQ9" i="16"/>
  <c r="BQ4" i="16"/>
  <c r="ES9" i="16"/>
  <c r="ES4" i="16"/>
  <c r="EK17" i="16"/>
  <c r="CW9" i="16"/>
  <c r="CW4" i="16"/>
  <c r="KG6" i="16"/>
  <c r="KG9" i="16"/>
  <c r="KF11" i="16"/>
  <c r="KG4" i="16"/>
  <c r="CF7" i="16"/>
  <c r="CE7" i="16"/>
  <c r="CE8" i="16" s="1"/>
  <c r="HD7" i="16"/>
  <c r="FH7" i="16"/>
  <c r="NX11" i="16"/>
  <c r="NY9" i="16"/>
  <c r="NY4" i="16"/>
  <c r="NQ17" i="16"/>
  <c r="LU17" i="16"/>
  <c r="IZ11" i="16"/>
  <c r="JA9" i="16"/>
  <c r="JA4" i="16"/>
  <c r="IS17" i="16"/>
  <c r="KE8" i="16"/>
  <c r="ER6" i="16"/>
  <c r="ER13" i="16" s="1"/>
  <c r="JP6" i="16"/>
  <c r="MR7" i="16"/>
  <c r="MR8" i="16" s="1"/>
  <c r="CV6" i="16"/>
  <c r="KV7" i="16"/>
  <c r="KV8" i="16" s="1"/>
  <c r="IZ7" i="16"/>
  <c r="IY7" i="16"/>
  <c r="IY8" i="16" s="1"/>
  <c r="BI17" i="16"/>
  <c r="FI9" i="16"/>
  <c r="FH11" i="16"/>
  <c r="FI4" i="16"/>
  <c r="NH7" i="16"/>
  <c r="BP7" i="16"/>
  <c r="BO7" i="16"/>
  <c r="BO8" i="16" s="1"/>
  <c r="GM11" i="16"/>
  <c r="FW7" i="16"/>
  <c r="FW8" i="16" s="1"/>
  <c r="CO17" i="16"/>
  <c r="IJ6" i="16"/>
  <c r="IJ13" i="16" s="1"/>
  <c r="HE9" i="16"/>
  <c r="HD11" i="16"/>
  <c r="HE6" i="16"/>
  <c r="HE4" i="16"/>
  <c r="FY9" i="16"/>
  <c r="FX11" i="16"/>
  <c r="FY4" i="16"/>
  <c r="FQ17" i="16"/>
  <c r="JI17" i="16"/>
  <c r="BP5" i="16"/>
  <c r="BQ6" i="16" s="1"/>
  <c r="EA7" i="16"/>
  <c r="EA8" i="16" s="1"/>
  <c r="FG8" i="16"/>
  <c r="HS8" i="16"/>
  <c r="LL11" i="15"/>
  <c r="LM9" i="15"/>
  <c r="LM4" i="15"/>
  <c r="LE17" i="15"/>
  <c r="DL11" i="15"/>
  <c r="DM9" i="15"/>
  <c r="DM4" i="15"/>
  <c r="DE17" i="15"/>
  <c r="HU6" i="15"/>
  <c r="ER6" i="15"/>
  <c r="IZ11" i="15"/>
  <c r="JA9" i="15"/>
  <c r="JA4" i="15"/>
  <c r="IS17" i="15"/>
  <c r="JP7" i="15"/>
  <c r="JO7" i="15"/>
  <c r="JO8" i="15" s="1"/>
  <c r="GN7" i="15"/>
  <c r="GM7" i="15"/>
  <c r="GM8" i="15" s="1"/>
  <c r="CG9" i="15"/>
  <c r="CG4" i="15"/>
  <c r="BY17" i="15"/>
  <c r="CV7" i="15"/>
  <c r="EC9" i="15"/>
  <c r="EC4" i="15"/>
  <c r="DU17" i="15"/>
  <c r="NY9" i="15"/>
  <c r="NY4" i="15"/>
  <c r="GM11" i="15"/>
  <c r="BQ9" i="15"/>
  <c r="BP11" i="15"/>
  <c r="BQ4" i="15"/>
  <c r="CV11" i="15"/>
  <c r="CW9" i="15"/>
  <c r="CW4" i="15"/>
  <c r="ES9" i="15"/>
  <c r="ES4" i="15"/>
  <c r="KV11" i="15"/>
  <c r="KW9" i="15"/>
  <c r="KW4" i="15"/>
  <c r="KO17" i="15"/>
  <c r="OO9" i="15"/>
  <c r="OO4" i="15"/>
  <c r="OG17" i="15"/>
  <c r="IK9" i="15"/>
  <c r="IK4" i="15"/>
  <c r="IC17" i="15"/>
  <c r="BP7" i="15"/>
  <c r="BP5" i="15"/>
  <c r="BQ6" i="15" s="1"/>
  <c r="JP11" i="15"/>
  <c r="JQ9" i="15"/>
  <c r="JQ4" i="15"/>
  <c r="FH6" i="15"/>
  <c r="FH13" i="15" s="1"/>
  <c r="HT7" i="15"/>
  <c r="LL7" i="15"/>
  <c r="GN11" i="15"/>
  <c r="GO9" i="15"/>
  <c r="GO4" i="15"/>
  <c r="GG17" i="15"/>
  <c r="HT11" i="15"/>
  <c r="HU9" i="15"/>
  <c r="HU4" i="15"/>
  <c r="HM17" i="15"/>
  <c r="KF6" i="15"/>
  <c r="KF13" i="15" s="1"/>
  <c r="NH11" i="15"/>
  <c r="NI9" i="15"/>
  <c r="NI4" i="15"/>
  <c r="DL7" i="15"/>
  <c r="MS9" i="15"/>
  <c r="MS4" i="15"/>
  <c r="MK17" i="15"/>
  <c r="FI9" i="15"/>
  <c r="FI6" i="15"/>
  <c r="FI4" i="15"/>
  <c r="FA17" i="15"/>
  <c r="JO11" i="15"/>
  <c r="MC9" i="15"/>
  <c r="MC4" i="15"/>
  <c r="FX11" i="15"/>
  <c r="FY9" i="15"/>
  <c r="FY4" i="15"/>
  <c r="FY6" i="15"/>
  <c r="FQ17" i="15"/>
  <c r="CF6" i="15"/>
  <c r="HD11" i="15"/>
  <c r="HE9" i="15"/>
  <c r="HE4" i="15"/>
  <c r="KG9" i="15"/>
  <c r="KG4" i="15"/>
  <c r="BO7" i="13"/>
  <c r="BO8" i="13" s="1"/>
  <c r="BP6" i="13"/>
  <c r="DU17" i="13"/>
  <c r="EC4" i="13"/>
  <c r="MB11" i="13"/>
  <c r="EC9" i="13"/>
  <c r="LU17" i="13"/>
  <c r="MC4" i="13"/>
  <c r="JQ6" i="13"/>
  <c r="BP5" i="13"/>
  <c r="BP22" i="13" s="1"/>
  <c r="JY17" i="13"/>
  <c r="IJ11" i="13"/>
  <c r="JI17" i="13"/>
  <c r="CF11" i="13"/>
  <c r="FX11" i="13"/>
  <c r="DL11" i="13"/>
  <c r="KF11" i="13"/>
  <c r="KG9" i="13"/>
  <c r="KG4" i="13"/>
  <c r="KF7" i="13"/>
  <c r="KF8" i="13" s="1"/>
  <c r="JP11" i="13"/>
  <c r="JQ4" i="13"/>
  <c r="JQ9" i="13"/>
  <c r="JP7" i="13"/>
  <c r="JP8" i="13" s="1"/>
  <c r="IS17" i="13"/>
  <c r="CV11" i="13"/>
  <c r="ER11" i="13"/>
  <c r="HT11" i="13"/>
  <c r="FH11" i="13"/>
  <c r="GN11" i="13"/>
  <c r="HD11" i="13"/>
  <c r="EB11" i="13"/>
  <c r="GG17" i="13"/>
  <c r="FQ17" i="13"/>
  <c r="CO17" i="13"/>
  <c r="FA17" i="13"/>
  <c r="DM4" i="13"/>
  <c r="DM9" i="13"/>
  <c r="DE17" i="13"/>
  <c r="NY9" i="13"/>
  <c r="NX11" i="13"/>
  <c r="NY4" i="13"/>
  <c r="NQ17" i="13"/>
  <c r="LM11" i="13"/>
  <c r="KW4" i="13"/>
  <c r="KW9" i="13"/>
  <c r="KV11" i="13"/>
  <c r="MR11" i="13"/>
  <c r="HE4" i="13"/>
  <c r="HE9" i="13"/>
  <c r="GW17" i="13"/>
  <c r="JA4" i="13"/>
  <c r="JA9" i="13"/>
  <c r="ES9" i="13"/>
  <c r="ES4" i="13"/>
  <c r="CG9" i="13"/>
  <c r="CG4" i="13"/>
  <c r="BY17" i="13"/>
  <c r="OO4" i="13"/>
  <c r="ON11" i="13"/>
  <c r="OO9" i="13"/>
  <c r="KO17" i="13"/>
  <c r="NH7" i="13"/>
  <c r="NH8" i="13" s="1"/>
  <c r="ER7" i="13"/>
  <c r="ER8" i="13" s="1"/>
  <c r="IK9" i="13"/>
  <c r="IK4" i="13"/>
  <c r="IC17" i="13"/>
  <c r="FY9" i="13"/>
  <c r="FY4" i="13"/>
  <c r="ON7" i="13"/>
  <c r="ON8" i="13" s="1"/>
  <c r="GO4" i="13"/>
  <c r="GO9" i="13"/>
  <c r="FI4" i="13"/>
  <c r="FI9" i="13"/>
  <c r="NI4" i="13"/>
  <c r="NI9" i="13"/>
  <c r="NH11" i="13"/>
  <c r="NA17" i="13"/>
  <c r="HU9" i="13"/>
  <c r="HU4" i="13"/>
  <c r="HM17" i="13"/>
  <c r="GN7" i="13"/>
  <c r="GN8" i="13" s="1"/>
  <c r="CW9" i="13"/>
  <c r="CW4" i="13"/>
  <c r="FX7" i="13"/>
  <c r="FX8" i="13" s="1"/>
  <c r="EK17" i="13"/>
  <c r="MR7" i="13"/>
  <c r="MR8" i="13" s="1"/>
  <c r="KV7" i="13"/>
  <c r="KV8" i="13" s="1"/>
  <c r="BP104" i="13" l="1"/>
  <c r="BP86" i="13"/>
  <c r="BP103" i="13"/>
  <c r="BP85" i="13"/>
  <c r="BP102" i="13"/>
  <c r="BP84" i="13"/>
  <c r="BP96" i="13"/>
  <c r="BP76" i="13"/>
  <c r="BP88" i="13"/>
  <c r="BP95" i="13"/>
  <c r="BP75" i="13"/>
  <c r="BP94" i="13"/>
  <c r="BP74" i="13"/>
  <c r="BP93" i="13"/>
  <c r="BP73" i="13"/>
  <c r="CV22" i="13"/>
  <c r="CV104" i="13" s="1"/>
  <c r="I104" i="13" s="1"/>
  <c r="CU69" i="13"/>
  <c r="H69" i="13" s="1"/>
  <c r="CU94" i="13"/>
  <c r="H94" i="13" s="1"/>
  <c r="CU85" i="13"/>
  <c r="H85" i="13" s="1"/>
  <c r="CU95" i="13"/>
  <c r="H95" i="13" s="1"/>
  <c r="CU64" i="13"/>
  <c r="H64" i="13" s="1"/>
  <c r="CU96" i="13"/>
  <c r="H96" i="13" s="1"/>
  <c r="CU68" i="13"/>
  <c r="H68" i="13" s="1"/>
  <c r="CU86" i="13"/>
  <c r="H86" i="13" s="1"/>
  <c r="CU88" i="13"/>
  <c r="H88" i="13" s="1"/>
  <c r="CU74" i="13"/>
  <c r="H74" i="13" s="1"/>
  <c r="CU65" i="13"/>
  <c r="H65" i="13" s="1"/>
  <c r="CU104" i="13"/>
  <c r="H104" i="13" s="1"/>
  <c r="CU102" i="13"/>
  <c r="H102" i="13" s="1"/>
  <c r="CU103" i="13"/>
  <c r="H103" i="13" s="1"/>
  <c r="CU84" i="13"/>
  <c r="H84" i="13" s="1"/>
  <c r="CU67" i="13"/>
  <c r="H67" i="13" s="1"/>
  <c r="CU76" i="13"/>
  <c r="H76" i="13" s="1"/>
  <c r="CU73" i="13"/>
  <c r="H73" i="13" s="1"/>
  <c r="CU93" i="13"/>
  <c r="H93" i="13" s="1"/>
  <c r="CU66" i="13"/>
  <c r="H66" i="13" s="1"/>
  <c r="CU75" i="13"/>
  <c r="H75" i="13" s="1"/>
  <c r="BP67" i="13"/>
  <c r="BP69" i="13"/>
  <c r="BP66" i="13"/>
  <c r="BP65" i="13"/>
  <c r="BP64" i="13"/>
  <c r="BP68" i="13"/>
  <c r="I84" i="17"/>
  <c r="J84" i="16"/>
  <c r="NY13" i="17"/>
  <c r="GO13" i="17"/>
  <c r="FI13" i="15"/>
  <c r="IZ7" i="13"/>
  <c r="IZ8" i="13" s="1"/>
  <c r="H109" i="13"/>
  <c r="H112" i="13" s="1"/>
  <c r="H113" i="13" s="1"/>
  <c r="IZ11" i="13"/>
  <c r="G112" i="17"/>
  <c r="G113" i="17" s="1"/>
  <c r="H110" i="17"/>
  <c r="G114" i="17" s="1"/>
  <c r="DM13" i="16"/>
  <c r="MS13" i="16"/>
  <c r="NI13" i="17"/>
  <c r="EC13" i="17"/>
  <c r="ES13" i="16"/>
  <c r="ES13" i="15"/>
  <c r="J84" i="15"/>
  <c r="I96" i="17"/>
  <c r="I86" i="17"/>
  <c r="I84" i="15"/>
  <c r="F114" i="17"/>
  <c r="F114" i="16"/>
  <c r="G112" i="16"/>
  <c r="G113" i="16" s="1"/>
  <c r="CG13" i="16"/>
  <c r="CG7" i="16"/>
  <c r="KG13" i="15"/>
  <c r="CA102" i="9"/>
  <c r="CA64" i="9"/>
  <c r="CA66" i="9"/>
  <c r="CA103" i="9"/>
  <c r="CA95" i="9"/>
  <c r="CA84" i="9"/>
  <c r="CA67" i="9"/>
  <c r="CA85" i="9"/>
  <c r="CA69" i="9"/>
  <c r="CA96" i="9"/>
  <c r="CA76" i="9"/>
  <c r="CA73" i="9"/>
  <c r="CA93" i="9"/>
  <c r="CA88" i="9"/>
  <c r="CA104" i="9"/>
  <c r="CA86" i="9"/>
  <c r="CA94" i="9"/>
  <c r="CA68" i="9"/>
  <c r="CA74" i="9"/>
  <c r="CA75" i="9"/>
  <c r="CA65" i="9"/>
  <c r="MC13" i="16"/>
  <c r="NY13" i="13"/>
  <c r="JA5" i="13"/>
  <c r="LM8" i="13"/>
  <c r="I104" i="17"/>
  <c r="MS6" i="13"/>
  <c r="MS11" i="13" s="1"/>
  <c r="BM103" i="9"/>
  <c r="BM86" i="9"/>
  <c r="BM93" i="9"/>
  <c r="BM75" i="9"/>
  <c r="BM74" i="9"/>
  <c r="BM104" i="9"/>
  <c r="BM84" i="9"/>
  <c r="BM85" i="9"/>
  <c r="BM76" i="9"/>
  <c r="BM69" i="9"/>
  <c r="BM66" i="9"/>
  <c r="BM67" i="9"/>
  <c r="BM102" i="9"/>
  <c r="BM68" i="9"/>
  <c r="BM73" i="9"/>
  <c r="BM65" i="9"/>
  <c r="BM94" i="9"/>
  <c r="BM88" i="9"/>
  <c r="BM64" i="9"/>
  <c r="BM96" i="9"/>
  <c r="BM95" i="9"/>
  <c r="CW13" i="16"/>
  <c r="HE13" i="17"/>
  <c r="I75" i="17"/>
  <c r="H109" i="15"/>
  <c r="H112" i="15" s="1"/>
  <c r="H113" i="15" s="1"/>
  <c r="NY13" i="16"/>
  <c r="I73" i="17"/>
  <c r="I65" i="17"/>
  <c r="IK13" i="15"/>
  <c r="FI13" i="17"/>
  <c r="EC13" i="15"/>
  <c r="KV8" i="17"/>
  <c r="I69" i="17"/>
  <c r="NY13" i="15"/>
  <c r="OO13" i="16"/>
  <c r="NI13" i="16"/>
  <c r="KW13" i="17"/>
  <c r="I76" i="15"/>
  <c r="I68" i="17"/>
  <c r="G114" i="15"/>
  <c r="EC5" i="15"/>
  <c r="BN8" i="9"/>
  <c r="NI5" i="16"/>
  <c r="HU5" i="16"/>
  <c r="HU5" i="15"/>
  <c r="IK5" i="15"/>
  <c r="JA5" i="16"/>
  <c r="ES5" i="17"/>
  <c r="H110" i="16"/>
  <c r="I85" i="15"/>
  <c r="I85" i="17"/>
  <c r="I102" i="17"/>
  <c r="CG5" i="13"/>
  <c r="GO5" i="13"/>
  <c r="HU5" i="13"/>
  <c r="JA5" i="15"/>
  <c r="CW5" i="16"/>
  <c r="JQ5" i="17"/>
  <c r="KG5" i="17"/>
  <c r="H109" i="16"/>
  <c r="I94" i="17"/>
  <c r="IK5" i="13"/>
  <c r="I73" i="16"/>
  <c r="I64" i="16"/>
  <c r="I93" i="16"/>
  <c r="NI5" i="13"/>
  <c r="EC5" i="13"/>
  <c r="HE5" i="13"/>
  <c r="CG5" i="15"/>
  <c r="FI5" i="16"/>
  <c r="IK5" i="16"/>
  <c r="JQ5" i="16"/>
  <c r="JA5" i="17"/>
  <c r="I93" i="17"/>
  <c r="I103" i="16"/>
  <c r="I86" i="16"/>
  <c r="I69" i="16"/>
  <c r="FY5" i="13"/>
  <c r="I64" i="17"/>
  <c r="I66" i="16"/>
  <c r="I74" i="16"/>
  <c r="JQ5" i="13"/>
  <c r="NY7" i="13"/>
  <c r="NY8" i="13" s="1"/>
  <c r="FI5" i="15"/>
  <c r="ES5" i="16"/>
  <c r="MS5" i="16"/>
  <c r="I66" i="17"/>
  <c r="I76" i="17"/>
  <c r="DM5" i="13"/>
  <c r="I94" i="16"/>
  <c r="I88" i="16"/>
  <c r="I104" i="16"/>
  <c r="NY5" i="13"/>
  <c r="MC5" i="13"/>
  <c r="FI5" i="13"/>
  <c r="KW5" i="13"/>
  <c r="GO5" i="15"/>
  <c r="FY5" i="16"/>
  <c r="GO5" i="16"/>
  <c r="H109" i="17"/>
  <c r="FY5" i="15"/>
  <c r="KG5" i="16"/>
  <c r="HU5" i="17"/>
  <c r="I93" i="15"/>
  <c r="I95" i="17"/>
  <c r="I103" i="17"/>
  <c r="ES5" i="13"/>
  <c r="I67" i="16"/>
  <c r="I95" i="16"/>
  <c r="I102" i="16"/>
  <c r="KG5" i="13"/>
  <c r="NI6" i="13"/>
  <c r="NI7" i="13" s="1"/>
  <c r="NI8" i="13" s="1"/>
  <c r="OO5" i="13"/>
  <c r="I96" i="16"/>
  <c r="I65" i="16"/>
  <c r="I75" i="16"/>
  <c r="CW5" i="13"/>
  <c r="CW22" i="13" s="1"/>
  <c r="CW73" i="13" s="1"/>
  <c r="BN5" i="9"/>
  <c r="BM6" i="9"/>
  <c r="BM9" i="9" s="1"/>
  <c r="AL8" i="9"/>
  <c r="HE5" i="16"/>
  <c r="EC5" i="16"/>
  <c r="CG5" i="16"/>
  <c r="DM5" i="17"/>
  <c r="IK5" i="17"/>
  <c r="GO5" i="17"/>
  <c r="I68" i="15"/>
  <c r="I74" i="17"/>
  <c r="I88" i="17"/>
  <c r="I67" i="17"/>
  <c r="I76" i="16"/>
  <c r="I85" i="16"/>
  <c r="I68" i="16"/>
  <c r="H111" i="17"/>
  <c r="CB8" i="9"/>
  <c r="CB5" i="9"/>
  <c r="CA6" i="9"/>
  <c r="CA9" i="9" s="1"/>
  <c r="I65" i="15"/>
  <c r="I94" i="15"/>
  <c r="I96" i="15"/>
  <c r="I95" i="15"/>
  <c r="I73" i="15"/>
  <c r="DM5" i="15"/>
  <c r="I86" i="15"/>
  <c r="I69" i="15"/>
  <c r="I66" i="15"/>
  <c r="I102" i="15"/>
  <c r="I103" i="15"/>
  <c r="CW5" i="15"/>
  <c r="I88" i="15"/>
  <c r="I75" i="15"/>
  <c r="I67" i="15"/>
  <c r="I104" i="15"/>
  <c r="I64" i="15"/>
  <c r="I74" i="15"/>
  <c r="ES5" i="15"/>
  <c r="MB8" i="17"/>
  <c r="FY5" i="17"/>
  <c r="LL8" i="17"/>
  <c r="FH8" i="17"/>
  <c r="KW5" i="17"/>
  <c r="MR8" i="17"/>
  <c r="IZ8" i="17"/>
  <c r="EC5" i="17"/>
  <c r="CW5" i="17"/>
  <c r="ON8" i="17"/>
  <c r="NI7" i="17"/>
  <c r="CV11" i="17"/>
  <c r="DL8" i="17"/>
  <c r="CV13" i="17"/>
  <c r="FX8" i="17"/>
  <c r="MS13" i="17"/>
  <c r="MS7" i="17"/>
  <c r="IJ8" i="17"/>
  <c r="OO5" i="17"/>
  <c r="LM5" i="17"/>
  <c r="NI5" i="17"/>
  <c r="MS5" i="17"/>
  <c r="FI5" i="17"/>
  <c r="HE5" i="17"/>
  <c r="MC5" i="17"/>
  <c r="MC6" i="17"/>
  <c r="NH13" i="17"/>
  <c r="NH7" i="17"/>
  <c r="NH8" i="17" s="1"/>
  <c r="LM6" i="17"/>
  <c r="LM11" i="17" s="1"/>
  <c r="KW7" i="17"/>
  <c r="KW8" i="17" s="1"/>
  <c r="NY5" i="17"/>
  <c r="NY7" i="17"/>
  <c r="NY8" i="17" s="1"/>
  <c r="CG5" i="17"/>
  <c r="LL8" i="16"/>
  <c r="MB8" i="16"/>
  <c r="NH8" i="16"/>
  <c r="KF8" i="16"/>
  <c r="NI7" i="16"/>
  <c r="MS7" i="16"/>
  <c r="MS8" i="16" s="1"/>
  <c r="OO5" i="16"/>
  <c r="LM13" i="16"/>
  <c r="LM7" i="16"/>
  <c r="KW5" i="16"/>
  <c r="ON7" i="16"/>
  <c r="ON8" i="16" s="1"/>
  <c r="HD8" i="16"/>
  <c r="ON11" i="16"/>
  <c r="MC5" i="16"/>
  <c r="LM5" i="16"/>
  <c r="OO7" i="16"/>
  <c r="MC7" i="16"/>
  <c r="NY5" i="16"/>
  <c r="HT8" i="16"/>
  <c r="KW6" i="16"/>
  <c r="BQ7" i="16"/>
  <c r="BQ13" i="16"/>
  <c r="DM5" i="16"/>
  <c r="NY7" i="16"/>
  <c r="NY8" i="16" s="1"/>
  <c r="NH8" i="15"/>
  <c r="MR8" i="15"/>
  <c r="CV8" i="15"/>
  <c r="JQ5" i="15"/>
  <c r="MB11" i="15"/>
  <c r="MC5" i="15"/>
  <c r="ON11" i="15"/>
  <c r="ON7" i="15"/>
  <c r="ON8" i="15" s="1"/>
  <c r="LM5" i="15"/>
  <c r="MR13" i="15"/>
  <c r="MR11" i="15"/>
  <c r="LL8" i="15"/>
  <c r="KW5" i="15"/>
  <c r="NI5" i="15"/>
  <c r="NY5" i="15"/>
  <c r="MS5" i="15"/>
  <c r="LM6" i="15"/>
  <c r="LM7" i="15" s="1"/>
  <c r="HE5" i="15"/>
  <c r="IZ8" i="15"/>
  <c r="NI6" i="15"/>
  <c r="NI11" i="15" s="1"/>
  <c r="KG5" i="15"/>
  <c r="MB7" i="15"/>
  <c r="MB8" i="15" s="1"/>
  <c r="OO5" i="15"/>
  <c r="HE6" i="15"/>
  <c r="HE11" i="15" s="1"/>
  <c r="OO6" i="15"/>
  <c r="OO13" i="15" s="1"/>
  <c r="NX13" i="15"/>
  <c r="NY7" i="15"/>
  <c r="NX7" i="15"/>
  <c r="NX8" i="15" s="1"/>
  <c r="NX11" i="15"/>
  <c r="KW6" i="15"/>
  <c r="KW7" i="15" s="1"/>
  <c r="KW8" i="15" s="1"/>
  <c r="MS6" i="15"/>
  <c r="MS13" i="15" s="1"/>
  <c r="KG7" i="16"/>
  <c r="KG13" i="16"/>
  <c r="JP11" i="16"/>
  <c r="JP13" i="16"/>
  <c r="JA7" i="16"/>
  <c r="JA13" i="16"/>
  <c r="HE7" i="16"/>
  <c r="HE13" i="16"/>
  <c r="FY7" i="16"/>
  <c r="FY13" i="16"/>
  <c r="FI7" i="16"/>
  <c r="FI13" i="16"/>
  <c r="EC7" i="16"/>
  <c r="EC13" i="16"/>
  <c r="EB11" i="16"/>
  <c r="EB13" i="16"/>
  <c r="DL11" i="16"/>
  <c r="DL13" i="16"/>
  <c r="CV11" i="16"/>
  <c r="CV13" i="16"/>
  <c r="OO6" i="17"/>
  <c r="OO11" i="17" s="1"/>
  <c r="JQ7" i="17"/>
  <c r="JQ13" i="17"/>
  <c r="JA7" i="17"/>
  <c r="JA13" i="17"/>
  <c r="FH11" i="17"/>
  <c r="FH13" i="17"/>
  <c r="ES7" i="17"/>
  <c r="ES13" i="17"/>
  <c r="ER11" i="17"/>
  <c r="ER13" i="17"/>
  <c r="ER7" i="17"/>
  <c r="ER8" i="17" s="1"/>
  <c r="DM7" i="17"/>
  <c r="DM13" i="17"/>
  <c r="CW7" i="17"/>
  <c r="CW8" i="17" s="1"/>
  <c r="CW13" i="17"/>
  <c r="FI7" i="17"/>
  <c r="FX8" i="15"/>
  <c r="JA7" i="15"/>
  <c r="JA13" i="15"/>
  <c r="BQ7" i="15"/>
  <c r="BQ13" i="15"/>
  <c r="ER11" i="15"/>
  <c r="ER13" i="15"/>
  <c r="CF11" i="15"/>
  <c r="CF13" i="15"/>
  <c r="MC7" i="15"/>
  <c r="MC13" i="15"/>
  <c r="HU7" i="15"/>
  <c r="HU13" i="15"/>
  <c r="IJ11" i="15"/>
  <c r="IJ13" i="15"/>
  <c r="EB7" i="15"/>
  <c r="EB8" i="15" s="1"/>
  <c r="EB13" i="15"/>
  <c r="GO7" i="15"/>
  <c r="GO13" i="15"/>
  <c r="JQ7" i="15"/>
  <c r="JQ13" i="15"/>
  <c r="FY7" i="15"/>
  <c r="FY13" i="15"/>
  <c r="CW7" i="15"/>
  <c r="CW13" i="15"/>
  <c r="HD8" i="15"/>
  <c r="IJ7" i="15"/>
  <c r="IJ8" i="15" s="1"/>
  <c r="EC7" i="15"/>
  <c r="EB11" i="15"/>
  <c r="IK7" i="15"/>
  <c r="KG6" i="17"/>
  <c r="EB7" i="16"/>
  <c r="EB8" i="16" s="1"/>
  <c r="JQ6" i="16"/>
  <c r="ES7" i="13"/>
  <c r="ES8" i="13" s="1"/>
  <c r="ES13" i="13"/>
  <c r="IK7" i="13"/>
  <c r="IK8" i="13" s="1"/>
  <c r="IK13" i="13"/>
  <c r="HU7" i="13"/>
  <c r="HU8" i="13" s="1"/>
  <c r="HU13" i="13"/>
  <c r="KW7" i="13"/>
  <c r="KW8" i="13" s="1"/>
  <c r="KW13" i="13"/>
  <c r="EC7" i="13"/>
  <c r="EC8" i="13" s="1"/>
  <c r="EC13" i="13"/>
  <c r="GO7" i="13"/>
  <c r="GO8" i="13" s="1"/>
  <c r="GO13" i="13"/>
  <c r="JA7" i="13"/>
  <c r="JA8" i="13" s="1"/>
  <c r="JA13" i="13"/>
  <c r="MC7" i="13"/>
  <c r="MC8" i="13" s="1"/>
  <c r="MC13" i="13"/>
  <c r="HE7" i="13"/>
  <c r="HE8" i="13" s="1"/>
  <c r="HE13" i="13"/>
  <c r="OO7" i="13"/>
  <c r="OO8" i="13" s="1"/>
  <c r="OO13" i="13"/>
  <c r="CW7" i="13"/>
  <c r="CW8" i="13" s="1"/>
  <c r="CW13" i="13"/>
  <c r="JQ7" i="13"/>
  <c r="JQ8" i="13" s="1"/>
  <c r="JQ13" i="13"/>
  <c r="FY7" i="13"/>
  <c r="FY8" i="13" s="1"/>
  <c r="FY13" i="13"/>
  <c r="FI7" i="13"/>
  <c r="FI8" i="13" s="1"/>
  <c r="FI13" i="13"/>
  <c r="KG7" i="13"/>
  <c r="KG8" i="13" s="1"/>
  <c r="KG13" i="13"/>
  <c r="DM7" i="13"/>
  <c r="DM8" i="13" s="1"/>
  <c r="DM13" i="13"/>
  <c r="CG7" i="13"/>
  <c r="CG8" i="13" s="1"/>
  <c r="CG13" i="13"/>
  <c r="G114" i="13"/>
  <c r="H111" i="13"/>
  <c r="BP7" i="13"/>
  <c r="BP8" i="13" s="1"/>
  <c r="BP13" i="13"/>
  <c r="I110" i="13" s="1"/>
  <c r="HT8" i="15"/>
  <c r="DL8" i="15"/>
  <c r="BP8" i="15"/>
  <c r="IZ8" i="16"/>
  <c r="CF8" i="16"/>
  <c r="CG8" i="16" s="1"/>
  <c r="JP8" i="17"/>
  <c r="JP8" i="15"/>
  <c r="KF8" i="17"/>
  <c r="KW11" i="17"/>
  <c r="CW11" i="17"/>
  <c r="NY11" i="17"/>
  <c r="HE7" i="17"/>
  <c r="HD7" i="17"/>
  <c r="HD8" i="17" s="1"/>
  <c r="NI11" i="17"/>
  <c r="GO7" i="17"/>
  <c r="GN7" i="17"/>
  <c r="GN8" i="17" s="1"/>
  <c r="GO11" i="17"/>
  <c r="HE11" i="17"/>
  <c r="EC11" i="17"/>
  <c r="BP8" i="17"/>
  <c r="FI11" i="17"/>
  <c r="EC7" i="17"/>
  <c r="EB7" i="17"/>
  <c r="EB8" i="17" s="1"/>
  <c r="DM11" i="17"/>
  <c r="JA11" i="17"/>
  <c r="HU6" i="17"/>
  <c r="BQ5" i="17"/>
  <c r="HD11" i="17"/>
  <c r="EB11" i="17"/>
  <c r="BQ6" i="17"/>
  <c r="CF8" i="17"/>
  <c r="JQ11" i="17"/>
  <c r="IK6" i="17"/>
  <c r="MS11" i="17"/>
  <c r="GN11" i="17"/>
  <c r="ES11" i="17"/>
  <c r="FY6" i="17"/>
  <c r="OO11" i="16"/>
  <c r="KG11" i="16"/>
  <c r="ES11" i="16"/>
  <c r="BQ11" i="16"/>
  <c r="NI11" i="16"/>
  <c r="MS11" i="16"/>
  <c r="GN8" i="16"/>
  <c r="IJ7" i="16"/>
  <c r="IJ8" i="16" s="1"/>
  <c r="IJ11" i="16"/>
  <c r="EC11" i="16"/>
  <c r="FH8" i="16"/>
  <c r="DM11" i="16"/>
  <c r="ES7" i="16"/>
  <c r="ER7" i="16"/>
  <c r="ER8" i="16" s="1"/>
  <c r="IK6" i="16"/>
  <c r="CG11" i="16"/>
  <c r="CW7" i="16"/>
  <c r="CV7" i="16"/>
  <c r="CV8" i="16" s="1"/>
  <c r="JA11" i="16"/>
  <c r="FY11" i="16"/>
  <c r="HE11" i="16"/>
  <c r="FI11" i="16"/>
  <c r="JP7" i="16"/>
  <c r="JP8" i="16" s="1"/>
  <c r="NY11" i="16"/>
  <c r="CW11" i="16"/>
  <c r="ER11" i="16"/>
  <c r="MC11" i="16"/>
  <c r="HU6" i="16"/>
  <c r="BQ5" i="16"/>
  <c r="BP8" i="16"/>
  <c r="LM11" i="16"/>
  <c r="DM7" i="16"/>
  <c r="DL7" i="16"/>
  <c r="DL8" i="16" s="1"/>
  <c r="FX8" i="16"/>
  <c r="GO6" i="16"/>
  <c r="BQ11" i="15"/>
  <c r="JA11" i="15"/>
  <c r="FI7" i="15"/>
  <c r="FH7" i="15"/>
  <c r="FH8" i="15" s="1"/>
  <c r="ES7" i="15"/>
  <c r="ER7" i="15"/>
  <c r="ER8" i="15" s="1"/>
  <c r="KG7" i="15"/>
  <c r="KF7" i="15"/>
  <c r="KF8" i="15" s="1"/>
  <c r="JQ11" i="15"/>
  <c r="BQ5" i="15"/>
  <c r="CW11" i="15"/>
  <c r="NY11" i="15"/>
  <c r="CG6" i="15"/>
  <c r="GN8" i="15"/>
  <c r="HU11" i="15"/>
  <c r="EC11" i="15"/>
  <c r="FH11" i="15"/>
  <c r="IK11" i="15"/>
  <c r="CF7" i="15"/>
  <c r="CF8" i="15" s="1"/>
  <c r="FI11" i="15"/>
  <c r="FY11" i="15"/>
  <c r="GO11" i="15"/>
  <c r="ES11" i="15"/>
  <c r="KG11" i="15"/>
  <c r="MC11" i="15"/>
  <c r="KF11" i="15"/>
  <c r="DM6" i="15"/>
  <c r="EC11" i="13"/>
  <c r="BP11" i="13"/>
  <c r="KG11" i="13"/>
  <c r="FI11" i="13"/>
  <c r="ES11" i="13"/>
  <c r="BQ6" i="13"/>
  <c r="JA11" i="13"/>
  <c r="MC11" i="13"/>
  <c r="IK11" i="13"/>
  <c r="BQ5" i="13"/>
  <c r="BQ22" i="13" s="1"/>
  <c r="CG11" i="13"/>
  <c r="FY11" i="13"/>
  <c r="JQ11" i="13"/>
  <c r="DM11" i="13"/>
  <c r="GO11" i="13"/>
  <c r="CW11" i="13"/>
  <c r="HU11" i="13"/>
  <c r="HE11" i="13"/>
  <c r="NY11" i="13"/>
  <c r="KW11" i="13"/>
  <c r="OO11" i="13"/>
  <c r="NI11" i="13"/>
  <c r="I84" i="13" l="1"/>
  <c r="CV84" i="13"/>
  <c r="CV88" i="13"/>
  <c r="I88" i="13" s="1"/>
  <c r="CV93" i="13"/>
  <c r="I93" i="13" s="1"/>
  <c r="CV68" i="13"/>
  <c r="I68" i="13" s="1"/>
  <c r="CV69" i="13"/>
  <c r="I69" i="13" s="1"/>
  <c r="CV103" i="13"/>
  <c r="I103" i="13" s="1"/>
  <c r="CV95" i="13"/>
  <c r="I95" i="13" s="1"/>
  <c r="BQ68" i="13"/>
  <c r="BQ103" i="13"/>
  <c r="BQ85" i="13"/>
  <c r="BQ102" i="13"/>
  <c r="BQ84" i="13"/>
  <c r="BQ96" i="13"/>
  <c r="BQ76" i="13"/>
  <c r="BQ104" i="13"/>
  <c r="BQ95" i="13"/>
  <c r="BQ75" i="13"/>
  <c r="BQ94" i="13"/>
  <c r="BQ74" i="13"/>
  <c r="BQ93" i="13"/>
  <c r="BQ73" i="13"/>
  <c r="BQ88" i="13"/>
  <c r="BQ86" i="13"/>
  <c r="CV74" i="13"/>
  <c r="I74" i="13" s="1"/>
  <c r="CV66" i="13"/>
  <c r="I66" i="13" s="1"/>
  <c r="CV86" i="13"/>
  <c r="I86" i="13" s="1"/>
  <c r="CV73" i="13"/>
  <c r="I73" i="13" s="1"/>
  <c r="CV102" i="13"/>
  <c r="I102" i="13" s="1"/>
  <c r="BQ69" i="13"/>
  <c r="CV75" i="13"/>
  <c r="I75" i="13" s="1"/>
  <c r="CV76" i="13"/>
  <c r="I76" i="13" s="1"/>
  <c r="CV67" i="13"/>
  <c r="I67" i="13" s="1"/>
  <c r="CV64" i="13"/>
  <c r="CV96" i="13"/>
  <c r="I96" i="13" s="1"/>
  <c r="BQ67" i="13"/>
  <c r="CV85" i="13"/>
  <c r="I85" i="13" s="1"/>
  <c r="CV94" i="13"/>
  <c r="I94" i="13" s="1"/>
  <c r="CV65" i="13"/>
  <c r="I65" i="13" s="1"/>
  <c r="CW95" i="13"/>
  <c r="J95" i="13" s="1"/>
  <c r="CW75" i="13"/>
  <c r="I64" i="13"/>
  <c r="CW102" i="13"/>
  <c r="CW85" i="13"/>
  <c r="J85" i="13" s="1"/>
  <c r="CW67" i="13"/>
  <c r="J67" i="13" s="1"/>
  <c r="CW65" i="13"/>
  <c r="CW86" i="13"/>
  <c r="J86" i="13" s="1"/>
  <c r="CW74" i="13"/>
  <c r="CW88" i="13"/>
  <c r="CW84" i="13"/>
  <c r="CW76" i="13"/>
  <c r="J76" i="13" s="1"/>
  <c r="CW68" i="13"/>
  <c r="J68" i="13" s="1"/>
  <c r="CW69" i="13"/>
  <c r="J69" i="13" s="1"/>
  <c r="CW103" i="13"/>
  <c r="CW104" i="13"/>
  <c r="J104" i="13" s="1"/>
  <c r="CW64" i="13"/>
  <c r="CW66" i="13"/>
  <c r="CW94" i="13"/>
  <c r="CW93" i="13"/>
  <c r="CW96" i="13"/>
  <c r="J96" i="13" s="1"/>
  <c r="BQ66" i="13"/>
  <c r="BQ65" i="13"/>
  <c r="BQ64" i="13"/>
  <c r="J84" i="17"/>
  <c r="J74" i="17"/>
  <c r="J73" i="13"/>
  <c r="J75" i="13"/>
  <c r="J64" i="13"/>
  <c r="I109" i="13"/>
  <c r="I112" i="13" s="1"/>
  <c r="I113" i="13" s="1"/>
  <c r="MS7" i="13"/>
  <c r="MS8" i="13" s="1"/>
  <c r="NI13" i="13"/>
  <c r="MS13" i="13"/>
  <c r="H112" i="17"/>
  <c r="H113" i="17" s="1"/>
  <c r="J68" i="17"/>
  <c r="J95" i="17"/>
  <c r="J88" i="15"/>
  <c r="BN65" i="9"/>
  <c r="BN86" i="9"/>
  <c r="BN67" i="9"/>
  <c r="BN85" i="9"/>
  <c r="BN103" i="9"/>
  <c r="BN88" i="9"/>
  <c r="BN66" i="9"/>
  <c r="BN64" i="9"/>
  <c r="BN68" i="9"/>
  <c r="BN76" i="9"/>
  <c r="BN75" i="9"/>
  <c r="BN94" i="9"/>
  <c r="BN69" i="9"/>
  <c r="BN73" i="9"/>
  <c r="BN95" i="9"/>
  <c r="BN96" i="9"/>
  <c r="BN104" i="9"/>
  <c r="BN93" i="9"/>
  <c r="BN74" i="9"/>
  <c r="BN84" i="9"/>
  <c r="BN102" i="9"/>
  <c r="CB96" i="9"/>
  <c r="CB84" i="9"/>
  <c r="CB85" i="9"/>
  <c r="CB76" i="9"/>
  <c r="CB65" i="9"/>
  <c r="CB69" i="9"/>
  <c r="CB86" i="9"/>
  <c r="CB103" i="9"/>
  <c r="CB88" i="9"/>
  <c r="CB74" i="9"/>
  <c r="CB104" i="9"/>
  <c r="CB93" i="9"/>
  <c r="CB66" i="9"/>
  <c r="CB102" i="9"/>
  <c r="CB75" i="9"/>
  <c r="CB68" i="9"/>
  <c r="CB94" i="9"/>
  <c r="CB95" i="9"/>
  <c r="CB64" i="9"/>
  <c r="CB67" i="9"/>
  <c r="CB73" i="9"/>
  <c r="J64" i="15"/>
  <c r="J73" i="17"/>
  <c r="J103" i="17"/>
  <c r="J93" i="17"/>
  <c r="J94" i="17"/>
  <c r="H112" i="16"/>
  <c r="H113" i="16" s="1"/>
  <c r="I110" i="17"/>
  <c r="I111" i="17" s="1"/>
  <c r="I109" i="16"/>
  <c r="J67" i="17"/>
  <c r="J93" i="15"/>
  <c r="J66" i="17"/>
  <c r="J64" i="17"/>
  <c r="J94" i="15"/>
  <c r="J102" i="17"/>
  <c r="J96" i="17"/>
  <c r="J65" i="17"/>
  <c r="J64" i="16"/>
  <c r="J103" i="16"/>
  <c r="J74" i="16"/>
  <c r="I110" i="15"/>
  <c r="H114" i="15" s="1"/>
  <c r="I110" i="16"/>
  <c r="J75" i="17"/>
  <c r="J104" i="17"/>
  <c r="BN6" i="9"/>
  <c r="BN9" i="9" s="1"/>
  <c r="J75" i="16"/>
  <c r="J67" i="16"/>
  <c r="J66" i="16"/>
  <c r="J69" i="15"/>
  <c r="J86" i="17"/>
  <c r="J85" i="17"/>
  <c r="J76" i="17"/>
  <c r="J95" i="16"/>
  <c r="J88" i="16"/>
  <c r="J69" i="16"/>
  <c r="J76" i="16"/>
  <c r="J104" i="16"/>
  <c r="J85" i="16"/>
  <c r="J96" i="16"/>
  <c r="J93" i="16"/>
  <c r="J69" i="17"/>
  <c r="J88" i="17"/>
  <c r="G114" i="16"/>
  <c r="H111" i="16"/>
  <c r="J73" i="16"/>
  <c r="J102" i="16"/>
  <c r="J94" i="16"/>
  <c r="J68" i="16"/>
  <c r="J65" i="16"/>
  <c r="J86" i="16"/>
  <c r="I109" i="17"/>
  <c r="CB6" i="9"/>
  <c r="CB9" i="9" s="1"/>
  <c r="J86" i="15"/>
  <c r="J73" i="15"/>
  <c r="J85" i="15"/>
  <c r="J65" i="15"/>
  <c r="J75" i="15"/>
  <c r="J104" i="15"/>
  <c r="J66" i="15"/>
  <c r="J102" i="15"/>
  <c r="J76" i="15"/>
  <c r="J68" i="15"/>
  <c r="J67" i="15"/>
  <c r="J95" i="15"/>
  <c r="J96" i="15"/>
  <c r="J74" i="15"/>
  <c r="J103" i="15"/>
  <c r="I109" i="15"/>
  <c r="FI8" i="17"/>
  <c r="JA8" i="17"/>
  <c r="MS8" i="17"/>
  <c r="NI8" i="17"/>
  <c r="DM8" i="17"/>
  <c r="JQ8" i="17"/>
  <c r="ES8" i="17"/>
  <c r="BQ7" i="17"/>
  <c r="BQ8" i="17" s="1"/>
  <c r="BQ13" i="17"/>
  <c r="LM13" i="17"/>
  <c r="LM7" i="17"/>
  <c r="LM8" i="17" s="1"/>
  <c r="MC13" i="17"/>
  <c r="MC7" i="17"/>
  <c r="MC8" i="17" s="1"/>
  <c r="MC11" i="17"/>
  <c r="LM8" i="16"/>
  <c r="KG8" i="16"/>
  <c r="MC8" i="16"/>
  <c r="NI8" i="16"/>
  <c r="FY8" i="16"/>
  <c r="HE8" i="16"/>
  <c r="OO8" i="16"/>
  <c r="BQ8" i="16"/>
  <c r="EC8" i="16"/>
  <c r="KW13" i="16"/>
  <c r="KW7" i="16"/>
  <c r="KW8" i="16" s="1"/>
  <c r="KW11" i="16"/>
  <c r="JA8" i="16"/>
  <c r="CW8" i="15"/>
  <c r="NI7" i="15"/>
  <c r="NI8" i="15" s="1"/>
  <c r="NI13" i="15"/>
  <c r="MS7" i="15"/>
  <c r="MS8" i="15" s="1"/>
  <c r="MS11" i="15"/>
  <c r="NY8" i="15"/>
  <c r="MC8" i="15"/>
  <c r="LM8" i="15"/>
  <c r="GO8" i="15"/>
  <c r="LM13" i="15"/>
  <c r="JA8" i="15"/>
  <c r="LM11" i="15"/>
  <c r="OO11" i="15"/>
  <c r="HE13" i="15"/>
  <c r="HE7" i="15"/>
  <c r="HE8" i="15" s="1"/>
  <c r="OO7" i="15"/>
  <c r="OO8" i="15" s="1"/>
  <c r="KW11" i="15"/>
  <c r="KW13" i="15"/>
  <c r="JQ11" i="16"/>
  <c r="JQ13" i="16"/>
  <c r="IK11" i="16"/>
  <c r="IK13" i="16"/>
  <c r="HU7" i="16"/>
  <c r="HU8" i="16" s="1"/>
  <c r="HU13" i="16"/>
  <c r="GO7" i="16"/>
  <c r="GO8" i="16" s="1"/>
  <c r="GO13" i="16"/>
  <c r="FI8" i="16"/>
  <c r="OO13" i="17"/>
  <c r="OO7" i="17"/>
  <c r="OO8" i="17" s="1"/>
  <c r="KG7" i="17"/>
  <c r="KG8" i="17" s="1"/>
  <c r="KG13" i="17"/>
  <c r="IK7" i="17"/>
  <c r="IK8" i="17" s="1"/>
  <c r="IK13" i="17"/>
  <c r="HU7" i="17"/>
  <c r="HU8" i="17" s="1"/>
  <c r="HU13" i="17"/>
  <c r="FY7" i="17"/>
  <c r="FY8" i="17" s="1"/>
  <c r="FY13" i="17"/>
  <c r="CG7" i="17"/>
  <c r="CG8" i="17" s="1"/>
  <c r="CG13" i="17"/>
  <c r="KG11" i="17"/>
  <c r="FY8" i="15"/>
  <c r="BQ8" i="15"/>
  <c r="HU8" i="15"/>
  <c r="EC8" i="15"/>
  <c r="IK8" i="15"/>
  <c r="DM7" i="15"/>
  <c r="DM8" i="15" s="1"/>
  <c r="DM13" i="15"/>
  <c r="JQ8" i="15"/>
  <c r="CG7" i="15"/>
  <c r="CG8" i="15" s="1"/>
  <c r="CG13" i="15"/>
  <c r="DM11" i="15"/>
  <c r="IK7" i="16"/>
  <c r="IK8" i="16" s="1"/>
  <c r="JQ7" i="16"/>
  <c r="JQ8" i="16" s="1"/>
  <c r="HU11" i="16"/>
  <c r="GO11" i="16"/>
  <c r="FY11" i="17"/>
  <c r="H114" i="13"/>
  <c r="I111" i="13"/>
  <c r="BQ7" i="13"/>
  <c r="BQ8" i="13" s="1"/>
  <c r="BQ13" i="13"/>
  <c r="DM8" i="16"/>
  <c r="ES8" i="15"/>
  <c r="EC8" i="17"/>
  <c r="HE8" i="17"/>
  <c r="HU11" i="17"/>
  <c r="IK11" i="17"/>
  <c r="GO8" i="17"/>
  <c r="BQ11" i="17"/>
  <c r="CG11" i="17"/>
  <c r="CW8" i="16"/>
  <c r="ES8" i="16"/>
  <c r="FI8" i="15"/>
  <c r="CG11" i="15"/>
  <c r="KG8" i="15"/>
  <c r="BQ11" i="13"/>
  <c r="J109" i="13" s="1"/>
  <c r="J94" i="13" l="1"/>
  <c r="J84" i="13"/>
  <c r="J66" i="13"/>
  <c r="J88" i="13"/>
  <c r="J93" i="13"/>
  <c r="J102" i="13"/>
  <c r="J74" i="13"/>
  <c r="J103" i="13"/>
  <c r="J65" i="13"/>
  <c r="J110" i="13"/>
  <c r="I114" i="13" s="1"/>
  <c r="I112" i="17"/>
  <c r="I113" i="17" s="1"/>
  <c r="H114" i="17"/>
  <c r="J109" i="16"/>
  <c r="J110" i="16"/>
  <c r="J111" i="16" s="1"/>
  <c r="I111" i="15"/>
  <c r="I112" i="15"/>
  <c r="I113" i="15" s="1"/>
  <c r="H114" i="16"/>
  <c r="I111" i="16"/>
  <c r="J109" i="15"/>
  <c r="J109" i="17"/>
  <c r="J110" i="17"/>
  <c r="I114" i="17" s="1"/>
  <c r="J110" i="15"/>
  <c r="I114" i="15" s="1"/>
  <c r="I112" i="16"/>
  <c r="I113" i="16" s="1"/>
  <c r="J111" i="13" l="1"/>
  <c r="I114" i="16"/>
  <c r="J112" i="16"/>
  <c r="J113" i="16" s="1"/>
  <c r="J111" i="15"/>
  <c r="J112" i="17"/>
  <c r="J113" i="17" s="1"/>
  <c r="J112" i="15"/>
  <c r="J113" i="15" s="1"/>
  <c r="J111" i="17"/>
  <c r="J112" i="13"/>
  <c r="J113" i="13" s="1"/>
  <c r="C15" i="12"/>
  <c r="C32" i="12"/>
  <c r="C33" i="12"/>
  <c r="C31" i="12"/>
  <c r="C27" i="12"/>
  <c r="C24" i="12"/>
  <c r="C23" i="12"/>
  <c r="C19" i="12"/>
  <c r="C18" i="12"/>
  <c r="C5" i="12"/>
  <c r="C9" i="12"/>
  <c r="C6" i="12"/>
  <c r="D27" i="12" l="1"/>
  <c r="D6" i="12"/>
  <c r="D31" i="12"/>
  <c r="D5" i="12"/>
  <c r="D18" i="12"/>
  <c r="D15" i="12"/>
  <c r="D32" i="12"/>
  <c r="D19" i="12"/>
  <c r="D23" i="12"/>
  <c r="D24" i="12"/>
  <c r="B105" i="11"/>
  <c r="D33" i="12"/>
  <c r="D9" i="12"/>
  <c r="E6" i="12" l="1"/>
  <c r="E5" i="12"/>
  <c r="E32" i="12"/>
  <c r="E31" i="12"/>
  <c r="E19" i="12"/>
  <c r="E15" i="12"/>
  <c r="E23" i="12"/>
  <c r="E18" i="12"/>
  <c r="E27" i="12"/>
  <c r="E24" i="12"/>
  <c r="B98" i="11"/>
  <c r="B89" i="11"/>
  <c r="E33" i="12"/>
  <c r="E9" i="12"/>
  <c r="F6" i="12" l="1"/>
  <c r="G6" i="12" s="1"/>
  <c r="F5" i="12"/>
  <c r="F27" i="12"/>
  <c r="F19" i="12"/>
  <c r="F18" i="12"/>
  <c r="F23" i="12"/>
  <c r="F31" i="12"/>
  <c r="F15" i="12"/>
  <c r="F32" i="12"/>
  <c r="F24" i="12"/>
  <c r="F33" i="12"/>
  <c r="F9" i="12"/>
  <c r="G5" i="12" l="1"/>
  <c r="G23" i="12"/>
  <c r="G32" i="12"/>
  <c r="G18" i="12"/>
  <c r="G15" i="12"/>
  <c r="G19" i="12"/>
  <c r="G31" i="12"/>
  <c r="G27" i="12"/>
  <c r="G24" i="12"/>
  <c r="G33" i="12"/>
  <c r="H6" i="12"/>
  <c r="G9" i="12"/>
  <c r="H5" i="12" l="1"/>
  <c r="H27" i="12"/>
  <c r="H15" i="12"/>
  <c r="H31" i="12"/>
  <c r="H18" i="12"/>
  <c r="H32" i="12"/>
  <c r="H19" i="12"/>
  <c r="H23" i="12"/>
  <c r="H24" i="12"/>
  <c r="H33" i="12"/>
  <c r="H9" i="12"/>
  <c r="I6" i="12"/>
  <c r="I5" i="12" l="1"/>
  <c r="J5" i="12" s="1"/>
  <c r="I18" i="12"/>
  <c r="I19" i="12"/>
  <c r="I15" i="12"/>
  <c r="I23" i="12"/>
  <c r="I31" i="12"/>
  <c r="I32" i="12"/>
  <c r="I27" i="12"/>
  <c r="I24" i="12"/>
  <c r="I33" i="12"/>
  <c r="J6" i="12"/>
  <c r="I9" i="12"/>
  <c r="J31" i="12" l="1"/>
  <c r="J18" i="12"/>
  <c r="J27" i="12"/>
  <c r="J23" i="12"/>
  <c r="J32" i="12"/>
  <c r="J15" i="12"/>
  <c r="J19" i="12"/>
  <c r="J24" i="12"/>
  <c r="J33" i="12"/>
  <c r="J9" i="12"/>
  <c r="AD9" i="9" l="1"/>
  <c r="AE7" i="9"/>
  <c r="AF7" i="9" l="1"/>
  <c r="AG7" i="9" s="1"/>
  <c r="AH7" i="9" s="1"/>
  <c r="AI7" i="9" s="1"/>
  <c r="AJ7" i="9" s="1"/>
  <c r="AK7" i="9" s="1"/>
  <c r="AL7" i="9" s="1"/>
  <c r="AE5" i="9"/>
  <c r="AE6" i="9" l="1"/>
  <c r="AE93" i="9"/>
  <c r="AE104" i="9"/>
  <c r="AE95" i="9"/>
  <c r="AE84" i="9"/>
  <c r="AE86" i="9"/>
  <c r="AE66" i="9"/>
  <c r="AE75" i="9"/>
  <c r="C75" i="9" s="1"/>
  <c r="C75" i="11" s="1"/>
  <c r="AE73" i="9"/>
  <c r="AE68" i="9"/>
  <c r="AE64" i="9"/>
  <c r="AE69" i="9"/>
  <c r="AE74" i="9"/>
  <c r="AE94" i="9"/>
  <c r="AE67" i="9"/>
  <c r="AE85" i="9"/>
  <c r="AE65" i="9"/>
  <c r="AE76" i="9"/>
  <c r="C76" i="9" s="1"/>
  <c r="C76" i="11" s="1"/>
  <c r="AE88" i="9"/>
  <c r="AE103" i="9"/>
  <c r="AE96" i="9"/>
  <c r="AE102" i="9"/>
  <c r="AF5" i="9"/>
  <c r="AE9" i="9"/>
  <c r="C77" i="11" l="1"/>
  <c r="AF75" i="9"/>
  <c r="D75" i="9" s="1"/>
  <c r="D75" i="11" s="1"/>
  <c r="AF64" i="9"/>
  <c r="AF68" i="9"/>
  <c r="AF69" i="9"/>
  <c r="AF104" i="9"/>
  <c r="AF76" i="9"/>
  <c r="D76" i="9" s="1"/>
  <c r="D76" i="11" s="1"/>
  <c r="AF66" i="9"/>
  <c r="AF84" i="9"/>
  <c r="AF102" i="9"/>
  <c r="AF67" i="9"/>
  <c r="AF95" i="9"/>
  <c r="AF65" i="9"/>
  <c r="AF88" i="9"/>
  <c r="AF103" i="9"/>
  <c r="AF74" i="9"/>
  <c r="AF96" i="9"/>
  <c r="AF86" i="9"/>
  <c r="AF93" i="9"/>
  <c r="AF85" i="9"/>
  <c r="AF94" i="9"/>
  <c r="AF73" i="9"/>
  <c r="AG5" i="9"/>
  <c r="AF6" i="9"/>
  <c r="AF9" i="9" s="1"/>
  <c r="AG86" i="9" l="1"/>
  <c r="AG75" i="9"/>
  <c r="E75" i="9" s="1"/>
  <c r="E75" i="11" s="1"/>
  <c r="AG68" i="9"/>
  <c r="AG64" i="9"/>
  <c r="AG67" i="9"/>
  <c r="AG85" i="9"/>
  <c r="AG88" i="9"/>
  <c r="AG69" i="9"/>
  <c r="AG84" i="9"/>
  <c r="AG94" i="9"/>
  <c r="AG76" i="9"/>
  <c r="E76" i="9" s="1"/>
  <c r="E76" i="11" s="1"/>
  <c r="AG102" i="9"/>
  <c r="AG103" i="9"/>
  <c r="AG104" i="9"/>
  <c r="AG66" i="9"/>
  <c r="AG74" i="9"/>
  <c r="AG73" i="9"/>
  <c r="AG93" i="9"/>
  <c r="AG65" i="9"/>
  <c r="AG96" i="9"/>
  <c r="AG95" i="9"/>
  <c r="D77" i="11"/>
  <c r="AH5" i="9"/>
  <c r="AG6" i="9"/>
  <c r="AG9" i="9" s="1"/>
  <c r="E77" i="11" l="1"/>
  <c r="AH86" i="9"/>
  <c r="AH75" i="9"/>
  <c r="F75" i="9" s="1"/>
  <c r="F75" i="11" s="1"/>
  <c r="AH67" i="9"/>
  <c r="AH68" i="9"/>
  <c r="AH64" i="9"/>
  <c r="AH94" i="9"/>
  <c r="AH84" i="9"/>
  <c r="AH93" i="9"/>
  <c r="AH76" i="9"/>
  <c r="F76" i="9" s="1"/>
  <c r="F76" i="11" s="1"/>
  <c r="AH103" i="9"/>
  <c r="AH104" i="9"/>
  <c r="AH74" i="9"/>
  <c r="AH65" i="9"/>
  <c r="AH66" i="9"/>
  <c r="AH95" i="9"/>
  <c r="AH96" i="9"/>
  <c r="AH88" i="9"/>
  <c r="AH73" i="9"/>
  <c r="AH85" i="9"/>
  <c r="AH69" i="9"/>
  <c r="AH102" i="9"/>
  <c r="AI5" i="9"/>
  <c r="AH6" i="9"/>
  <c r="AH9" i="9" s="1"/>
  <c r="F77" i="11" l="1"/>
  <c r="AI86" i="9"/>
  <c r="AI75" i="9"/>
  <c r="G75" i="9" s="1"/>
  <c r="G75" i="11" s="1"/>
  <c r="AI74" i="9"/>
  <c r="AI67" i="9"/>
  <c r="AI68" i="9"/>
  <c r="AI64" i="9"/>
  <c r="AI84" i="9"/>
  <c r="AI95" i="9"/>
  <c r="AI102" i="9"/>
  <c r="AI73" i="9"/>
  <c r="AI94" i="9"/>
  <c r="AI85" i="9"/>
  <c r="AI69" i="9"/>
  <c r="AI103" i="9"/>
  <c r="AI104" i="9"/>
  <c r="AI93" i="9"/>
  <c r="AI66" i="9"/>
  <c r="AI96" i="9"/>
  <c r="AI65" i="9"/>
  <c r="AI76" i="9"/>
  <c r="G76" i="9" s="1"/>
  <c r="G76" i="11" s="1"/>
  <c r="AI88" i="9"/>
  <c r="AJ5" i="9"/>
  <c r="AI6" i="9"/>
  <c r="AI9" i="9" s="1"/>
  <c r="G77" i="11" l="1"/>
  <c r="AJ93" i="9"/>
  <c r="AJ68" i="9"/>
  <c r="AJ64" i="9"/>
  <c r="AJ95" i="9"/>
  <c r="AJ84" i="9"/>
  <c r="AJ73" i="9"/>
  <c r="AJ102" i="9"/>
  <c r="AJ85" i="9"/>
  <c r="AJ67" i="9"/>
  <c r="AJ75" i="9"/>
  <c r="H75" i="9" s="1"/>
  <c r="H75" i="11" s="1"/>
  <c r="AJ86" i="9"/>
  <c r="AJ88" i="9"/>
  <c r="AJ96" i="9"/>
  <c r="AJ94" i="9"/>
  <c r="AJ66" i="9"/>
  <c r="AJ104" i="9"/>
  <c r="AJ103" i="9"/>
  <c r="AJ65" i="9"/>
  <c r="AJ74" i="9"/>
  <c r="AJ69" i="9"/>
  <c r="AJ76" i="9"/>
  <c r="H76" i="9" s="1"/>
  <c r="H76" i="11" s="1"/>
  <c r="AK5" i="9"/>
  <c r="AJ6" i="9"/>
  <c r="AJ9" i="9" s="1"/>
  <c r="AK84" i="9" l="1"/>
  <c r="AK73" i="9"/>
  <c r="AK94" i="9"/>
  <c r="AK86" i="9"/>
  <c r="AK75" i="9"/>
  <c r="I75" i="9" s="1"/>
  <c r="I75" i="11" s="1"/>
  <c r="AK67" i="9"/>
  <c r="AK93" i="9"/>
  <c r="AK74" i="9"/>
  <c r="AK88" i="9"/>
  <c r="AK69" i="9"/>
  <c r="AK64" i="9"/>
  <c r="AK76" i="9"/>
  <c r="I76" i="9" s="1"/>
  <c r="I76" i="11" s="1"/>
  <c r="AK96" i="9"/>
  <c r="AK65" i="9"/>
  <c r="AK66" i="9"/>
  <c r="AK103" i="9"/>
  <c r="AK85" i="9"/>
  <c r="AK95" i="9"/>
  <c r="AK102" i="9"/>
  <c r="AK68" i="9"/>
  <c r="AK104" i="9"/>
  <c r="H77" i="11"/>
  <c r="AL5" i="9"/>
  <c r="AK6" i="9"/>
  <c r="AK9" i="9" s="1"/>
  <c r="B5" i="5"/>
  <c r="I77" i="11" l="1"/>
  <c r="AL95" i="9"/>
  <c r="AL88" i="9"/>
  <c r="AL86" i="9"/>
  <c r="AL75" i="9"/>
  <c r="J75" i="9" s="1"/>
  <c r="J75" i="11" s="1"/>
  <c r="AL69" i="9"/>
  <c r="AL64" i="9"/>
  <c r="AL93" i="9"/>
  <c r="AL65" i="9"/>
  <c r="AL102" i="9"/>
  <c r="AL96" i="9"/>
  <c r="AL84" i="9"/>
  <c r="AL103" i="9"/>
  <c r="AL76" i="9"/>
  <c r="J76" i="9" s="1"/>
  <c r="J76" i="11" s="1"/>
  <c r="AL85" i="9"/>
  <c r="AL104" i="9"/>
  <c r="AL67" i="9"/>
  <c r="AL74" i="9"/>
  <c r="AL68" i="9"/>
  <c r="AL94" i="9"/>
  <c r="AL66" i="9"/>
  <c r="AL73" i="9"/>
  <c r="AL6" i="9"/>
  <c r="AL9" i="9" s="1"/>
  <c r="J77" i="11" l="1"/>
  <c r="AZ8" i="9" l="1"/>
  <c r="AV8" i="9"/>
  <c r="AT8" i="9"/>
  <c r="AY8" i="9"/>
  <c r="AX8" i="9"/>
  <c r="G77" i="12" l="1"/>
  <c r="AW8" i="9"/>
  <c r="E77" i="12"/>
  <c r="AU8" i="9"/>
  <c r="C77" i="12"/>
  <c r="AS8" i="9"/>
  <c r="AS5" i="9" s="1"/>
  <c r="H77" i="12"/>
  <c r="F77" i="12"/>
  <c r="J77" i="12"/>
  <c r="I77" i="12"/>
  <c r="D77" i="12"/>
  <c r="AS73" i="9" l="1"/>
  <c r="AS64" i="9"/>
  <c r="AS102" i="9"/>
  <c r="AS94" i="9"/>
  <c r="AS86" i="9"/>
  <c r="AS67" i="9"/>
  <c r="AS104" i="9"/>
  <c r="AS103" i="9"/>
  <c r="AS95" i="9"/>
  <c r="AS85" i="9"/>
  <c r="AS84" i="9"/>
  <c r="C84" i="9" s="1"/>
  <c r="C84" i="11" s="1"/>
  <c r="AS68" i="9"/>
  <c r="AS74" i="9"/>
  <c r="AS66" i="9"/>
  <c r="AS93" i="9"/>
  <c r="AS96" i="9"/>
  <c r="AS88" i="9"/>
  <c r="AS69" i="9"/>
  <c r="AS65" i="9"/>
  <c r="AS6" i="9"/>
  <c r="AS9" i="9" s="1"/>
  <c r="AT5" i="9"/>
  <c r="C103" i="9" l="1"/>
  <c r="C102" i="9"/>
  <c r="C93" i="9"/>
  <c r="C96" i="9"/>
  <c r="C96" i="11" s="1"/>
  <c r="C104" i="9"/>
  <c r="C86" i="9"/>
  <c r="C86" i="11" s="1"/>
  <c r="C94" i="9"/>
  <c r="C85" i="9"/>
  <c r="C85" i="11" s="1"/>
  <c r="C88" i="9"/>
  <c r="C95" i="9"/>
  <c r="C95" i="11" s="1"/>
  <c r="C66" i="9"/>
  <c r="C67" i="9"/>
  <c r="C74" i="9"/>
  <c r="C68" i="9"/>
  <c r="C65" i="9"/>
  <c r="C69" i="9"/>
  <c r="C64" i="9"/>
  <c r="C73" i="9"/>
  <c r="C84" i="12"/>
  <c r="AT86" i="9"/>
  <c r="AT104" i="9"/>
  <c r="AT95" i="9"/>
  <c r="AT68" i="9"/>
  <c r="AT64" i="9"/>
  <c r="AT65" i="9"/>
  <c r="AT88" i="9"/>
  <c r="AT74" i="9"/>
  <c r="AT94" i="9"/>
  <c r="AT73" i="9"/>
  <c r="AT93" i="9"/>
  <c r="AT69" i="9"/>
  <c r="AT96" i="9"/>
  <c r="AT103" i="9"/>
  <c r="AT102" i="9"/>
  <c r="AT67" i="9"/>
  <c r="AT85" i="9"/>
  <c r="AT66" i="9"/>
  <c r="AT84" i="9"/>
  <c r="D84" i="9" s="1"/>
  <c r="D84" i="11" s="1"/>
  <c r="AT6" i="9"/>
  <c r="AT9" i="9" s="1"/>
  <c r="AU5" i="9"/>
  <c r="C94" i="11" l="1"/>
  <c r="C94" i="12" s="1"/>
  <c r="C104" i="11"/>
  <c r="C104" i="12" s="1"/>
  <c r="C66" i="11"/>
  <c r="C111" i="11" s="1"/>
  <c r="C93" i="11"/>
  <c r="C93" i="12" s="1"/>
  <c r="C102" i="11"/>
  <c r="C102" i="12" s="1"/>
  <c r="C69" i="11"/>
  <c r="C114" i="11" s="1"/>
  <c r="C65" i="11"/>
  <c r="C110" i="11" s="1"/>
  <c r="C68" i="11"/>
  <c r="C113" i="11" s="1"/>
  <c r="C74" i="11"/>
  <c r="C74" i="12" s="1"/>
  <c r="C67" i="11"/>
  <c r="C112" i="11" s="1"/>
  <c r="C73" i="11"/>
  <c r="C73" i="12" s="1"/>
  <c r="C64" i="11"/>
  <c r="C109" i="11" s="1"/>
  <c r="C88" i="11"/>
  <c r="C88" i="12" s="1"/>
  <c r="C103" i="11"/>
  <c r="C103" i="12" s="1"/>
  <c r="C97" i="11"/>
  <c r="C97" i="12" s="1"/>
  <c r="C87" i="11"/>
  <c r="C87" i="12" s="1"/>
  <c r="D104" i="9"/>
  <c r="D95" i="9"/>
  <c r="D95" i="11" s="1"/>
  <c r="D102" i="9"/>
  <c r="D88" i="9"/>
  <c r="D93" i="9"/>
  <c r="D96" i="9"/>
  <c r="D96" i="11" s="1"/>
  <c r="D85" i="9"/>
  <c r="D85" i="11" s="1"/>
  <c r="D94" i="9"/>
  <c r="D86" i="9"/>
  <c r="D86" i="11" s="1"/>
  <c r="D103" i="9"/>
  <c r="D64" i="9"/>
  <c r="D69" i="9"/>
  <c r="D68" i="9"/>
  <c r="D65" i="9"/>
  <c r="D66" i="9"/>
  <c r="D73" i="9"/>
  <c r="D67" i="9"/>
  <c r="D74" i="9"/>
  <c r="D84" i="12"/>
  <c r="AU104" i="9"/>
  <c r="AU95" i="9"/>
  <c r="AU64" i="9"/>
  <c r="AU68" i="9"/>
  <c r="AU86" i="9"/>
  <c r="AU69" i="9"/>
  <c r="AU66" i="9"/>
  <c r="AU73" i="9"/>
  <c r="AU67" i="9"/>
  <c r="AU88" i="9"/>
  <c r="AU74" i="9"/>
  <c r="AU96" i="9"/>
  <c r="AU84" i="9"/>
  <c r="E84" i="9" s="1"/>
  <c r="E84" i="11" s="1"/>
  <c r="AU94" i="9"/>
  <c r="AU85" i="9"/>
  <c r="AU102" i="9"/>
  <c r="AU103" i="9"/>
  <c r="AU93" i="9"/>
  <c r="AU65" i="9"/>
  <c r="AU6" i="9"/>
  <c r="AU9" i="9" s="1"/>
  <c r="AV5" i="9"/>
  <c r="C78" i="12" l="1"/>
  <c r="C78" i="11" s="1"/>
  <c r="C105" i="12"/>
  <c r="C105" i="11" s="1"/>
  <c r="C117" i="11"/>
  <c r="D104" i="11"/>
  <c r="D104" i="12" s="1"/>
  <c r="D103" i="11"/>
  <c r="D103" i="12" s="1"/>
  <c r="C90" i="12"/>
  <c r="C89" i="11" s="1"/>
  <c r="C98" i="12"/>
  <c r="C98" i="11" s="1"/>
  <c r="D94" i="11"/>
  <c r="D94" i="12" s="1"/>
  <c r="D68" i="11"/>
  <c r="D113" i="11" s="1"/>
  <c r="D93" i="11"/>
  <c r="D93" i="12" s="1"/>
  <c r="D67" i="11"/>
  <c r="D112" i="11" s="1"/>
  <c r="D66" i="11"/>
  <c r="D111" i="11" s="1"/>
  <c r="D65" i="11"/>
  <c r="D110" i="11" s="1"/>
  <c r="D88" i="11"/>
  <c r="D88" i="12" s="1"/>
  <c r="D74" i="11"/>
  <c r="D74" i="12" s="1"/>
  <c r="D73" i="11"/>
  <c r="D73" i="12" s="1"/>
  <c r="D69" i="11"/>
  <c r="D114" i="11" s="1"/>
  <c r="D64" i="11"/>
  <c r="D109" i="11" s="1"/>
  <c r="D102" i="11"/>
  <c r="D102" i="12" s="1"/>
  <c r="D87" i="11"/>
  <c r="D87" i="12" s="1"/>
  <c r="D97" i="11"/>
  <c r="D97" i="12" s="1"/>
  <c r="E93" i="9"/>
  <c r="E88" i="9"/>
  <c r="E95" i="9"/>
  <c r="E95" i="11" s="1"/>
  <c r="E103" i="9"/>
  <c r="E104" i="9"/>
  <c r="E94" i="9"/>
  <c r="E102" i="9"/>
  <c r="E85" i="9"/>
  <c r="E85" i="11" s="1"/>
  <c r="E86" i="9"/>
  <c r="E86" i="11" s="1"/>
  <c r="E96" i="9"/>
  <c r="E96" i="11" s="1"/>
  <c r="E66" i="9"/>
  <c r="E69" i="9"/>
  <c r="E68" i="9"/>
  <c r="E65" i="9"/>
  <c r="E74" i="9"/>
  <c r="E64" i="9"/>
  <c r="E67" i="9"/>
  <c r="E73" i="9"/>
  <c r="E73" i="11" s="1"/>
  <c r="E84" i="12"/>
  <c r="C109" i="12"/>
  <c r="C110" i="12" s="1"/>
  <c r="C111" i="12"/>
  <c r="AV94" i="9"/>
  <c r="AV68" i="9"/>
  <c r="AV67" i="9"/>
  <c r="AV86" i="9"/>
  <c r="AV103" i="9"/>
  <c r="AV104" i="9"/>
  <c r="AV85" i="9"/>
  <c r="AV74" i="9"/>
  <c r="AV95" i="9"/>
  <c r="AV64" i="9"/>
  <c r="F64" i="9" s="1"/>
  <c r="F64" i="11" s="1"/>
  <c r="AV73" i="9"/>
  <c r="AV93" i="9"/>
  <c r="AV69" i="9"/>
  <c r="AV88" i="9"/>
  <c r="AV102" i="9"/>
  <c r="AV96" i="9"/>
  <c r="AV66" i="9"/>
  <c r="AV84" i="9"/>
  <c r="F84" i="9" s="1"/>
  <c r="F84" i="11" s="1"/>
  <c r="AV65" i="9"/>
  <c r="AV6" i="9"/>
  <c r="AV9" i="9" s="1"/>
  <c r="AW5" i="9"/>
  <c r="C112" i="12" l="1"/>
  <c r="C118" i="11" s="1"/>
  <c r="D90" i="12"/>
  <c r="D89" i="11" s="1"/>
  <c r="D109" i="12"/>
  <c r="D110" i="12" s="1"/>
  <c r="D78" i="12"/>
  <c r="D78" i="11" s="1"/>
  <c r="D111" i="12"/>
  <c r="D105" i="12"/>
  <c r="D105" i="11" s="1"/>
  <c r="D117" i="11"/>
  <c r="D98" i="12"/>
  <c r="D98" i="11" s="1"/>
  <c r="E104" i="11"/>
  <c r="E104" i="12" s="1"/>
  <c r="E69" i="11"/>
  <c r="E114" i="11" s="1"/>
  <c r="E103" i="11"/>
  <c r="E103" i="12" s="1"/>
  <c r="E68" i="11"/>
  <c r="E113" i="11" s="1"/>
  <c r="E66" i="11"/>
  <c r="E111" i="11" s="1"/>
  <c r="E65" i="11"/>
  <c r="E110" i="11" s="1"/>
  <c r="E94" i="11"/>
  <c r="E94" i="12" s="1"/>
  <c r="E88" i="11"/>
  <c r="E88" i="12" s="1"/>
  <c r="E73" i="12"/>
  <c r="E67" i="11"/>
  <c r="E112" i="11" s="1"/>
  <c r="E93" i="11"/>
  <c r="E93" i="12" s="1"/>
  <c r="E64" i="11"/>
  <c r="E109" i="11" s="1"/>
  <c r="E74" i="11"/>
  <c r="E74" i="12" s="1"/>
  <c r="E102" i="11"/>
  <c r="E102" i="12" s="1"/>
  <c r="E97" i="11"/>
  <c r="E97" i="12" s="1"/>
  <c r="E87" i="11"/>
  <c r="E87" i="12" s="1"/>
  <c r="F96" i="9"/>
  <c r="F96" i="11" s="1"/>
  <c r="F102" i="9"/>
  <c r="F104" i="9"/>
  <c r="F103" i="9"/>
  <c r="F93" i="9"/>
  <c r="F86" i="9"/>
  <c r="F86" i="11" s="1"/>
  <c r="F85" i="9"/>
  <c r="F85" i="11" s="1"/>
  <c r="F88" i="9"/>
  <c r="F95" i="9"/>
  <c r="F95" i="11" s="1"/>
  <c r="F94" i="9"/>
  <c r="F68" i="9"/>
  <c r="F66" i="9"/>
  <c r="F74" i="9"/>
  <c r="F69" i="9"/>
  <c r="F65" i="9"/>
  <c r="F73" i="9"/>
  <c r="F67" i="9"/>
  <c r="F84" i="12"/>
  <c r="AW103" i="9"/>
  <c r="AW95" i="9"/>
  <c r="AW67" i="9"/>
  <c r="AW74" i="9"/>
  <c r="AW64" i="9"/>
  <c r="AW68" i="9"/>
  <c r="AW86" i="9"/>
  <c r="AW85" i="9"/>
  <c r="AW104" i="9"/>
  <c r="AW94" i="9"/>
  <c r="AW69" i="9"/>
  <c r="AW73" i="9"/>
  <c r="AW66" i="9"/>
  <c r="AW102" i="9"/>
  <c r="AW84" i="9"/>
  <c r="G84" i="9" s="1"/>
  <c r="G84" i="11" s="1"/>
  <c r="AW88" i="9"/>
  <c r="AW93" i="9"/>
  <c r="AW65" i="9"/>
  <c r="AW96" i="9"/>
  <c r="AW6" i="9"/>
  <c r="AW9" i="9" s="1"/>
  <c r="AX5" i="9"/>
  <c r="D112" i="12" l="1"/>
  <c r="D118" i="11" s="1"/>
  <c r="E90" i="12"/>
  <c r="E89" i="11" s="1"/>
  <c r="E98" i="12"/>
  <c r="E98" i="11" s="1"/>
  <c r="E105" i="12"/>
  <c r="E105" i="11" s="1"/>
  <c r="E78" i="12"/>
  <c r="E78" i="11" s="1"/>
  <c r="E109" i="12"/>
  <c r="E110" i="12" s="1"/>
  <c r="E117" i="11"/>
  <c r="F66" i="11"/>
  <c r="F111" i="11" s="1"/>
  <c r="F103" i="11"/>
  <c r="F103" i="12" s="1"/>
  <c r="F68" i="11"/>
  <c r="F113" i="11" s="1"/>
  <c r="F104" i="11"/>
  <c r="F104" i="12" s="1"/>
  <c r="F94" i="11"/>
  <c r="F94" i="12" s="1"/>
  <c r="F102" i="11"/>
  <c r="F102" i="12" s="1"/>
  <c r="F67" i="11"/>
  <c r="F112" i="11" s="1"/>
  <c r="F73" i="11"/>
  <c r="F73" i="12" s="1"/>
  <c r="F88" i="11"/>
  <c r="F88" i="12" s="1"/>
  <c r="E111" i="12"/>
  <c r="F65" i="11"/>
  <c r="F110" i="11" s="1"/>
  <c r="F69" i="11"/>
  <c r="F114" i="11" s="1"/>
  <c r="F74" i="11"/>
  <c r="F74" i="12" s="1"/>
  <c r="F93" i="11"/>
  <c r="F93" i="12" s="1"/>
  <c r="F97" i="11"/>
  <c r="F97" i="12" s="1"/>
  <c r="F87" i="11"/>
  <c r="F87" i="12" s="1"/>
  <c r="G93" i="9"/>
  <c r="G104" i="9"/>
  <c r="G103" i="9"/>
  <c r="G86" i="9"/>
  <c r="G86" i="11" s="1"/>
  <c r="G102" i="9"/>
  <c r="G88" i="9"/>
  <c r="G85" i="9"/>
  <c r="G85" i="11" s="1"/>
  <c r="G96" i="9"/>
  <c r="G96" i="11" s="1"/>
  <c r="G94" i="9"/>
  <c r="G95" i="9"/>
  <c r="G95" i="11" s="1"/>
  <c r="G68" i="9"/>
  <c r="G66" i="9"/>
  <c r="G64" i="9"/>
  <c r="G73" i="9"/>
  <c r="G74" i="9"/>
  <c r="G69" i="9"/>
  <c r="G67" i="9"/>
  <c r="G65" i="9"/>
  <c r="G84" i="12"/>
  <c r="AX67" i="9"/>
  <c r="AX74" i="9"/>
  <c r="AX94" i="9"/>
  <c r="AX84" i="9"/>
  <c r="H84" i="9" s="1"/>
  <c r="H84" i="11" s="1"/>
  <c r="AX85" i="9"/>
  <c r="AX103" i="9"/>
  <c r="AX64" i="9"/>
  <c r="H64" i="9" s="1"/>
  <c r="H64" i="11" s="1"/>
  <c r="AX86" i="9"/>
  <c r="AX66" i="9"/>
  <c r="AX102" i="9"/>
  <c r="AX68" i="9"/>
  <c r="AX104" i="9"/>
  <c r="AX95" i="9"/>
  <c r="AX93" i="9"/>
  <c r="AX73" i="9"/>
  <c r="AX96" i="9"/>
  <c r="AX88" i="9"/>
  <c r="AX65" i="9"/>
  <c r="AX69" i="9"/>
  <c r="F109" i="11"/>
  <c r="AX6" i="9"/>
  <c r="AX9" i="9" s="1"/>
  <c r="AY5" i="9"/>
  <c r="F105" i="12" l="1"/>
  <c r="F105" i="11" s="1"/>
  <c r="F78" i="12"/>
  <c r="F78" i="11" s="1"/>
  <c r="E112" i="12"/>
  <c r="E118" i="11" s="1"/>
  <c r="F98" i="12"/>
  <c r="F98" i="11" s="1"/>
  <c r="F90" i="12"/>
  <c r="G69" i="11"/>
  <c r="G114" i="11" s="1"/>
  <c r="G74" i="11"/>
  <c r="G74" i="12" s="1"/>
  <c r="G73" i="11"/>
  <c r="G73" i="12" s="1"/>
  <c r="G88" i="11"/>
  <c r="G88" i="12" s="1"/>
  <c r="G64" i="11"/>
  <c r="G109" i="11" s="1"/>
  <c r="G102" i="11"/>
  <c r="G102" i="12" s="1"/>
  <c r="G66" i="11"/>
  <c r="G111" i="11" s="1"/>
  <c r="G68" i="11"/>
  <c r="G113" i="11" s="1"/>
  <c r="G103" i="11"/>
  <c r="G103" i="12" s="1"/>
  <c r="G65" i="11"/>
  <c r="G110" i="11" s="1"/>
  <c r="G104" i="11"/>
  <c r="G104" i="12" s="1"/>
  <c r="F117" i="11"/>
  <c r="G67" i="11"/>
  <c r="G112" i="11" s="1"/>
  <c r="G94" i="11"/>
  <c r="G94" i="12" s="1"/>
  <c r="G93" i="11"/>
  <c r="G93" i="12" s="1"/>
  <c r="G87" i="11"/>
  <c r="G87" i="12" s="1"/>
  <c r="G97" i="11"/>
  <c r="G97" i="12" s="1"/>
  <c r="H88" i="9"/>
  <c r="H103" i="9"/>
  <c r="H93" i="9"/>
  <c r="H85" i="9"/>
  <c r="H85" i="11" s="1"/>
  <c r="H104" i="9"/>
  <c r="H102" i="9"/>
  <c r="H96" i="9"/>
  <c r="H96" i="11" s="1"/>
  <c r="H86" i="9"/>
  <c r="H86" i="11" s="1"/>
  <c r="H95" i="9"/>
  <c r="H95" i="11" s="1"/>
  <c r="H94" i="9"/>
  <c r="H69" i="9"/>
  <c r="H68" i="9"/>
  <c r="H65" i="9"/>
  <c r="H74" i="9"/>
  <c r="H66" i="9"/>
  <c r="H67" i="9"/>
  <c r="H73" i="9"/>
  <c r="H84" i="12"/>
  <c r="F111" i="12"/>
  <c r="F109" i="12"/>
  <c r="F110" i="12" s="1"/>
  <c r="AY74" i="9"/>
  <c r="AY93" i="9"/>
  <c r="AY103" i="9"/>
  <c r="AY84" i="9"/>
  <c r="I84" i="9" s="1"/>
  <c r="I84" i="11" s="1"/>
  <c r="AY64" i="9"/>
  <c r="AY86" i="9"/>
  <c r="AY85" i="9"/>
  <c r="AY66" i="9"/>
  <c r="AY104" i="9"/>
  <c r="AY95" i="9"/>
  <c r="AY102" i="9"/>
  <c r="AY94" i="9"/>
  <c r="AY68" i="9"/>
  <c r="AY67" i="9"/>
  <c r="AY73" i="9"/>
  <c r="AY65" i="9"/>
  <c r="AY88" i="9"/>
  <c r="AY69" i="9"/>
  <c r="AY96" i="9"/>
  <c r="AY6" i="9"/>
  <c r="AY9" i="9" s="1"/>
  <c r="AZ5" i="9"/>
  <c r="G78" i="12" l="1"/>
  <c r="G78" i="11" s="1"/>
  <c r="F112" i="12"/>
  <c r="F118" i="11" s="1"/>
  <c r="F89" i="11"/>
  <c r="G90" i="12"/>
  <c r="G89" i="11" s="1"/>
  <c r="G105" i="12"/>
  <c r="G105" i="11" s="1"/>
  <c r="G117" i="11"/>
  <c r="H67" i="11"/>
  <c r="H112" i="11" s="1"/>
  <c r="H66" i="11"/>
  <c r="H111" i="11" s="1"/>
  <c r="H102" i="11"/>
  <c r="H102" i="12" s="1"/>
  <c r="H74" i="11"/>
  <c r="H74" i="12" s="1"/>
  <c r="H65" i="11"/>
  <c r="H110" i="11" s="1"/>
  <c r="H104" i="11"/>
  <c r="H104" i="12" s="1"/>
  <c r="H68" i="11"/>
  <c r="H113" i="11" s="1"/>
  <c r="H69" i="11"/>
  <c r="H114" i="11" s="1"/>
  <c r="H93" i="11"/>
  <c r="H93" i="12" s="1"/>
  <c r="H94" i="11"/>
  <c r="H94" i="12" s="1"/>
  <c r="H103" i="11"/>
  <c r="H103" i="12" s="1"/>
  <c r="H73" i="11"/>
  <c r="H73" i="12" s="1"/>
  <c r="H88" i="11"/>
  <c r="H88" i="12" s="1"/>
  <c r="G98" i="12"/>
  <c r="G98" i="11" s="1"/>
  <c r="H87" i="11"/>
  <c r="H87" i="12" s="1"/>
  <c r="H97" i="11"/>
  <c r="H97" i="12" s="1"/>
  <c r="I86" i="9"/>
  <c r="I86" i="11" s="1"/>
  <c r="I94" i="9"/>
  <c r="I96" i="9"/>
  <c r="I96" i="11" s="1"/>
  <c r="I102" i="9"/>
  <c r="I103" i="9"/>
  <c r="I93" i="9"/>
  <c r="I85" i="9"/>
  <c r="I85" i="11" s="1"/>
  <c r="I95" i="9"/>
  <c r="I95" i="11" s="1"/>
  <c r="I88" i="9"/>
  <c r="I104" i="9"/>
  <c r="I64" i="9"/>
  <c r="I68" i="9"/>
  <c r="I69" i="9"/>
  <c r="I74" i="9"/>
  <c r="I65" i="9"/>
  <c r="I66" i="9"/>
  <c r="I67" i="9"/>
  <c r="I73" i="9"/>
  <c r="I84" i="12"/>
  <c r="G109" i="12"/>
  <c r="G110" i="12" s="1"/>
  <c r="G111" i="12"/>
  <c r="AZ88" i="9"/>
  <c r="AZ96" i="9"/>
  <c r="AZ69" i="9"/>
  <c r="AZ65" i="9"/>
  <c r="AZ104" i="9"/>
  <c r="AZ103" i="9"/>
  <c r="AZ84" i="9"/>
  <c r="J84" i="9" s="1"/>
  <c r="J84" i="11" s="1"/>
  <c r="AZ67" i="9"/>
  <c r="AZ85" i="9"/>
  <c r="AZ64" i="9"/>
  <c r="J64" i="9" s="1"/>
  <c r="J64" i="11" s="1"/>
  <c r="AZ66" i="9"/>
  <c r="AZ68" i="9"/>
  <c r="AZ93" i="9"/>
  <c r="AZ94" i="9"/>
  <c r="AZ74" i="9"/>
  <c r="AZ86" i="9"/>
  <c r="AZ73" i="9"/>
  <c r="AZ95" i="9"/>
  <c r="AZ102" i="9"/>
  <c r="H109" i="11"/>
  <c r="AZ6" i="9"/>
  <c r="AZ9" i="9" s="1"/>
  <c r="H90" i="12" l="1"/>
  <c r="H89" i="11" s="1"/>
  <c r="H78" i="12"/>
  <c r="H78" i="11" s="1"/>
  <c r="H105" i="12"/>
  <c r="H105" i="11" s="1"/>
  <c r="I73" i="11"/>
  <c r="I73" i="12" s="1"/>
  <c r="I104" i="11"/>
  <c r="I104" i="12" s="1"/>
  <c r="I94" i="11"/>
  <c r="I94" i="12" s="1"/>
  <c r="I67" i="11"/>
  <c r="I112" i="11" s="1"/>
  <c r="I88" i="11"/>
  <c r="I88" i="12" s="1"/>
  <c r="I66" i="11"/>
  <c r="I111" i="11" s="1"/>
  <c r="I65" i="11"/>
  <c r="I110" i="11" s="1"/>
  <c r="I93" i="11"/>
  <c r="I93" i="12" s="1"/>
  <c r="I69" i="11"/>
  <c r="I114" i="11" s="1"/>
  <c r="I103" i="11"/>
  <c r="I103" i="12" s="1"/>
  <c r="I74" i="11"/>
  <c r="I74" i="12" s="1"/>
  <c r="G112" i="12"/>
  <c r="G118" i="11" s="1"/>
  <c r="I68" i="11"/>
  <c r="I113" i="11" s="1"/>
  <c r="I102" i="11"/>
  <c r="I102" i="12" s="1"/>
  <c r="H98" i="12"/>
  <c r="H98" i="11" s="1"/>
  <c r="H117" i="11"/>
  <c r="I64" i="11"/>
  <c r="I109" i="11" s="1"/>
  <c r="I87" i="11"/>
  <c r="I87" i="12" s="1"/>
  <c r="I97" i="11"/>
  <c r="I97" i="12" s="1"/>
  <c r="J93" i="9"/>
  <c r="J104" i="9"/>
  <c r="J94" i="9"/>
  <c r="J103" i="9"/>
  <c r="J102" i="9"/>
  <c r="J95" i="9"/>
  <c r="J95" i="11" s="1"/>
  <c r="J96" i="9"/>
  <c r="J96" i="11" s="1"/>
  <c r="J85" i="9"/>
  <c r="J85" i="11" s="1"/>
  <c r="J88" i="9"/>
  <c r="J86" i="9"/>
  <c r="J86" i="11" s="1"/>
  <c r="J68" i="9"/>
  <c r="J65" i="9"/>
  <c r="J66" i="9"/>
  <c r="J69" i="9"/>
  <c r="J67" i="9"/>
  <c r="J74" i="9"/>
  <c r="J73" i="9"/>
  <c r="J84" i="12"/>
  <c r="H109" i="12"/>
  <c r="H110" i="12" s="1"/>
  <c r="H111" i="12"/>
  <c r="H112" i="12" l="1"/>
  <c r="H118" i="11" s="1"/>
  <c r="I90" i="12"/>
  <c r="I89" i="11" s="1"/>
  <c r="I105" i="12"/>
  <c r="I105" i="11" s="1"/>
  <c r="I78" i="12"/>
  <c r="I78" i="11" s="1"/>
  <c r="I117" i="11"/>
  <c r="J66" i="11"/>
  <c r="J111" i="11" s="1"/>
  <c r="J102" i="11"/>
  <c r="J102" i="12" s="1"/>
  <c r="J67" i="11"/>
  <c r="J112" i="11" s="1"/>
  <c r="J65" i="11"/>
  <c r="J110" i="11" s="1"/>
  <c r="J103" i="11"/>
  <c r="J103" i="12" s="1"/>
  <c r="J68" i="11"/>
  <c r="J113" i="11" s="1"/>
  <c r="J94" i="11"/>
  <c r="J94" i="12" s="1"/>
  <c r="J69" i="11"/>
  <c r="J114" i="11" s="1"/>
  <c r="J104" i="11"/>
  <c r="J104" i="12" s="1"/>
  <c r="J73" i="11"/>
  <c r="J73" i="12" s="1"/>
  <c r="J88" i="11"/>
  <c r="J88" i="12" s="1"/>
  <c r="J93" i="11"/>
  <c r="J93" i="12" s="1"/>
  <c r="J74" i="11"/>
  <c r="J74" i="12" s="1"/>
  <c r="I98" i="12"/>
  <c r="I98" i="11" s="1"/>
  <c r="J87" i="11"/>
  <c r="J87" i="12" s="1"/>
  <c r="J97" i="11"/>
  <c r="J97" i="12" s="1"/>
  <c r="I109" i="12"/>
  <c r="I110" i="12" s="1"/>
  <c r="I111" i="12"/>
  <c r="J109" i="11"/>
  <c r="J105" i="12" l="1"/>
  <c r="J105" i="11" s="1"/>
  <c r="I112" i="12"/>
  <c r="I118" i="11" s="1"/>
  <c r="J78" i="12"/>
  <c r="J78" i="11" s="1"/>
  <c r="J98" i="12"/>
  <c r="J98" i="11" s="1"/>
  <c r="J90" i="12"/>
  <c r="J89" i="11" s="1"/>
  <c r="J117" i="11"/>
  <c r="J111" i="12"/>
  <c r="J109" i="12"/>
  <c r="J110" i="12" s="1"/>
  <c r="B78" i="11"/>
  <c r="J112" i="12" l="1"/>
  <c r="J118" i="11" s="1"/>
  <c r="B11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<sst xmlns="http://schemas.openxmlformats.org/spreadsheetml/2006/main" count="8613" uniqueCount="2155">
  <si>
    <t>Step</t>
  </si>
  <si>
    <t>AIFeedbackEnabled</t>
  </si>
  <si>
    <t>ReadVault</t>
  </si>
  <si>
    <t>settingsID</t>
  </si>
  <si>
    <t>Time</t>
  </si>
  <si>
    <t>Year</t>
  </si>
  <si>
    <t/>
  </si>
  <si>
    <t>Medium</t>
  </si>
  <si>
    <t>NumYears</t>
  </si>
  <si>
    <t>GameOver</t>
  </si>
  <si>
    <t>Low</t>
  </si>
  <si>
    <t>High</t>
  </si>
  <si>
    <t>Crisis</t>
  </si>
  <si>
    <t>CYear</t>
  </si>
  <si>
    <t>C1Year</t>
  </si>
  <si>
    <t>C2Year</t>
  </si>
  <si>
    <t>C3Year</t>
  </si>
  <si>
    <t>C4Year</t>
  </si>
  <si>
    <t>C</t>
  </si>
  <si>
    <t>C1</t>
  </si>
  <si>
    <t>C2</t>
  </si>
  <si>
    <t>C3</t>
  </si>
  <si>
    <t>C4</t>
  </si>
  <si>
    <t>CShow</t>
  </si>
  <si>
    <t>C1Show</t>
  </si>
  <si>
    <t>C2Show</t>
  </si>
  <si>
    <t>C3Show</t>
  </si>
  <si>
    <t>C4Show</t>
  </si>
  <si>
    <t>CEnabled</t>
  </si>
  <si>
    <t>C1Enabled</t>
  </si>
  <si>
    <t>C2Enabled</t>
  </si>
  <si>
    <t>C3Enabled</t>
  </si>
  <si>
    <t>C4Enabled</t>
  </si>
  <si>
    <t>CPrepared</t>
  </si>
  <si>
    <t>C1Prepared</t>
  </si>
  <si>
    <t>C2Prepared</t>
  </si>
  <si>
    <t>C3Prepared</t>
  </si>
  <si>
    <t>C4Prepared</t>
  </si>
  <si>
    <t>C1ShowCrisisCard</t>
  </si>
  <si>
    <t>C2ShowCrisisCard</t>
  </si>
  <si>
    <t>C3ShowCrisisCard</t>
  </si>
  <si>
    <t>C4ShowCrisisCard</t>
  </si>
  <si>
    <t>Projects Variables</t>
  </si>
  <si>
    <t>Public Policy Simulation: AI Governance</t>
  </si>
  <si>
    <t>Economy</t>
  </si>
  <si>
    <t>Governance</t>
  </si>
  <si>
    <t>Targets</t>
  </si>
  <si>
    <t>HumanRights</t>
  </si>
  <si>
    <t>Transparency</t>
  </si>
  <si>
    <t>SecuritySafety</t>
  </si>
  <si>
    <t>Accountability</t>
  </si>
  <si>
    <t>Environment</t>
  </si>
  <si>
    <t>Defense</t>
  </si>
  <si>
    <t>Education &amp; Innovation</t>
  </si>
  <si>
    <t>NetJobsFromAI</t>
  </si>
  <si>
    <t>AIContributionToGDP</t>
  </si>
  <si>
    <t>CybersecurityIndex</t>
  </si>
  <si>
    <t>AILiteracy</t>
  </si>
  <si>
    <t>InnovationIndex</t>
  </si>
  <si>
    <t>NetJobsFromAITarget</t>
  </si>
  <si>
    <t>AIContributionToGDPTarget</t>
  </si>
  <si>
    <t>CybersecurityIndexTarget</t>
  </si>
  <si>
    <t>AILiteracyTarget</t>
  </si>
  <si>
    <t>InnovationIndexTarget</t>
  </si>
  <si>
    <t>Numbers</t>
  </si>
  <si>
    <t>NumTargetsMet</t>
  </si>
  <si>
    <t>NumTargetsAlmostMet</t>
  </si>
  <si>
    <t>NumTargetsNotMet</t>
  </si>
  <si>
    <t>EcPro</t>
  </si>
  <si>
    <t>EcPro3</t>
  </si>
  <si>
    <t>EcPro4</t>
  </si>
  <si>
    <t>EcPro5</t>
  </si>
  <si>
    <t>EcPro6</t>
  </si>
  <si>
    <t>EcPro7</t>
  </si>
  <si>
    <t>EcPro8</t>
  </si>
  <si>
    <t>EcPro9</t>
  </si>
  <si>
    <t>EcPro10</t>
  </si>
  <si>
    <t>EcPro11</t>
  </si>
  <si>
    <t>EcPro12</t>
  </si>
  <si>
    <t>EcPro13</t>
  </si>
  <si>
    <t>EcPro14</t>
  </si>
  <si>
    <t>EcPro15</t>
  </si>
  <si>
    <t>EcPro16</t>
  </si>
  <si>
    <t>EcPro17</t>
  </si>
  <si>
    <t>EcPro18</t>
  </si>
  <si>
    <t>EcPro19</t>
  </si>
  <si>
    <t>EcPro20</t>
  </si>
  <si>
    <t>EcPro21</t>
  </si>
  <si>
    <t>EcPro22</t>
  </si>
  <si>
    <t>EcPro23</t>
  </si>
  <si>
    <t>EcPro24</t>
  </si>
  <si>
    <t>EcProShow</t>
  </si>
  <si>
    <t>EcProNew</t>
  </si>
  <si>
    <t>EcPro3New</t>
  </si>
  <si>
    <t>EcPro4New</t>
  </si>
  <si>
    <t>EcPro5New</t>
  </si>
  <si>
    <t>EcPro6New</t>
  </si>
  <si>
    <t>EcPro7New</t>
  </si>
  <si>
    <t>EcPro8New</t>
  </si>
  <si>
    <t>EcPro9New</t>
  </si>
  <si>
    <t>EcPro10New</t>
  </si>
  <si>
    <t>EcPro11New</t>
  </si>
  <si>
    <t>EcPro12New</t>
  </si>
  <si>
    <t>EcPro13New</t>
  </si>
  <si>
    <t>EcPro14New</t>
  </si>
  <si>
    <t>EcPro15New</t>
  </si>
  <si>
    <t>EcPro16New</t>
  </si>
  <si>
    <t>EcPro17New</t>
  </si>
  <si>
    <t>EcPro18New</t>
  </si>
  <si>
    <t>EcPro19New</t>
  </si>
  <si>
    <t>EcPro20New</t>
  </si>
  <si>
    <t>EcPro21New</t>
  </si>
  <si>
    <t>EcPro22New</t>
  </si>
  <si>
    <t>EcPro23New</t>
  </si>
  <si>
    <t>EcPro24New</t>
  </si>
  <si>
    <t>EcProSort</t>
  </si>
  <si>
    <t>EcPro3Sort</t>
  </si>
  <si>
    <t>EcPro4Sort</t>
  </si>
  <si>
    <t>EcPro5Sort</t>
  </si>
  <si>
    <t>EcPro6Sort</t>
  </si>
  <si>
    <t>EcPro7Sort</t>
  </si>
  <si>
    <t>EcPro8Sort</t>
  </si>
  <si>
    <t>EcPro9Sort</t>
  </si>
  <si>
    <t>EcPro10Sort</t>
  </si>
  <si>
    <t>EcPro11Sort</t>
  </si>
  <si>
    <t>EcPro12Sort</t>
  </si>
  <si>
    <t>EcPro13Sort</t>
  </si>
  <si>
    <t>EcPro14Sort</t>
  </si>
  <si>
    <t>EcPro15Sort</t>
  </si>
  <si>
    <t>EcPro16Sort</t>
  </si>
  <si>
    <t>EcPro17Sort</t>
  </si>
  <si>
    <t>EcPro18Sort</t>
  </si>
  <si>
    <t>EcPro19Sort</t>
  </si>
  <si>
    <t>EcPro20Sort</t>
  </si>
  <si>
    <t>EcPro21Sort</t>
  </si>
  <si>
    <t>EcPro22Sort</t>
  </si>
  <si>
    <t>EcPro23Sort</t>
  </si>
  <si>
    <t>EcPro24Sort</t>
  </si>
  <si>
    <t>EcProDecidedlastyr</t>
  </si>
  <si>
    <t>EcPro3Decidedlastyr</t>
  </si>
  <si>
    <t>EcPro4Decidedlastyr</t>
  </si>
  <si>
    <t>EcPro5Decidedlastyr</t>
  </si>
  <si>
    <t>EcPro6Decidedlastyr</t>
  </si>
  <si>
    <t>EcPro7Decidedlastyr</t>
  </si>
  <si>
    <t>EcPro8Decidedlastyr</t>
  </si>
  <si>
    <t>EcPro9Decidedlastyr</t>
  </si>
  <si>
    <t>EcPro10Decidedlastyr</t>
  </si>
  <si>
    <t>EcPro11Decidedlastyr</t>
  </si>
  <si>
    <t>EcPro12Decidedlastyr</t>
  </si>
  <si>
    <t>EcPro13Decidedlastyr</t>
  </si>
  <si>
    <t>EcPro14Decidedlastyr</t>
  </si>
  <si>
    <t>EcPro15Decidedlastyr</t>
  </si>
  <si>
    <t>EcPro16Decidedlastyr</t>
  </si>
  <si>
    <t>EcPro17Decidedlastyr</t>
  </si>
  <si>
    <t>EcPro18Decidedlastyr</t>
  </si>
  <si>
    <t>EcPro19Decidedlastyr</t>
  </si>
  <si>
    <t>EcPro20Decidedlastyr</t>
  </si>
  <si>
    <t>EcPro21Decidedlastyr</t>
  </si>
  <si>
    <t>EcPro22Decidedlastyr</t>
  </si>
  <si>
    <t>EcPro23Decidedlastyr</t>
  </si>
  <si>
    <t>EcPro24Decidedlastyr</t>
  </si>
  <si>
    <t>EcProDecided2yrsago</t>
  </si>
  <si>
    <t>EcPro3Decided2yrsago</t>
  </si>
  <si>
    <t>EcPro4Decided2yrsago</t>
  </si>
  <si>
    <t>EcPro5Decided2yrsago</t>
  </si>
  <si>
    <t>EcPro6Decided2yrsago</t>
  </si>
  <si>
    <t>EcPro7Decided2yrsago</t>
  </si>
  <si>
    <t>EcPro8Decided2yrsago</t>
  </si>
  <si>
    <t>EcPro9Decided2yrsago</t>
  </si>
  <si>
    <t>EcPro10Decided2yrsago</t>
  </si>
  <si>
    <t>EcPro11Decided2yrsago</t>
  </si>
  <si>
    <t>EcPro12Decided2yrsago</t>
  </si>
  <si>
    <t>EcPro13Decided2yrsago</t>
  </si>
  <si>
    <t>EcPro14Decided2yrsago</t>
  </si>
  <si>
    <t>EcPro15Decided2yrsago</t>
  </si>
  <si>
    <t>EcPro16Decided2yrsago</t>
  </si>
  <si>
    <t>EcPro17Decided2yrsago</t>
  </si>
  <si>
    <t>EcPro18Decided2yrsago</t>
  </si>
  <si>
    <t>EcPro19Decided2yrsago</t>
  </si>
  <si>
    <t>EcPro20Decided2yrsago</t>
  </si>
  <si>
    <t>EcPro21Decided2yrsago</t>
  </si>
  <si>
    <t>EcPro22Decided2yrsago</t>
  </si>
  <si>
    <t>EcPro23Decided2yrsago</t>
  </si>
  <si>
    <t>EcPro24Decided2yrsago</t>
  </si>
  <si>
    <t>EcPro3Cost</t>
  </si>
  <si>
    <t>EcPro4Cost</t>
  </si>
  <si>
    <t>EcPro5Cost</t>
  </si>
  <si>
    <t>EcPro6Cost</t>
  </si>
  <si>
    <t>EcPro7Cost</t>
  </si>
  <si>
    <t>EcPro8Cost</t>
  </si>
  <si>
    <t>EcPro9Cost</t>
  </si>
  <si>
    <t>EcPro10Cost</t>
  </si>
  <si>
    <t>EcPro11Cost</t>
  </si>
  <si>
    <t>EcPro12Cost</t>
  </si>
  <si>
    <t>EcPro13Cost</t>
  </si>
  <si>
    <t>EcPro14Cost</t>
  </si>
  <si>
    <t>EcPro15Cost</t>
  </si>
  <si>
    <t>EcPro16Cost</t>
  </si>
  <si>
    <t>EcPro17Cost</t>
  </si>
  <si>
    <t>EcPro18Cost</t>
  </si>
  <si>
    <t>EcPro19Cost</t>
  </si>
  <si>
    <t>EcPro20Cost</t>
  </si>
  <si>
    <t>EcPro21Cost</t>
  </si>
  <si>
    <t>EcPro22Cost</t>
  </si>
  <si>
    <t>EcPro23Cost</t>
  </si>
  <si>
    <t>EcPro24Cost</t>
  </si>
  <si>
    <t>EcPro3CostValue</t>
  </si>
  <si>
    <t>EcPro4CostValue</t>
  </si>
  <si>
    <t>EcPro5CostValue</t>
  </si>
  <si>
    <t>EcPro6CostValue</t>
  </si>
  <si>
    <t>EcPro7CostValue</t>
  </si>
  <si>
    <t>EcPro8CostValue</t>
  </si>
  <si>
    <t>EcPro9CostValue</t>
  </si>
  <si>
    <t>EcPro10CostValue</t>
  </si>
  <si>
    <t>EcPro11CostValue</t>
  </si>
  <si>
    <t>EcPro12CostValue</t>
  </si>
  <si>
    <t>EcPro13CostValue</t>
  </si>
  <si>
    <t>EcPro14CostValue</t>
  </si>
  <si>
    <t>EcPro15CostValue</t>
  </si>
  <si>
    <t>EcPro16CostValue</t>
  </si>
  <si>
    <t>EcPro17CostValue</t>
  </si>
  <si>
    <t>EcPro18CostValue</t>
  </si>
  <si>
    <t>EcPro19CostValue</t>
  </si>
  <si>
    <t>EcPro20CostValue</t>
  </si>
  <si>
    <t>EcPro21CostValue</t>
  </si>
  <si>
    <t>EcPro22CostValue</t>
  </si>
  <si>
    <t>EcPro23CostValue</t>
  </si>
  <si>
    <t>EcPro24CostValue</t>
  </si>
  <si>
    <t>EcProReasoning</t>
  </si>
  <si>
    <t>EcPro3Reasoning</t>
  </si>
  <si>
    <t>EcPro4Reasoning</t>
  </si>
  <si>
    <t>EcPro5Reasoning</t>
  </si>
  <si>
    <t>EcPro6Reasoning</t>
  </si>
  <si>
    <t>EcPro7Reasoning</t>
  </si>
  <si>
    <t>EcPro8Reasoning</t>
  </si>
  <si>
    <t>EcPro9Reasoning</t>
  </si>
  <si>
    <t>EcPro10Reasoning</t>
  </si>
  <si>
    <t>EcPro11Reasoning</t>
  </si>
  <si>
    <t>EcPro12Reasoning</t>
  </si>
  <si>
    <t>EcPro13Reasoning</t>
  </si>
  <si>
    <t>EcPro14Reasoning</t>
  </si>
  <si>
    <t>EcPro15Reasoning</t>
  </si>
  <si>
    <t>EcPro16Reasoning</t>
  </si>
  <si>
    <t>EcPro17Reasoning</t>
  </si>
  <si>
    <t>EcPro18Reasoning</t>
  </si>
  <si>
    <t>EcPro19Reasoning</t>
  </si>
  <si>
    <t>EcPro20Reasoning</t>
  </si>
  <si>
    <t>EcPro21Reasoning</t>
  </si>
  <si>
    <t>EcPro22Reasoning</t>
  </si>
  <si>
    <t>EcPro23Reasoning</t>
  </si>
  <si>
    <t>EcPro24Reasoning</t>
  </si>
  <si>
    <t>EcProResponse</t>
  </si>
  <si>
    <t>EcPro3Response</t>
  </si>
  <si>
    <t>EcPro4Response</t>
  </si>
  <si>
    <t>EcPro5Response</t>
  </si>
  <si>
    <t>EcPro6Response</t>
  </si>
  <si>
    <t>EcPro7Response</t>
  </si>
  <si>
    <t>EcPro8Response</t>
  </si>
  <si>
    <t>EcPro9Response</t>
  </si>
  <si>
    <t>EcPro10Response</t>
  </si>
  <si>
    <t>EcPro11Response</t>
  </si>
  <si>
    <t>EcPro12Response</t>
  </si>
  <si>
    <t>EcPro13Response</t>
  </si>
  <si>
    <t>EcPro14Response</t>
  </si>
  <si>
    <t>EcPro15Response</t>
  </si>
  <si>
    <t>EcPro16Response</t>
  </si>
  <si>
    <t>EcPro17Response</t>
  </si>
  <si>
    <t>EcPro18Response</t>
  </si>
  <si>
    <t>EcPro19Response</t>
  </si>
  <si>
    <t>EcPro20Response</t>
  </si>
  <si>
    <t>EcPro21Response</t>
  </si>
  <si>
    <t>EcPro22Response</t>
  </si>
  <si>
    <t>EcPro23Response</t>
  </si>
  <si>
    <t>EcPro24Response</t>
  </si>
  <si>
    <t>EcProYearSelected</t>
  </si>
  <si>
    <t>EcPro3YearSelected</t>
  </si>
  <si>
    <t>EcPro4YearSelected</t>
  </si>
  <si>
    <t>EcPro5YearSelected</t>
  </si>
  <si>
    <t>EcPro6YearSelected</t>
  </si>
  <si>
    <t>EcPro7YearSelected</t>
  </si>
  <si>
    <t>EcPro8YearSelected</t>
  </si>
  <si>
    <t>EcPro9YearSelected</t>
  </si>
  <si>
    <t>EcPro10YearSelected</t>
  </si>
  <si>
    <t>EcPro11YearSelected</t>
  </si>
  <si>
    <t>EcPro12YearSelected</t>
  </si>
  <si>
    <t>EcPro13YearSelected</t>
  </si>
  <si>
    <t>EcPro14YearSelected</t>
  </si>
  <si>
    <t>EcPro15YearSelected</t>
  </si>
  <si>
    <t>EcPro16YearSelected</t>
  </si>
  <si>
    <t>EcPro17YearSelected</t>
  </si>
  <si>
    <t>EcPro18YearSelected</t>
  </si>
  <si>
    <t>EcPro19YearSelected</t>
  </si>
  <si>
    <t>EcPro20YearSelected</t>
  </si>
  <si>
    <t>EcPro21YearSelected</t>
  </si>
  <si>
    <t>EcPro22YearSelected</t>
  </si>
  <si>
    <t>EcPro23YearSelected</t>
  </si>
  <si>
    <t>EcPro24YearSelected</t>
  </si>
  <si>
    <t>EcPro3Show</t>
  </si>
  <si>
    <t>EcPro4Show</t>
  </si>
  <si>
    <t>EcPro5Show</t>
  </si>
  <si>
    <t>EcPro6Show</t>
  </si>
  <si>
    <t>EcPro7Show</t>
  </si>
  <si>
    <t>EcPro8Show</t>
  </si>
  <si>
    <t>EcPro9Show</t>
  </si>
  <si>
    <t>EcPro10Show</t>
  </si>
  <si>
    <t>EcPro11Show</t>
  </si>
  <si>
    <t>EcPro12Show</t>
  </si>
  <si>
    <t>EcPro13Show</t>
  </si>
  <si>
    <t>EcPro14Show</t>
  </si>
  <si>
    <t>EcPro15Show</t>
  </si>
  <si>
    <t>EcPro16Show</t>
  </si>
  <si>
    <t>EcPro17Show</t>
  </si>
  <si>
    <t>EcPro18Show</t>
  </si>
  <si>
    <t>EcPro19Show</t>
  </si>
  <si>
    <t>EcPro20Show</t>
  </si>
  <si>
    <t>EcPro21Show</t>
  </si>
  <si>
    <t>EcPro22Show</t>
  </si>
  <si>
    <t>EcPro23Show</t>
  </si>
  <si>
    <t>EcPro24Show</t>
  </si>
  <si>
    <t>EcProType</t>
  </si>
  <si>
    <t>1 = Toggle, 2 = Slider</t>
  </si>
  <si>
    <t>EcPro3Type</t>
  </si>
  <si>
    <t>EcPro4Type</t>
  </si>
  <si>
    <t>EcPro5Type</t>
  </si>
  <si>
    <t>EcPro6Type</t>
  </si>
  <si>
    <t>EcPro7Type</t>
  </si>
  <si>
    <t>EcPro8Type</t>
  </si>
  <si>
    <t>EcPro9Type</t>
  </si>
  <si>
    <t>EcPro10Type</t>
  </si>
  <si>
    <t>EcPro11Type</t>
  </si>
  <si>
    <t>EcPro12Type</t>
  </si>
  <si>
    <t>EcPro13Type</t>
  </si>
  <si>
    <t>EcPro14Type</t>
  </si>
  <si>
    <t>Slider 2</t>
  </si>
  <si>
    <t>Slider 1</t>
  </si>
  <si>
    <t>Values</t>
  </si>
  <si>
    <t>Value1Position</t>
  </si>
  <si>
    <t>Value2Position</t>
  </si>
  <si>
    <t>Value3Position</t>
  </si>
  <si>
    <t>Value4Position</t>
  </si>
  <si>
    <t>Value5Position</t>
  </si>
  <si>
    <t>Value6Position</t>
  </si>
  <si>
    <t>EconomyScore</t>
  </si>
  <si>
    <t>EnvironmentScore</t>
  </si>
  <si>
    <t>DefenseScore</t>
  </si>
  <si>
    <t>EcProCanCancel</t>
  </si>
  <si>
    <t>EcPro15Type</t>
  </si>
  <si>
    <t>EcPro3CanCancel</t>
  </si>
  <si>
    <t>EcPro4CanCancel</t>
  </si>
  <si>
    <t>EcPro5CanCancel</t>
  </si>
  <si>
    <t>EcPro6CanCancel</t>
  </si>
  <si>
    <t>EcPro7CanCancel</t>
  </si>
  <si>
    <t>EcPro8CanCancel</t>
  </si>
  <si>
    <t>EcPro9CanCancel</t>
  </si>
  <si>
    <t>EcPro10CanCancel</t>
  </si>
  <si>
    <t>EcPro11CanCancel</t>
  </si>
  <si>
    <t>EcPro12CanCancel</t>
  </si>
  <si>
    <t>EcPro13CanCancel</t>
  </si>
  <si>
    <t>EcPro14CanCancel</t>
  </si>
  <si>
    <t>EcPro15CanCancel</t>
  </si>
  <si>
    <t>EcPro16Type</t>
  </si>
  <si>
    <t>EcPro16CanCancel</t>
  </si>
  <si>
    <t>EcPro17Type</t>
  </si>
  <si>
    <t>EcPro17CanCancel</t>
  </si>
  <si>
    <t>EcProDone</t>
  </si>
  <si>
    <t>EcPro3Done</t>
  </si>
  <si>
    <t>EcPro4Done</t>
  </si>
  <si>
    <t>EcPro5Done</t>
  </si>
  <si>
    <t>EcPro6Done</t>
  </si>
  <si>
    <t>EcPro7Done</t>
  </si>
  <si>
    <t>EcPro8Done</t>
  </si>
  <si>
    <t>EcPro9Done</t>
  </si>
  <si>
    <t>EcPro10Done</t>
  </si>
  <si>
    <t>EcPro11Done</t>
  </si>
  <si>
    <t>EcPro12Done</t>
  </si>
  <si>
    <t>EcPro13Done</t>
  </si>
  <si>
    <t>EcPro14Done</t>
  </si>
  <si>
    <t>EcPro15Done</t>
  </si>
  <si>
    <t>EcPro16Done</t>
  </si>
  <si>
    <t>EcPro17Done</t>
  </si>
  <si>
    <t>Initiative 12</t>
  </si>
  <si>
    <t>Initiative 13</t>
  </si>
  <si>
    <t>Initiative 14</t>
  </si>
  <si>
    <t>Initiative 15</t>
  </si>
  <si>
    <t>Role Selection</t>
  </si>
  <si>
    <t>RoleUser0</t>
  </si>
  <si>
    <t>RoleUser1</t>
  </si>
  <si>
    <t>RoleUser2</t>
  </si>
  <si>
    <t>RoleUser3</t>
  </si>
  <si>
    <t>RoleUser4</t>
  </si>
  <si>
    <t>RolesConfirmed</t>
  </si>
  <si>
    <t>ValuesConfirmed</t>
  </si>
  <si>
    <t>EnvPro</t>
  </si>
  <si>
    <t>EnvPro3</t>
  </si>
  <si>
    <t>EnvPro4</t>
  </si>
  <si>
    <t>EnvPro5</t>
  </si>
  <si>
    <t>EnvPro6</t>
  </si>
  <si>
    <t>EnvPro7</t>
  </si>
  <si>
    <t>EnvPro8</t>
  </si>
  <si>
    <t>EnvPro9</t>
  </si>
  <si>
    <t>EnvPro10</t>
  </si>
  <si>
    <t>EnvPro11</t>
  </si>
  <si>
    <t>EnvPro12</t>
  </si>
  <si>
    <t>EnvPro13</t>
  </si>
  <si>
    <t>EnvPro14</t>
  </si>
  <si>
    <t>EnvPro15</t>
  </si>
  <si>
    <t>EnvPro16</t>
  </si>
  <si>
    <t>EnvPro17</t>
  </si>
  <si>
    <t>EnvPro18</t>
  </si>
  <si>
    <t>EnvPro19</t>
  </si>
  <si>
    <t>EnvPro20</t>
  </si>
  <si>
    <t>EnvPro21</t>
  </si>
  <si>
    <t>EnvPro22</t>
  </si>
  <si>
    <t>EnvPro23</t>
  </si>
  <si>
    <t>EnvPro24</t>
  </si>
  <si>
    <t>EnvProDone</t>
  </si>
  <si>
    <t>EnvPro3Done</t>
  </si>
  <si>
    <t>EnvPro4Done</t>
  </si>
  <si>
    <t>EnvPro5Done</t>
  </si>
  <si>
    <t>EnvPro6Done</t>
  </si>
  <si>
    <t>EnvPro7Done</t>
  </si>
  <si>
    <t>EnvPro8Done</t>
  </si>
  <si>
    <t>EnvPro9Done</t>
  </si>
  <si>
    <t>EnvPro10Done</t>
  </si>
  <si>
    <t>EnvPro11Done</t>
  </si>
  <si>
    <t>EnvPro12Done</t>
  </si>
  <si>
    <t>EnvPro13Done</t>
  </si>
  <si>
    <t>EnvPro14Done</t>
  </si>
  <si>
    <t>EnvPro15Done</t>
  </si>
  <si>
    <t>EnvPro16Done</t>
  </si>
  <si>
    <t>EnvPro17Done</t>
  </si>
  <si>
    <t>EnvProShow</t>
  </si>
  <si>
    <t>EnvPro3Show</t>
  </si>
  <si>
    <t>EnvPro4Show</t>
  </si>
  <si>
    <t>EnvPro5Show</t>
  </si>
  <si>
    <t>EnvPro6Show</t>
  </si>
  <si>
    <t>EnvPro7Show</t>
  </si>
  <si>
    <t>EnvPro8Show</t>
  </si>
  <si>
    <t>EnvPro9Show</t>
  </si>
  <si>
    <t>EnvPro10Show</t>
  </si>
  <si>
    <t>EnvPro11Show</t>
  </si>
  <si>
    <t>EnvPro12Show</t>
  </si>
  <si>
    <t>EnvPro13Show</t>
  </si>
  <si>
    <t>EnvPro14Show</t>
  </si>
  <si>
    <t>EnvPro15Show</t>
  </si>
  <si>
    <t>EnvPro16Show</t>
  </si>
  <si>
    <t>EnvPro17Show</t>
  </si>
  <si>
    <t>EnvPro18Show</t>
  </si>
  <si>
    <t>EnvPro19Show</t>
  </si>
  <si>
    <t>EnvPro20Show</t>
  </si>
  <si>
    <t>EnvPro21Show</t>
  </si>
  <si>
    <t>EnvPro22Show</t>
  </si>
  <si>
    <t>EnvPro23Show</t>
  </si>
  <si>
    <t>EnvPro24Show</t>
  </si>
  <si>
    <t>EnvProNew</t>
  </si>
  <si>
    <t>EnvPro3New</t>
  </si>
  <si>
    <t>EnvPro4New</t>
  </si>
  <si>
    <t>EnvPro5New</t>
  </si>
  <si>
    <t>EnvPro6New</t>
  </si>
  <si>
    <t>EnvPro7New</t>
  </si>
  <si>
    <t>EnvPro8New</t>
  </si>
  <si>
    <t>EnvPro9New</t>
  </si>
  <si>
    <t>EnvPro10New</t>
  </si>
  <si>
    <t>EnvPro11New</t>
  </si>
  <si>
    <t>EnvPro12New</t>
  </si>
  <si>
    <t>EnvPro13New</t>
  </si>
  <si>
    <t>EnvPro14New</t>
  </si>
  <si>
    <t>EnvPro15New</t>
  </si>
  <si>
    <t>EnvPro16New</t>
  </si>
  <si>
    <t>EnvPro17New</t>
  </si>
  <si>
    <t>EnvPro18New</t>
  </si>
  <si>
    <t>EnvPro19New</t>
  </si>
  <si>
    <t>EnvPro20New</t>
  </si>
  <si>
    <t>EnvPro21New</t>
  </si>
  <si>
    <t>EnvPro22New</t>
  </si>
  <si>
    <t>EnvPro23New</t>
  </si>
  <si>
    <t>EnvPro24New</t>
  </si>
  <si>
    <t>EnvProSort</t>
  </si>
  <si>
    <t>EnvPro3Sort</t>
  </si>
  <si>
    <t>EnvPro4Sort</t>
  </si>
  <si>
    <t>EnvPro5Sort</t>
  </si>
  <si>
    <t>EnvPro6Sort</t>
  </si>
  <si>
    <t>EnvPro7Sort</t>
  </si>
  <si>
    <t>EnvPro8Sort</t>
  </si>
  <si>
    <t>EnvPro9Sort</t>
  </si>
  <si>
    <t>EnvPro10Sort</t>
  </si>
  <si>
    <t>EnvPro11Sort</t>
  </si>
  <si>
    <t>EnvPro12Sort</t>
  </si>
  <si>
    <t>EnvPro13Sort</t>
  </si>
  <si>
    <t>EnvPro14Sort</t>
  </si>
  <si>
    <t>EnvPro15Sort</t>
  </si>
  <si>
    <t>EnvPro16Sort</t>
  </si>
  <si>
    <t>EnvPro17Sort</t>
  </si>
  <si>
    <t>EnvPro18Sort</t>
  </si>
  <si>
    <t>EnvPro19Sort</t>
  </si>
  <si>
    <t>EnvPro20Sort</t>
  </si>
  <si>
    <t>EnvPro21Sort</t>
  </si>
  <si>
    <t>EnvPro22Sort</t>
  </si>
  <si>
    <t>EnvPro23Sort</t>
  </si>
  <si>
    <t>EnvPro24Sort</t>
  </si>
  <si>
    <t>EnvProDecidedlastyr</t>
  </si>
  <si>
    <t>EnvPro3Decidedlastyr</t>
  </si>
  <si>
    <t>EnvPro4Decidedlastyr</t>
  </si>
  <si>
    <t>EnvPro5Decidedlastyr</t>
  </si>
  <si>
    <t>EnvPro6Decidedlastyr</t>
  </si>
  <si>
    <t>EnvPro7Decidedlastyr</t>
  </si>
  <si>
    <t>EnvPro8Decidedlastyr</t>
  </si>
  <si>
    <t>EnvPro9Decidedlastyr</t>
  </si>
  <si>
    <t>EnvPro10Decidedlastyr</t>
  </si>
  <si>
    <t>EnvPro11Decidedlastyr</t>
  </si>
  <si>
    <t>EnvPro12Decidedlastyr</t>
  </si>
  <si>
    <t>EnvPro13Decidedlastyr</t>
  </si>
  <si>
    <t>EnvPro14Decidedlastyr</t>
  </si>
  <si>
    <t>EnvPro15Decidedlastyr</t>
  </si>
  <si>
    <t>EnvPro16Decidedlastyr</t>
  </si>
  <si>
    <t>EnvPro17Decidedlastyr</t>
  </si>
  <si>
    <t>EnvPro18Decidedlastyr</t>
  </si>
  <si>
    <t>EnvPro19Decidedlastyr</t>
  </si>
  <si>
    <t>EnvPro20Decidedlastyr</t>
  </si>
  <si>
    <t>EnvPro21Decidedlastyr</t>
  </si>
  <si>
    <t>EnvPro22Decidedlastyr</t>
  </si>
  <si>
    <t>EnvPro23Decidedlastyr</t>
  </si>
  <si>
    <t>EnvPro24Decidedlastyr</t>
  </si>
  <si>
    <t>EnvProDecided2yrsago</t>
  </si>
  <si>
    <t>EnvPro3Decided2yrsago</t>
  </si>
  <si>
    <t>EnvPro4Decided2yrsago</t>
  </si>
  <si>
    <t>EnvPro5Decided2yrsago</t>
  </si>
  <si>
    <t>EnvPro6Decided2yrsago</t>
  </si>
  <si>
    <t>EnvPro7Decided2yrsago</t>
  </si>
  <si>
    <t>EnvPro8Decided2yrsago</t>
  </si>
  <si>
    <t>EnvPro9Decided2yrsago</t>
  </si>
  <si>
    <t>EnvPro10Decided2yrsago</t>
  </si>
  <si>
    <t>EnvPro11Decided2yrsago</t>
  </si>
  <si>
    <t>EnvPro12Decided2yrsago</t>
  </si>
  <si>
    <t>EnvPro13Decided2yrsago</t>
  </si>
  <si>
    <t>EnvPro14Decided2yrsago</t>
  </si>
  <si>
    <t>EnvPro15Decided2yrsago</t>
  </si>
  <si>
    <t>EnvPro16Decided2yrsago</t>
  </si>
  <si>
    <t>EnvPro17Decided2yrsago</t>
  </si>
  <si>
    <t>EnvPro18Decided2yrsago</t>
  </si>
  <si>
    <t>EnvPro19Decided2yrsago</t>
  </si>
  <si>
    <t>EnvPro20Decided2yrsago</t>
  </si>
  <si>
    <t>EnvPro21Decided2yrsago</t>
  </si>
  <si>
    <t>EnvPro22Decided2yrsago</t>
  </si>
  <si>
    <t>EnvPro23Decided2yrsago</t>
  </si>
  <si>
    <t>EnvPro24Decided2yrsago</t>
  </si>
  <si>
    <t>EnvPro3Cost</t>
  </si>
  <si>
    <t>EnvPro4Cost</t>
  </si>
  <si>
    <t>EnvPro5Cost</t>
  </si>
  <si>
    <t>EnvPro6Cost</t>
  </si>
  <si>
    <t>EnvPro7Cost</t>
  </si>
  <si>
    <t>EnvPro8Cost</t>
  </si>
  <si>
    <t>EnvPro9Cost</t>
  </si>
  <si>
    <t>EnvPro10Cost</t>
  </si>
  <si>
    <t>EnvPro11Cost</t>
  </si>
  <si>
    <t>EnvPro12Cost</t>
  </si>
  <si>
    <t>EnvPro13Cost</t>
  </si>
  <si>
    <t>EnvPro14Cost</t>
  </si>
  <si>
    <t>EnvPro15Cost</t>
  </si>
  <si>
    <t>EnvPro16Cost</t>
  </si>
  <si>
    <t>EnvPro17Cost</t>
  </si>
  <si>
    <t>EnvPro18Cost</t>
  </si>
  <si>
    <t>EnvPro19Cost</t>
  </si>
  <si>
    <t>EnvPro20Cost</t>
  </si>
  <si>
    <t>EnvPro21Cost</t>
  </si>
  <si>
    <t>EnvPro22Cost</t>
  </si>
  <si>
    <t>EnvPro23Cost</t>
  </si>
  <si>
    <t>EnvPro24Cost</t>
  </si>
  <si>
    <t>EnvPro3CostValue</t>
  </si>
  <si>
    <t>EnvPro4CostValue</t>
  </si>
  <si>
    <t>EnvPro5CostValue</t>
  </si>
  <si>
    <t>EnvPro6CostValue</t>
  </si>
  <si>
    <t>EnvPro7CostValue</t>
  </si>
  <si>
    <t>EnvPro8CostValue</t>
  </si>
  <si>
    <t>EnvPro9CostValue</t>
  </si>
  <si>
    <t>EnvPro10CostValue</t>
  </si>
  <si>
    <t>EnvPro11CostValue</t>
  </si>
  <si>
    <t>EnvPro12CostValue</t>
  </si>
  <si>
    <t>EnvPro13CostValue</t>
  </si>
  <si>
    <t>EnvPro14CostValue</t>
  </si>
  <si>
    <t>EnvPro15CostValue</t>
  </si>
  <si>
    <t>EnvPro16CostValue</t>
  </si>
  <si>
    <t>EnvPro17CostValue</t>
  </si>
  <si>
    <t>EnvPro18CostValue</t>
  </si>
  <si>
    <t>EnvPro19CostValue</t>
  </si>
  <si>
    <t>EnvPro20CostValue</t>
  </si>
  <si>
    <t>EnvPro21CostValue</t>
  </si>
  <si>
    <t>EnvPro22CostValue</t>
  </si>
  <si>
    <t>EnvPro23CostValue</t>
  </si>
  <si>
    <t>EnvPro24CostValue</t>
  </si>
  <si>
    <t>EnvProReasoning</t>
  </si>
  <si>
    <t>EnvPro3Reasoning</t>
  </si>
  <si>
    <t>EnvPro4Reasoning</t>
  </si>
  <si>
    <t>EnvPro5Reasoning</t>
  </si>
  <si>
    <t>EnvPro6Reasoning</t>
  </si>
  <si>
    <t>EnvPro7Reasoning</t>
  </si>
  <si>
    <t>EnvPro8Reasoning</t>
  </si>
  <si>
    <t>EnvPro9Reasoning</t>
  </si>
  <si>
    <t>EnvPro10Reasoning</t>
  </si>
  <si>
    <t>EnvPro11Reasoning</t>
  </si>
  <si>
    <t>EnvPro12Reasoning</t>
  </si>
  <si>
    <t>EnvPro13Reasoning</t>
  </si>
  <si>
    <t>EnvPro14Reasoning</t>
  </si>
  <si>
    <t>EnvPro15Reasoning</t>
  </si>
  <si>
    <t>EnvPro16Reasoning</t>
  </si>
  <si>
    <t>EnvPro17Reasoning</t>
  </si>
  <si>
    <t>EnvPro18Reasoning</t>
  </si>
  <si>
    <t>EnvPro19Reasoning</t>
  </si>
  <si>
    <t>EnvPro20Reasoning</t>
  </si>
  <si>
    <t>EnvPro21Reasoning</t>
  </si>
  <si>
    <t>EnvPro22Reasoning</t>
  </si>
  <si>
    <t>EnvPro23Reasoning</t>
  </si>
  <si>
    <t>EnvPro24Reasoning</t>
  </si>
  <si>
    <t>EnvProResponse</t>
  </si>
  <si>
    <t>EnvPro3Response</t>
  </si>
  <si>
    <t>EnvPro4Response</t>
  </si>
  <si>
    <t>EnvPro5Response</t>
  </si>
  <si>
    <t>EnvPro6Response</t>
  </si>
  <si>
    <t>EnvPro7Response</t>
  </si>
  <si>
    <t>EnvPro8Response</t>
  </si>
  <si>
    <t>EnvPro9Response</t>
  </si>
  <si>
    <t>EnvPro10Response</t>
  </si>
  <si>
    <t>EnvPro11Response</t>
  </si>
  <si>
    <t>EnvPro12Response</t>
  </si>
  <si>
    <t>EnvPro13Response</t>
  </si>
  <si>
    <t>EnvPro14Response</t>
  </si>
  <si>
    <t>EnvPro15Response</t>
  </si>
  <si>
    <t>EnvPro16Response</t>
  </si>
  <si>
    <t>EnvPro17Response</t>
  </si>
  <si>
    <t>EnvPro18Response</t>
  </si>
  <si>
    <t>EnvPro19Response</t>
  </si>
  <si>
    <t>EnvPro20Response</t>
  </si>
  <si>
    <t>EnvPro21Response</t>
  </si>
  <si>
    <t>EnvPro22Response</t>
  </si>
  <si>
    <t>EnvPro23Response</t>
  </si>
  <si>
    <t>EnvPro24Response</t>
  </si>
  <si>
    <t>EnvProYearSelected</t>
  </si>
  <si>
    <t>EnvPro3YearSelected</t>
  </si>
  <si>
    <t>EnvPro4YearSelected</t>
  </si>
  <si>
    <t>EnvPro5YearSelected</t>
  </si>
  <si>
    <t>EnvPro6YearSelected</t>
  </si>
  <si>
    <t>EnvPro7YearSelected</t>
  </si>
  <si>
    <t>EnvPro8YearSelected</t>
  </si>
  <si>
    <t>EnvPro9YearSelected</t>
  </si>
  <si>
    <t>EnvPro10YearSelected</t>
  </si>
  <si>
    <t>EnvPro11YearSelected</t>
  </si>
  <si>
    <t>EnvPro12YearSelected</t>
  </si>
  <si>
    <t>EnvPro13YearSelected</t>
  </si>
  <si>
    <t>EnvPro14YearSelected</t>
  </si>
  <si>
    <t>EnvPro15YearSelected</t>
  </si>
  <si>
    <t>EnvPro16YearSelected</t>
  </si>
  <si>
    <t>EnvPro17YearSelected</t>
  </si>
  <si>
    <t>EnvPro18YearSelected</t>
  </si>
  <si>
    <t>EnvPro19YearSelected</t>
  </si>
  <si>
    <t>EnvPro20YearSelected</t>
  </si>
  <si>
    <t>EnvPro21YearSelected</t>
  </si>
  <si>
    <t>EnvPro22YearSelected</t>
  </si>
  <si>
    <t>EnvPro23YearSelected</t>
  </si>
  <si>
    <t>EnvPro24YearSelected</t>
  </si>
  <si>
    <t>EnvProType</t>
  </si>
  <si>
    <t>EnvPro3Type</t>
  </si>
  <si>
    <t>EnvPro4Type</t>
  </si>
  <si>
    <t>EnvPro5Type</t>
  </si>
  <si>
    <t>EnvPro6Type</t>
  </si>
  <si>
    <t>EnvPro7Type</t>
  </si>
  <si>
    <t>EnvPro8Type</t>
  </si>
  <si>
    <t>EnvPro9Type</t>
  </si>
  <si>
    <t>EnvPro10Type</t>
  </si>
  <si>
    <t>EnvPro11Type</t>
  </si>
  <si>
    <t>EnvPro12Type</t>
  </si>
  <si>
    <t>EnvPro13Type</t>
  </si>
  <si>
    <t>EnvPro14Type</t>
  </si>
  <si>
    <t>EnvPro15Type</t>
  </si>
  <si>
    <t>EnvPro16Type</t>
  </si>
  <si>
    <t>EnvPro17Type</t>
  </si>
  <si>
    <t>EnvProCanCancel</t>
  </si>
  <si>
    <t>EnvPro3CanCancel</t>
  </si>
  <si>
    <t>EnvPro4CanCancel</t>
  </si>
  <si>
    <t>EnvPro5CanCancel</t>
  </si>
  <si>
    <t>EnvPro6CanCancel</t>
  </si>
  <si>
    <t>EnvPro7CanCancel</t>
  </si>
  <si>
    <t>EnvPro8CanCancel</t>
  </si>
  <si>
    <t>EnvPro9CanCancel</t>
  </si>
  <si>
    <t>EnvPro10CanCancel</t>
  </si>
  <si>
    <t>EnvPro11CanCancel</t>
  </si>
  <si>
    <t>EnvPro12CanCancel</t>
  </si>
  <si>
    <t>EnvPro13CanCancel</t>
  </si>
  <si>
    <t>EnvPro14CanCancel</t>
  </si>
  <si>
    <t>EnvPro15CanCancel</t>
  </si>
  <si>
    <t>EnvPro16CanCancel</t>
  </si>
  <si>
    <t>EnvPro17CanCancel</t>
  </si>
  <si>
    <t>DefPro</t>
  </si>
  <si>
    <t>DefPro3</t>
  </si>
  <si>
    <t>DefPro5</t>
  </si>
  <si>
    <t>DefPro6</t>
  </si>
  <si>
    <t>DefPro7</t>
  </si>
  <si>
    <t>DefPro8</t>
  </si>
  <si>
    <t>DefPro9</t>
  </si>
  <si>
    <t>DefPro10</t>
  </si>
  <si>
    <t>DefPro11</t>
  </si>
  <si>
    <t>DefPro12</t>
  </si>
  <si>
    <t>DefPro13</t>
  </si>
  <si>
    <t>DefPro14</t>
  </si>
  <si>
    <t>DefPro15</t>
  </si>
  <si>
    <t>DefPro16</t>
  </si>
  <si>
    <t>DefPro17</t>
  </si>
  <si>
    <t>DefPro18</t>
  </si>
  <si>
    <t>DefPro19</t>
  </si>
  <si>
    <t>DefPro20</t>
  </si>
  <si>
    <t>DefPro21</t>
  </si>
  <si>
    <t>DefPro22</t>
  </si>
  <si>
    <t>DefPro23</t>
  </si>
  <si>
    <t>DefPro24</t>
  </si>
  <si>
    <t>DefProDone</t>
  </si>
  <si>
    <t>DefPro3Done</t>
  </si>
  <si>
    <t>DefPro4Done</t>
  </si>
  <si>
    <t>DefPro5Done</t>
  </si>
  <si>
    <t>DefPro6Done</t>
  </si>
  <si>
    <t>DefPro7Done</t>
  </si>
  <si>
    <t>DefPro8Done</t>
  </si>
  <si>
    <t>DefPro9Done</t>
  </si>
  <si>
    <t>DefPro10Done</t>
  </si>
  <si>
    <t>DefPro11Done</t>
  </si>
  <si>
    <t>DefPro12Done</t>
  </si>
  <si>
    <t>DefPro13Done</t>
  </si>
  <si>
    <t>DefPro14Done</t>
  </si>
  <si>
    <t>DefPro15Done</t>
  </si>
  <si>
    <t>DefPro16Done</t>
  </si>
  <si>
    <t>DefPro17Done</t>
  </si>
  <si>
    <t>DefProShow</t>
  </si>
  <si>
    <t>DefPro3Show</t>
  </si>
  <si>
    <t>DefPro4Show</t>
  </si>
  <si>
    <t>DefPro5Show</t>
  </si>
  <si>
    <t>DefPro6Show</t>
  </si>
  <si>
    <t>DefPro7Show</t>
  </si>
  <si>
    <t>DefPro8Show</t>
  </si>
  <si>
    <t>DefPro9Show</t>
  </si>
  <si>
    <t>DefPro10Show</t>
  </si>
  <si>
    <t>DefPro11Show</t>
  </si>
  <si>
    <t>DefPro12Show</t>
  </si>
  <si>
    <t>DefPro13Show</t>
  </si>
  <si>
    <t>DefPro14Show</t>
  </si>
  <si>
    <t>DefPro15Show</t>
  </si>
  <si>
    <t>DefPro16Show</t>
  </si>
  <si>
    <t>DefPro17Show</t>
  </si>
  <si>
    <t>DefPro18Show</t>
  </si>
  <si>
    <t>DefPro19Show</t>
  </si>
  <si>
    <t>DefPro20Show</t>
  </si>
  <si>
    <t>DefPro21Show</t>
  </si>
  <si>
    <t>DefPro22Show</t>
  </si>
  <si>
    <t>DefPro23Show</t>
  </si>
  <si>
    <t>DefPro24Show</t>
  </si>
  <si>
    <t>DefProNew</t>
  </si>
  <si>
    <t>DefPro3New</t>
  </si>
  <si>
    <t>DefPro4New</t>
  </si>
  <si>
    <t>DefPro5New</t>
  </si>
  <si>
    <t>DefPro6New</t>
  </si>
  <si>
    <t>DefPro7New</t>
  </si>
  <si>
    <t>DefPro8New</t>
  </si>
  <si>
    <t>DefPro9New</t>
  </si>
  <si>
    <t>DefPro10New</t>
  </si>
  <si>
    <t>DefPro11New</t>
  </si>
  <si>
    <t>DefPro12New</t>
  </si>
  <si>
    <t>DefPro13New</t>
  </si>
  <si>
    <t>DefPro14New</t>
  </si>
  <si>
    <t>DefPro15New</t>
  </si>
  <si>
    <t>DefPro16New</t>
  </si>
  <si>
    <t>DefPro17New</t>
  </si>
  <si>
    <t>DefPro18New</t>
  </si>
  <si>
    <t>DefPro19New</t>
  </si>
  <si>
    <t>DefPro20New</t>
  </si>
  <si>
    <t>DefPro21New</t>
  </si>
  <si>
    <t>DefPro22New</t>
  </si>
  <si>
    <t>DefPro23New</t>
  </si>
  <si>
    <t>DefPro24New</t>
  </si>
  <si>
    <t>DefProSort</t>
  </si>
  <si>
    <t>DefPro3Sort</t>
  </si>
  <si>
    <t>DefPro4Sort</t>
  </si>
  <si>
    <t>DefPro5Sort</t>
  </si>
  <si>
    <t>DefPro6Sort</t>
  </si>
  <si>
    <t>DefPro7Sort</t>
  </si>
  <si>
    <t>DefPro8Sort</t>
  </si>
  <si>
    <t>DefPro9Sort</t>
  </si>
  <si>
    <t>DefPro10Sort</t>
  </si>
  <si>
    <t>DefPro11Sort</t>
  </si>
  <si>
    <t>DefPro12Sort</t>
  </si>
  <si>
    <t>DefPro13Sort</t>
  </si>
  <si>
    <t>DefPro14Sort</t>
  </si>
  <si>
    <t>DefPro15Sort</t>
  </si>
  <si>
    <t>DefPro16Sort</t>
  </si>
  <si>
    <t>DefPro17Sort</t>
  </si>
  <si>
    <t>DefPro18Sort</t>
  </si>
  <si>
    <t>DefPro19Sort</t>
  </si>
  <si>
    <t>DefPro20Sort</t>
  </si>
  <si>
    <t>DefPro21Sort</t>
  </si>
  <si>
    <t>DefPro22Sort</t>
  </si>
  <si>
    <t>DefPro23Sort</t>
  </si>
  <si>
    <t>DefPro24Sort</t>
  </si>
  <si>
    <t>DefProDecidedlastyr</t>
  </si>
  <si>
    <t>DefPro3Decidedlastyr</t>
  </si>
  <si>
    <t>DefPro4Decidedlastyr</t>
  </si>
  <si>
    <t>DefPro5Decidedlastyr</t>
  </si>
  <si>
    <t>DefPro6Decidedlastyr</t>
  </si>
  <si>
    <t>DefPro7Decidedlastyr</t>
  </si>
  <si>
    <t>DefPro8Decidedlastyr</t>
  </si>
  <si>
    <t>DefPro9Decidedlastyr</t>
  </si>
  <si>
    <t>DefPro10Decidedlastyr</t>
  </si>
  <si>
    <t>DefPro11Decidedlastyr</t>
  </si>
  <si>
    <t>DefPro12Decidedlastyr</t>
  </si>
  <si>
    <t>DefPro13Decidedlastyr</t>
  </si>
  <si>
    <t>DefPro14Decidedlastyr</t>
  </si>
  <si>
    <t>DefPro15Decidedlastyr</t>
  </si>
  <si>
    <t>DefPro16Decidedlastyr</t>
  </si>
  <si>
    <t>DefPro17Decidedlastyr</t>
  </si>
  <si>
    <t>DefPro18Decidedlastyr</t>
  </si>
  <si>
    <t>DefPro19Decidedlastyr</t>
  </si>
  <si>
    <t>DefPro20Decidedlastyr</t>
  </si>
  <si>
    <t>DefPro21Decidedlastyr</t>
  </si>
  <si>
    <t>DefPro22Decidedlastyr</t>
  </si>
  <si>
    <t>DefPro23Decidedlastyr</t>
  </si>
  <si>
    <t>DefPro24Decidedlastyr</t>
  </si>
  <si>
    <t>DefProDecided2yrsago</t>
  </si>
  <si>
    <t>DefPro3Decided2yrsago</t>
  </si>
  <si>
    <t>DefPro4Decided2yrsago</t>
  </si>
  <si>
    <t>DefPro5Decided2yrsago</t>
  </si>
  <si>
    <t>DefPro6Decided2yrsago</t>
  </si>
  <si>
    <t>DefPro7Decided2yrsago</t>
  </si>
  <si>
    <t>DefPro8Decided2yrsago</t>
  </si>
  <si>
    <t>DefPro9Decided2yrsago</t>
  </si>
  <si>
    <t>DefPro10Decided2yrsago</t>
  </si>
  <si>
    <t>DefPro11Decided2yrsago</t>
  </si>
  <si>
    <t>DefPro12Decided2yrsago</t>
  </si>
  <si>
    <t>DefPro13Decided2yrsago</t>
  </si>
  <si>
    <t>DefPro14Decided2yrsago</t>
  </si>
  <si>
    <t>DefPro15Decided2yrsago</t>
  </si>
  <si>
    <t>DefPro16Decided2yrsago</t>
  </si>
  <si>
    <t>DefPro17Decided2yrsago</t>
  </si>
  <si>
    <t>DefPro18Decided2yrsago</t>
  </si>
  <si>
    <t>DefPro19Decided2yrsago</t>
  </si>
  <si>
    <t>DefPro20Decided2yrsago</t>
  </si>
  <si>
    <t>DefPro21Decided2yrsago</t>
  </si>
  <si>
    <t>DefPro22Decided2yrsago</t>
  </si>
  <si>
    <t>DefPro23Decided2yrsago</t>
  </si>
  <si>
    <t>DefPro24Decided2yrsago</t>
  </si>
  <si>
    <t>DefPro3Cost</t>
  </si>
  <si>
    <t>DefPro4Cost</t>
  </si>
  <si>
    <t>DefPro5Cost</t>
  </si>
  <si>
    <t>DefPro6Cost</t>
  </si>
  <si>
    <t>DefPro7Cost</t>
  </si>
  <si>
    <t>DefPro8Cost</t>
  </si>
  <si>
    <t>DefPro9Cost</t>
  </si>
  <si>
    <t>DefPro10Cost</t>
  </si>
  <si>
    <t>DefPro11Cost</t>
  </si>
  <si>
    <t>DefPro12Cost</t>
  </si>
  <si>
    <t>DefPro13Cost</t>
  </si>
  <si>
    <t>DefPro14Cost</t>
  </si>
  <si>
    <t>DefPro15Cost</t>
  </si>
  <si>
    <t>DefPro16Cost</t>
  </si>
  <si>
    <t>DefPro17Cost</t>
  </si>
  <si>
    <t>DefPro18Cost</t>
  </si>
  <si>
    <t>DefPro19Cost</t>
  </si>
  <si>
    <t>DefPro20Cost</t>
  </si>
  <si>
    <t>DefPro21Cost</t>
  </si>
  <si>
    <t>DefPro22Cost</t>
  </si>
  <si>
    <t>DefPro23Cost</t>
  </si>
  <si>
    <t>DefPro24Cost</t>
  </si>
  <si>
    <t>DefProCostValue</t>
  </si>
  <si>
    <t>DefPro3CostValue</t>
  </si>
  <si>
    <t>DefPro4CostValue</t>
  </si>
  <si>
    <t>DefPro5CostValue</t>
  </si>
  <si>
    <t>DefPro6CostValue</t>
  </si>
  <si>
    <t>DefPro7CostValue</t>
  </si>
  <si>
    <t>DefPro8CostValue</t>
  </si>
  <si>
    <t>DefPro9CostValue</t>
  </si>
  <si>
    <t>DefPro10CostValue</t>
  </si>
  <si>
    <t>DefPro11CostValue</t>
  </si>
  <si>
    <t>DefPro12CostValue</t>
  </si>
  <si>
    <t>DefPro13CostValue</t>
  </si>
  <si>
    <t>DefPro14CostValue</t>
  </si>
  <si>
    <t>DefPro15CostValue</t>
  </si>
  <si>
    <t>DefPro16CostValue</t>
  </si>
  <si>
    <t>DefPro17CostValue</t>
  </si>
  <si>
    <t>DefPro18CostValue</t>
  </si>
  <si>
    <t>DefPro19CostValue</t>
  </si>
  <si>
    <t>DefPro20CostValue</t>
  </si>
  <si>
    <t>DefPro21CostValue</t>
  </si>
  <si>
    <t>DefPro22CostValue</t>
  </si>
  <si>
    <t>DefPro23CostValue</t>
  </si>
  <si>
    <t>DefPro24CostValue</t>
  </si>
  <si>
    <t>DefProReasoning</t>
  </si>
  <si>
    <t>DefPro3Reasoning</t>
  </si>
  <si>
    <t>DefPro4Reasoning</t>
  </si>
  <si>
    <t>DefPro5Reasoning</t>
  </si>
  <si>
    <t>DefPro6Reasoning</t>
  </si>
  <si>
    <t>DefPro7Reasoning</t>
  </si>
  <si>
    <t>DefPro8Reasoning</t>
  </si>
  <si>
    <t>DefPro9Reasoning</t>
  </si>
  <si>
    <t>DefPro10Reasoning</t>
  </si>
  <si>
    <t>DefPro11Reasoning</t>
  </si>
  <si>
    <t>DefPro12Reasoning</t>
  </si>
  <si>
    <t>DefPro13Reasoning</t>
  </si>
  <si>
    <t>DefPro14Reasoning</t>
  </si>
  <si>
    <t>DefPro15Reasoning</t>
  </si>
  <si>
    <t>DefPro16Reasoning</t>
  </si>
  <si>
    <t>DefPro17Reasoning</t>
  </si>
  <si>
    <t>DefPro18Reasoning</t>
  </si>
  <si>
    <t>DefPro19Reasoning</t>
  </si>
  <si>
    <t>DefPro20Reasoning</t>
  </si>
  <si>
    <t>DefPro21Reasoning</t>
  </si>
  <si>
    <t>DefPro22Reasoning</t>
  </si>
  <si>
    <t>DefPro23Reasoning</t>
  </si>
  <si>
    <t>DefPro24Reasoning</t>
  </si>
  <si>
    <t>DefProResponse</t>
  </si>
  <si>
    <t>DefPro3Response</t>
  </si>
  <si>
    <t>DefPro4Response</t>
  </si>
  <si>
    <t>DefPro5Response</t>
  </si>
  <si>
    <t>DefPro6Response</t>
  </si>
  <si>
    <t>DefPro7Response</t>
  </si>
  <si>
    <t>DefPro8Response</t>
  </si>
  <si>
    <t>DefPro9Response</t>
  </si>
  <si>
    <t>DefPro10Response</t>
  </si>
  <si>
    <t>DefPro11Response</t>
  </si>
  <si>
    <t>DefPro12Response</t>
  </si>
  <si>
    <t>DefPro13Response</t>
  </si>
  <si>
    <t>DefPro14Response</t>
  </si>
  <si>
    <t>DefPro15Response</t>
  </si>
  <si>
    <t>DefPro16Response</t>
  </si>
  <si>
    <t>DefPro17Response</t>
  </si>
  <si>
    <t>DefPro18Response</t>
  </si>
  <si>
    <t>DefPro19Response</t>
  </si>
  <si>
    <t>DefPro20Response</t>
  </si>
  <si>
    <t>DefPro21Response</t>
  </si>
  <si>
    <t>DefPro22Response</t>
  </si>
  <si>
    <t>DefPro23Response</t>
  </si>
  <si>
    <t>DefPro24Response</t>
  </si>
  <si>
    <t>DefProYearSelected</t>
  </si>
  <si>
    <t>DefPro3YearSelected</t>
  </si>
  <si>
    <t>DefPro4YearSelected</t>
  </si>
  <si>
    <t>DefPro5YearSelected</t>
  </si>
  <si>
    <t>DefPro6YearSelected</t>
  </si>
  <si>
    <t>DefPro7YearSelected</t>
  </si>
  <si>
    <t>DefPro8YearSelected</t>
  </si>
  <si>
    <t>DefPro9YearSelected</t>
  </si>
  <si>
    <t>DefPro10YearSelected</t>
  </si>
  <si>
    <t>DefPro11YearSelected</t>
  </si>
  <si>
    <t>DefPro12YearSelected</t>
  </si>
  <si>
    <t>DefPro13YearSelected</t>
  </si>
  <si>
    <t>DefPro14YearSelected</t>
  </si>
  <si>
    <t>DefPro15YearSelected</t>
  </si>
  <si>
    <t>DefPro16YearSelected</t>
  </si>
  <si>
    <t>DefPro17YearSelected</t>
  </si>
  <si>
    <t>DefPro18YearSelected</t>
  </si>
  <si>
    <t>DefPro19YearSelected</t>
  </si>
  <si>
    <t>DefPro20YearSelected</t>
  </si>
  <si>
    <t>DefPro21YearSelected</t>
  </si>
  <si>
    <t>DefPro22YearSelected</t>
  </si>
  <si>
    <t>DefPro23YearSelected</t>
  </si>
  <si>
    <t>DefPro24YearSelected</t>
  </si>
  <si>
    <t>DefProType</t>
  </si>
  <si>
    <t>DefPro3Type</t>
  </si>
  <si>
    <t>DefPro4Type</t>
  </si>
  <si>
    <t>DefPro5Type</t>
  </si>
  <si>
    <t>DefPro6Type</t>
  </si>
  <si>
    <t>DefPro7Type</t>
  </si>
  <si>
    <t>DefPro8Type</t>
  </si>
  <si>
    <t>DefPro9Type</t>
  </si>
  <si>
    <t>DefPro10Type</t>
  </si>
  <si>
    <t>DefPro11Type</t>
  </si>
  <si>
    <t>DefPro12Type</t>
  </si>
  <si>
    <t>DefPro13Type</t>
  </si>
  <si>
    <t>DefPro14Type</t>
  </si>
  <si>
    <t>DefPro15Type</t>
  </si>
  <si>
    <t>DefPro16Type</t>
  </si>
  <si>
    <t>DefPro17Type</t>
  </si>
  <si>
    <t>DefProCanCancel</t>
  </si>
  <si>
    <t>DefPro3CanCancel</t>
  </si>
  <si>
    <t>DefPro4CanCancel</t>
  </si>
  <si>
    <t>DefPro5CanCancel</t>
  </si>
  <si>
    <t>DefPro6CanCancel</t>
  </si>
  <si>
    <t>DefPro7CanCancel</t>
  </si>
  <si>
    <t>DefPro8CanCancel</t>
  </si>
  <si>
    <t>DefPro9CanCancel</t>
  </si>
  <si>
    <t>DefPro10CanCancel</t>
  </si>
  <si>
    <t>DefPro11CanCancel</t>
  </si>
  <si>
    <t>DefPro12CanCancel</t>
  </si>
  <si>
    <t>DefPro13CanCancel</t>
  </si>
  <si>
    <t>DefPro14CanCancel</t>
  </si>
  <si>
    <t>DefPro15CanCancel</t>
  </si>
  <si>
    <t>DefPro16CanCancel</t>
  </si>
  <si>
    <t>DefPro17CanCancel</t>
  </si>
  <si>
    <t>EduPro</t>
  </si>
  <si>
    <t>EduPro3</t>
  </si>
  <si>
    <t>EduPro4</t>
  </si>
  <si>
    <t>EduPro5</t>
  </si>
  <si>
    <t>EduPro6</t>
  </si>
  <si>
    <t>EduPro7</t>
  </si>
  <si>
    <t>EduPro8</t>
  </si>
  <si>
    <t>EduPro9</t>
  </si>
  <si>
    <t>EduPro10</t>
  </si>
  <si>
    <t>EduPro11</t>
  </si>
  <si>
    <t>EduPro12</t>
  </si>
  <si>
    <t>EduPro13</t>
  </si>
  <si>
    <t>EduPro14</t>
  </si>
  <si>
    <t>EduPro15</t>
  </si>
  <si>
    <t>EduPro16</t>
  </si>
  <si>
    <t>EduPro17</t>
  </si>
  <si>
    <t>EduPro18</t>
  </si>
  <si>
    <t>EduPro19</t>
  </si>
  <si>
    <t>EduPro20</t>
  </si>
  <si>
    <t>EduPro21</t>
  </si>
  <si>
    <t>EduPro22</t>
  </si>
  <si>
    <t>EduPro23</t>
  </si>
  <si>
    <t>EduPro24</t>
  </si>
  <si>
    <t>EduProDone</t>
  </si>
  <si>
    <t>EduPro3Done</t>
  </si>
  <si>
    <t>EduPro4Done</t>
  </si>
  <si>
    <t>EduPro5Done</t>
  </si>
  <si>
    <t>EduPro6Done</t>
  </si>
  <si>
    <t>EduPro7Done</t>
  </si>
  <si>
    <t>EduPro8Done</t>
  </si>
  <si>
    <t>EduPro9Done</t>
  </si>
  <si>
    <t>EduPro10Done</t>
  </si>
  <si>
    <t>EduPro11Done</t>
  </si>
  <si>
    <t>EduPro12Done</t>
  </si>
  <si>
    <t>EduPro13Done</t>
  </si>
  <si>
    <t>EduPro14Done</t>
  </si>
  <si>
    <t>EduPro15Done</t>
  </si>
  <si>
    <t>EduPro16Done</t>
  </si>
  <si>
    <t>EduPro17Done</t>
  </si>
  <si>
    <t>EduProShow</t>
  </si>
  <si>
    <t>EduPro3Show</t>
  </si>
  <si>
    <t>EduPro4Show</t>
  </si>
  <si>
    <t>EduPro5Show</t>
  </si>
  <si>
    <t>EduPro6Show</t>
  </si>
  <si>
    <t>EduPro7Show</t>
  </si>
  <si>
    <t>EduPro8Show</t>
  </si>
  <si>
    <t>EduPro9Show</t>
  </si>
  <si>
    <t>EduPro10Show</t>
  </si>
  <si>
    <t>EduPro11Show</t>
  </si>
  <si>
    <t>EduPro12Show</t>
  </si>
  <si>
    <t>EduPro13Show</t>
  </si>
  <si>
    <t>EduPro14Show</t>
  </si>
  <si>
    <t>EduPro15Show</t>
  </si>
  <si>
    <t>EduPro16Show</t>
  </si>
  <si>
    <t>EduPro17Show</t>
  </si>
  <si>
    <t>EduPro18Show</t>
  </si>
  <si>
    <t>EduPro19Show</t>
  </si>
  <si>
    <t>EduPro20Show</t>
  </si>
  <si>
    <t>EduPro21Show</t>
  </si>
  <si>
    <t>EduPro22Show</t>
  </si>
  <si>
    <t>EduPro23Show</t>
  </si>
  <si>
    <t>EduPro24Show</t>
  </si>
  <si>
    <t>EduProNew</t>
  </si>
  <si>
    <t>EduPro3New</t>
  </si>
  <si>
    <t>EduPro4New</t>
  </si>
  <si>
    <t>EduPro5New</t>
  </si>
  <si>
    <t>EduPro6New</t>
  </si>
  <si>
    <t>EduPro7New</t>
  </si>
  <si>
    <t>EduPro8New</t>
  </si>
  <si>
    <t>EduPro9New</t>
  </si>
  <si>
    <t>EduPro10New</t>
  </si>
  <si>
    <t>EduPro11New</t>
  </si>
  <si>
    <t>EduPro12New</t>
  </si>
  <si>
    <t>EduPro13New</t>
  </si>
  <si>
    <t>EduPro14New</t>
  </si>
  <si>
    <t>EduPro15New</t>
  </si>
  <si>
    <t>EduPro16New</t>
  </si>
  <si>
    <t>EduPro17New</t>
  </si>
  <si>
    <t>EduPro18New</t>
  </si>
  <si>
    <t>EduPro19New</t>
  </si>
  <si>
    <t>EduPro20New</t>
  </si>
  <si>
    <t>EduPro21New</t>
  </si>
  <si>
    <t>EduPro22New</t>
  </si>
  <si>
    <t>EduPro23New</t>
  </si>
  <si>
    <t>EduPro24New</t>
  </si>
  <si>
    <t>EduProSort</t>
  </si>
  <si>
    <t>EduPro3Sort</t>
  </si>
  <si>
    <t>EduPro4Sort</t>
  </si>
  <si>
    <t>EduPro5Sort</t>
  </si>
  <si>
    <t>EduPro6Sort</t>
  </si>
  <si>
    <t>EduPro7Sort</t>
  </si>
  <si>
    <t>EduPro8Sort</t>
  </si>
  <si>
    <t>EduPro9Sort</t>
  </si>
  <si>
    <t>EduPro10Sort</t>
  </si>
  <si>
    <t>EduPro11Sort</t>
  </si>
  <si>
    <t>EduPro12Sort</t>
  </si>
  <si>
    <t>EduPro13Sort</t>
  </si>
  <si>
    <t>EduPro14Sort</t>
  </si>
  <si>
    <t>EduPro15Sort</t>
  </si>
  <si>
    <t>EduPro16Sort</t>
  </si>
  <si>
    <t>EduPro17Sort</t>
  </si>
  <si>
    <t>EduPro18Sort</t>
  </si>
  <si>
    <t>EduPro19Sort</t>
  </si>
  <si>
    <t>EduPro20Sort</t>
  </si>
  <si>
    <t>EduPro21Sort</t>
  </si>
  <si>
    <t>EduPro22Sort</t>
  </si>
  <si>
    <t>EduPro23Sort</t>
  </si>
  <si>
    <t>EduPro24Sort</t>
  </si>
  <si>
    <t>EduProDecidedlastyr</t>
  </si>
  <si>
    <t>EduPro3Decidedlastyr</t>
  </si>
  <si>
    <t>EduPro4Decidedlastyr</t>
  </si>
  <si>
    <t>EduPro5Decidedlastyr</t>
  </si>
  <si>
    <t>EduPro6Decidedlastyr</t>
  </si>
  <si>
    <t>EduPro7Decidedlastyr</t>
  </si>
  <si>
    <t>EduPro8Decidedlastyr</t>
  </si>
  <si>
    <t>EduPro9Decidedlastyr</t>
  </si>
  <si>
    <t>EduPro10Decidedlastyr</t>
  </si>
  <si>
    <t>EduPro11Decidedlastyr</t>
  </si>
  <si>
    <t>EduPro12Decidedlastyr</t>
  </si>
  <si>
    <t>EduPro13Decidedlastyr</t>
  </si>
  <si>
    <t>EduPro14Decidedlastyr</t>
  </si>
  <si>
    <t>EduPro15Decidedlastyr</t>
  </si>
  <si>
    <t>EduPro16Decidedlastyr</t>
  </si>
  <si>
    <t>EduPro17Decidedlastyr</t>
  </si>
  <si>
    <t>EduPro18Decidedlastyr</t>
  </si>
  <si>
    <t>EduPro19Decidedlastyr</t>
  </si>
  <si>
    <t>EduPro20Decidedlastyr</t>
  </si>
  <si>
    <t>EduPro21Decidedlastyr</t>
  </si>
  <si>
    <t>EduPro22Decidedlastyr</t>
  </si>
  <si>
    <t>EduPro23Decidedlastyr</t>
  </si>
  <si>
    <t>EduPro24Decidedlastyr</t>
  </si>
  <si>
    <t>EduProDecided2yrsago</t>
  </si>
  <si>
    <t>EduPro3Decided2yrsago</t>
  </si>
  <si>
    <t>EduPro4Decided2yrsago</t>
  </si>
  <si>
    <t>EduPro5Decided2yrsago</t>
  </si>
  <si>
    <t>EduPro6Decided2yrsago</t>
  </si>
  <si>
    <t>EduPro7Decided2yrsago</t>
  </si>
  <si>
    <t>EduPro8Decided2yrsago</t>
  </si>
  <si>
    <t>EduPro9Decided2yrsago</t>
  </si>
  <si>
    <t>EduPro10Decided2yrsago</t>
  </si>
  <si>
    <t>EduPro11Decided2yrsago</t>
  </si>
  <si>
    <t>EduPro12Decided2yrsago</t>
  </si>
  <si>
    <t>EduPro13Decided2yrsago</t>
  </si>
  <si>
    <t>EduPro14Decided2yrsago</t>
  </si>
  <si>
    <t>EduPro15Decided2yrsago</t>
  </si>
  <si>
    <t>EduPro16Decided2yrsago</t>
  </si>
  <si>
    <t>EduPro17Decided2yrsago</t>
  </si>
  <si>
    <t>EduPro18Decided2yrsago</t>
  </si>
  <si>
    <t>EduPro19Decided2yrsago</t>
  </si>
  <si>
    <t>EduPro20Decided2yrsago</t>
  </si>
  <si>
    <t>EduPro21Decided2yrsago</t>
  </si>
  <si>
    <t>EduPro22Decided2yrsago</t>
  </si>
  <si>
    <t>EduPro23Decided2yrsago</t>
  </si>
  <si>
    <t>EduPro24Decided2yrsago</t>
  </si>
  <si>
    <t>EduPro3Cost</t>
  </si>
  <si>
    <t>EduPro4Cost</t>
  </si>
  <si>
    <t>EduPro5Cost</t>
  </si>
  <si>
    <t>EduPro6Cost</t>
  </si>
  <si>
    <t>EduPro7Cost</t>
  </si>
  <si>
    <t>EduPro8Cost</t>
  </si>
  <si>
    <t>EduPro9Cost</t>
  </si>
  <si>
    <t>EduPro10Cost</t>
  </si>
  <si>
    <t>EduPro11Cost</t>
  </si>
  <si>
    <t>EduPro12Cost</t>
  </si>
  <si>
    <t>EduPro13Cost</t>
  </si>
  <si>
    <t>EduPro14Cost</t>
  </si>
  <si>
    <t>EduPro15Cost</t>
  </si>
  <si>
    <t>EduPro16Cost</t>
  </si>
  <si>
    <t>EduPro17Cost</t>
  </si>
  <si>
    <t>EduPro18Cost</t>
  </si>
  <si>
    <t>EduPro19Cost</t>
  </si>
  <si>
    <t>EduPro20Cost</t>
  </si>
  <si>
    <t>EduPro21Cost</t>
  </si>
  <si>
    <t>EduPro22Cost</t>
  </si>
  <si>
    <t>EduPro23Cost</t>
  </si>
  <si>
    <t>EduPro24Cost</t>
  </si>
  <si>
    <t>EduProCostValue</t>
  </si>
  <si>
    <t>EduPro3CostValue</t>
  </si>
  <si>
    <t>EduPro4CostValue</t>
  </si>
  <si>
    <t>EduPro5CostValue</t>
  </si>
  <si>
    <t>EduPro6CostValue</t>
  </si>
  <si>
    <t>EduPro7CostValue</t>
  </si>
  <si>
    <t>EduPro8CostValue</t>
  </si>
  <si>
    <t>EduPro9CostValue</t>
  </si>
  <si>
    <t>EduPro10CostValue</t>
  </si>
  <si>
    <t>EduPro11CostValue</t>
  </si>
  <si>
    <t>EduPro12CostValue</t>
  </si>
  <si>
    <t>EduPro13CostValue</t>
  </si>
  <si>
    <t>EduPro14CostValue</t>
  </si>
  <si>
    <t>EduPro15CostValue</t>
  </si>
  <si>
    <t>EduPro16CostValue</t>
  </si>
  <si>
    <t>EduPro17CostValue</t>
  </si>
  <si>
    <t>EduPro18CostValue</t>
  </si>
  <si>
    <t>EduPro19CostValue</t>
  </si>
  <si>
    <t>EduPro20CostValue</t>
  </si>
  <si>
    <t>EduPro21CostValue</t>
  </si>
  <si>
    <t>EduPro22CostValue</t>
  </si>
  <si>
    <t>EduPro23CostValue</t>
  </si>
  <si>
    <t>EduPro24CostValue</t>
  </si>
  <si>
    <t>EduProReasoning</t>
  </si>
  <si>
    <t>EduPro3Reasoning</t>
  </si>
  <si>
    <t>EduPro4Reasoning</t>
  </si>
  <si>
    <t>EduPro5Reasoning</t>
  </si>
  <si>
    <t>EduPro6Reasoning</t>
  </si>
  <si>
    <t>EduPro7Reasoning</t>
  </si>
  <si>
    <t>EduPro8Reasoning</t>
  </si>
  <si>
    <t>EduPro9Reasoning</t>
  </si>
  <si>
    <t>EduPro10Reasoning</t>
  </si>
  <si>
    <t>EduPro11Reasoning</t>
  </si>
  <si>
    <t>EduPro12Reasoning</t>
  </si>
  <si>
    <t>EduPro13Reasoning</t>
  </si>
  <si>
    <t>EduPro14Reasoning</t>
  </si>
  <si>
    <t>EduPro15Reasoning</t>
  </si>
  <si>
    <t>EduPro16Reasoning</t>
  </si>
  <si>
    <t>EduPro17Reasoning</t>
  </si>
  <si>
    <t>EduPro18Reasoning</t>
  </si>
  <si>
    <t>EduPro19Reasoning</t>
  </si>
  <si>
    <t>EduPro20Reasoning</t>
  </si>
  <si>
    <t>EduPro21Reasoning</t>
  </si>
  <si>
    <t>EduPro22Reasoning</t>
  </si>
  <si>
    <t>EduPro23Reasoning</t>
  </si>
  <si>
    <t>EduPro24Reasoning</t>
  </si>
  <si>
    <t>EduProResponse</t>
  </si>
  <si>
    <t>EduPro3Response</t>
  </si>
  <si>
    <t>EduPro4Response</t>
  </si>
  <si>
    <t>EduPro5Response</t>
  </si>
  <si>
    <t>EduPro6Response</t>
  </si>
  <si>
    <t>EduPro7Response</t>
  </si>
  <si>
    <t>EduPro8Response</t>
  </si>
  <si>
    <t>EduPro9Response</t>
  </si>
  <si>
    <t>EduPro10Response</t>
  </si>
  <si>
    <t>EduPro11Response</t>
  </si>
  <si>
    <t>EduPro12Response</t>
  </si>
  <si>
    <t>EduPro13Response</t>
  </si>
  <si>
    <t>EduPro14Response</t>
  </si>
  <si>
    <t>EduPro15Response</t>
  </si>
  <si>
    <t>EduPro16Response</t>
  </si>
  <si>
    <t>EduPro17Response</t>
  </si>
  <si>
    <t>EduPro18Response</t>
  </si>
  <si>
    <t>EduPro19Response</t>
  </si>
  <si>
    <t>EduPro20Response</t>
  </si>
  <si>
    <t>EduPro21Response</t>
  </si>
  <si>
    <t>EduPro22Response</t>
  </si>
  <si>
    <t>EduPro23Response</t>
  </si>
  <si>
    <t>EduPro24Response</t>
  </si>
  <si>
    <t>EduProYearSelected</t>
  </si>
  <si>
    <t>EduPro3YearSelected</t>
  </si>
  <si>
    <t>EduPro4YearSelected</t>
  </si>
  <si>
    <t>EduPro5YearSelected</t>
  </si>
  <si>
    <t>EduPro6YearSelected</t>
  </si>
  <si>
    <t>EduPro7YearSelected</t>
  </si>
  <si>
    <t>EduPro8YearSelected</t>
  </si>
  <si>
    <t>EduPro9YearSelected</t>
  </si>
  <si>
    <t>EduPro10YearSelected</t>
  </si>
  <si>
    <t>EduPro11YearSelected</t>
  </si>
  <si>
    <t>EduPro12YearSelected</t>
  </si>
  <si>
    <t>EduPro13YearSelected</t>
  </si>
  <si>
    <t>EduPro14YearSelected</t>
  </si>
  <si>
    <t>EduPro15YearSelected</t>
  </si>
  <si>
    <t>EduPro16YearSelected</t>
  </si>
  <si>
    <t>EduPro17YearSelected</t>
  </si>
  <si>
    <t>EduPro18YearSelected</t>
  </si>
  <si>
    <t>EduPro19YearSelected</t>
  </si>
  <si>
    <t>EduPro20YearSelected</t>
  </si>
  <si>
    <t>EduPro21YearSelected</t>
  </si>
  <si>
    <t>EduPro22YearSelected</t>
  </si>
  <si>
    <t>EduPro23YearSelected</t>
  </si>
  <si>
    <t>EduPro24YearSelected</t>
  </si>
  <si>
    <t>EduProType</t>
  </si>
  <si>
    <t>EduPro3Type</t>
  </si>
  <si>
    <t>EduPro4Type</t>
  </si>
  <si>
    <t>EduPro5Type</t>
  </si>
  <si>
    <t>EduPro6Type</t>
  </si>
  <si>
    <t>EduPro7Type</t>
  </si>
  <si>
    <t>EduPro8Type</t>
  </si>
  <si>
    <t>EduPro9Type</t>
  </si>
  <si>
    <t>EduPro10Type</t>
  </si>
  <si>
    <t>EduPro11Type</t>
  </si>
  <si>
    <t>EduPro12Type</t>
  </si>
  <si>
    <t>EduPro13Type</t>
  </si>
  <si>
    <t>EduPro14Type</t>
  </si>
  <si>
    <t>EduPro15Type</t>
  </si>
  <si>
    <t>EduPro16Type</t>
  </si>
  <si>
    <t>EduPro17Type</t>
  </si>
  <si>
    <t>EduProCanCancel</t>
  </si>
  <si>
    <t>EduPro3CanCancel</t>
  </si>
  <si>
    <t>EduPro4CanCancel</t>
  </si>
  <si>
    <t>EduPro5CanCancel</t>
  </si>
  <si>
    <t>EduPro6CanCancel</t>
  </si>
  <si>
    <t>EduPro7CanCancel</t>
  </si>
  <si>
    <t>EduPro8CanCancel</t>
  </si>
  <si>
    <t>EduPro9CanCancel</t>
  </si>
  <si>
    <t>EduPro10CanCancel</t>
  </si>
  <si>
    <t>EduPro11CanCancel</t>
  </si>
  <si>
    <t>EduPro12CanCancel</t>
  </si>
  <si>
    <t>EduPro13CanCancel</t>
  </si>
  <si>
    <t>EduPro14CanCancel</t>
  </si>
  <si>
    <t>EduPro15CanCancel</t>
  </si>
  <si>
    <t>EduPro16CanCancel</t>
  </si>
  <si>
    <t>EduPro17CanCancel</t>
  </si>
  <si>
    <t>EcosystemIntegrityIndex</t>
  </si>
  <si>
    <t>GrowthWellBeing</t>
  </si>
  <si>
    <t>PrivacyDataProtection</t>
  </si>
  <si>
    <t>CircularityIndex</t>
  </si>
  <si>
    <t>MilitaryTechnologyTradeBalance</t>
  </si>
  <si>
    <t>InstitutionalAdoptionRate</t>
  </si>
  <si>
    <t>EducationScore</t>
  </si>
  <si>
    <t>TrustInGovernment</t>
  </si>
  <si>
    <t>EcosystemIntegrityIndexTarget</t>
  </si>
  <si>
    <t>CircularityIndexTarget</t>
  </si>
  <si>
    <t>InstitutionalAdoptionRateTarget</t>
  </si>
  <si>
    <t>MilitaryTechnologyTradeBalanceTarget</t>
  </si>
  <si>
    <t>copied into TotalScore</t>
  </si>
  <si>
    <t>None</t>
  </si>
  <si>
    <t>LowNeg</t>
  </si>
  <si>
    <t>HighNeg</t>
  </si>
  <si>
    <t>MediumNeg</t>
  </si>
  <si>
    <t>LowPos</t>
  </si>
  <si>
    <t>HighPos</t>
  </si>
  <si>
    <t>MediumPos</t>
  </si>
  <si>
    <t>JobsCreated</t>
  </si>
  <si>
    <t>JobsDisplaced</t>
  </si>
  <si>
    <t>EnergyConsumedFromDataCenters</t>
  </si>
  <si>
    <t>CarbonIntensityFromDataCenters</t>
  </si>
  <si>
    <t>WaterCircularityIndex</t>
  </si>
  <si>
    <t>EwasteCircularityIndex</t>
  </si>
  <si>
    <t>DefenseExports</t>
  </si>
  <si>
    <t>DefenseImports</t>
  </si>
  <si>
    <t>X</t>
  </si>
  <si>
    <t>Impact</t>
  </si>
  <si>
    <t>Level</t>
  </si>
  <si>
    <t>Growth &amp; Welbeing</t>
  </si>
  <si>
    <t>Human Rights</t>
  </si>
  <si>
    <t>Privacy &amp; Data Protection</t>
  </si>
  <si>
    <t>Security &amp; Safety</t>
  </si>
  <si>
    <t xml:space="preserve">Accountability </t>
  </si>
  <si>
    <t>Weight</t>
  </si>
  <si>
    <t>Position</t>
  </si>
  <si>
    <t>Weighted Governance</t>
  </si>
  <si>
    <t>EcBudget</t>
  </si>
  <si>
    <t>EcTotalCost</t>
  </si>
  <si>
    <t>EcBudgetRemaining</t>
  </si>
  <si>
    <t>EcRecurringCost</t>
  </si>
  <si>
    <t>EcInitialCost</t>
  </si>
  <si>
    <t>EcProCostInitial</t>
  </si>
  <si>
    <t>EcProCostRecurring</t>
  </si>
  <si>
    <t>EcProCostRecurringValue</t>
  </si>
  <si>
    <t>EcPro3CostRecurring</t>
  </si>
  <si>
    <t>EcPro3CostRecurringValue</t>
  </si>
  <si>
    <t>EcAvaialbleToAllocate</t>
  </si>
  <si>
    <t>EcNextYearReucurringCost</t>
  </si>
  <si>
    <t>EcPro24CostRecurring</t>
  </si>
  <si>
    <t>EcPro24CostRecurringValue</t>
  </si>
  <si>
    <t>EcPro4CostRecurring</t>
  </si>
  <si>
    <t>EcPro4CostRecurringValue</t>
  </si>
  <si>
    <t>EcPro5CostRecurring</t>
  </si>
  <si>
    <t>EcPro5CostRecurringValue</t>
  </si>
  <si>
    <t>EcPro6CostRecurring</t>
  </si>
  <si>
    <t>EcPro6CostRecurringValue</t>
  </si>
  <si>
    <t>EcPro7CostRecurring</t>
  </si>
  <si>
    <t>EcPro7CostRecurringValue</t>
  </si>
  <si>
    <t>EcPro8CostRecurring</t>
  </si>
  <si>
    <t>EcPro8CostRecurringValue</t>
  </si>
  <si>
    <t>EcPro9CostRecurring</t>
  </si>
  <si>
    <t>EcPro9CostRecurringValue</t>
  </si>
  <si>
    <t>EcPro10CostRecurring</t>
  </si>
  <si>
    <t>EcPro10CostRecurringValue</t>
  </si>
  <si>
    <t>EcPro11CostRecurring</t>
  </si>
  <si>
    <t>EcPro11CostRecurringValue</t>
  </si>
  <si>
    <t>EcPro12CostRecurring</t>
  </si>
  <si>
    <t>EcPro12CostRecurringValue</t>
  </si>
  <si>
    <t>EcPro13CostRecurring</t>
  </si>
  <si>
    <t>EcPro13CostRecurringValue</t>
  </si>
  <si>
    <t>EcPro14CostRecurring</t>
  </si>
  <si>
    <t>EcPro14CostRecurringValue</t>
  </si>
  <si>
    <t>EcPro15CostRecurringValue</t>
  </si>
  <si>
    <t>EcPro15CostRecurring</t>
  </si>
  <si>
    <t>EcPro16CostRecurring</t>
  </si>
  <si>
    <t>EcPro16CostRecurringValue</t>
  </si>
  <si>
    <t>EcPro17CostRecurringValue</t>
  </si>
  <si>
    <t>EcPro17CostRecurring</t>
  </si>
  <si>
    <t>EcPro18CostRecurring</t>
  </si>
  <si>
    <t>EcPro18CostRecurringValue</t>
  </si>
  <si>
    <t>EcPro19CostRecurring</t>
  </si>
  <si>
    <t>EcPro19CostRecurringValue</t>
  </si>
  <si>
    <t>EcPro20CostRecurringValue</t>
  </si>
  <si>
    <t>EcPro20CostRecurring</t>
  </si>
  <si>
    <t>EcPro21CostRecurring</t>
  </si>
  <si>
    <t>EcPro21CostRecurringValue</t>
  </si>
  <si>
    <t>EcPro22CostRecurring</t>
  </si>
  <si>
    <t>EcPro22CostRecurringValue</t>
  </si>
  <si>
    <t>EcPro23CostRecurring</t>
  </si>
  <si>
    <t>EcPro23CostRecurringValue</t>
  </si>
  <si>
    <t>AI in Education Regulatory Sandbox</t>
  </si>
  <si>
    <t>Ministry AI Literacy Training Program</t>
  </si>
  <si>
    <t>National AI Literacy Standard &amp; Certification</t>
  </si>
  <si>
    <t xml:space="preserve">Enforcement of Data Protection Regulations for AI in Education </t>
  </si>
  <si>
    <t>AI Assessment &amp; Academic Integrity Framework</t>
  </si>
  <si>
    <t>International Joint AI Research Fund</t>
  </si>
  <si>
    <t>National Compute Resource for AI Research</t>
  </si>
  <si>
    <t>EduProCostRecurringValue</t>
  </si>
  <si>
    <t>EduProCostRecurring</t>
  </si>
  <si>
    <t>EduPro9CostRecurring</t>
  </si>
  <si>
    <t>EduPro9CostRecurringValue</t>
  </si>
  <si>
    <t>EduPro8CostRecurring</t>
  </si>
  <si>
    <t>EduPro8CostRecurringValue</t>
  </si>
  <si>
    <t>EduPro3CostRecurring</t>
  </si>
  <si>
    <t>EduPro3CostRecurringValue</t>
  </si>
  <si>
    <t>EduPro4CostRecurring</t>
  </si>
  <si>
    <t>EduPro4CostRecurringValue</t>
  </si>
  <si>
    <t>EduPro5CostRecurring</t>
  </si>
  <si>
    <t>EduPro5CostRecurringValue</t>
  </si>
  <si>
    <t>EduPro6CostRecurring</t>
  </si>
  <si>
    <t>EduPro6CostRecurringValue</t>
  </si>
  <si>
    <t>EduPro7CostRecurring</t>
  </si>
  <si>
    <t>EduPro7CostRecurringValue</t>
  </si>
  <si>
    <t>DefProCostRecurring</t>
  </si>
  <si>
    <t>DefProCostRecurringValue</t>
  </si>
  <si>
    <t>DefPro3CostRecurring</t>
  </si>
  <si>
    <t>DefPro3CostRecurringValue</t>
  </si>
  <si>
    <t>DefPro4CostRecurring</t>
  </si>
  <si>
    <t>DefPro4CostRecurringValue</t>
  </si>
  <si>
    <t>DefPro5CostRecurring</t>
  </si>
  <si>
    <t>DefPro5CostRecurringValue</t>
  </si>
  <si>
    <t>DefPro6CostRecurring</t>
  </si>
  <si>
    <t>DefPro6CostRecurringValue</t>
  </si>
  <si>
    <t>DefPro7CostRecurring</t>
  </si>
  <si>
    <t>DefPro7CostRecurringValue</t>
  </si>
  <si>
    <t>DefPro8CostRecurring</t>
  </si>
  <si>
    <t>DefPro8CostRecurringValue</t>
  </si>
  <si>
    <t>DefPro9CostRecurring</t>
  </si>
  <si>
    <t>DefPro9CostRecurringValue</t>
  </si>
  <si>
    <t>AI Regulatory Sandbox</t>
  </si>
  <si>
    <t>Seal for trustworthy AI</t>
  </si>
  <si>
    <t>AI talent visa</t>
  </si>
  <si>
    <t>AI provisions in trade agreements</t>
  </si>
  <si>
    <t>Robot tax</t>
  </si>
  <si>
    <t>Train ministry staff</t>
  </si>
  <si>
    <t>Standards for AI Interoperability</t>
  </si>
  <si>
    <t>AI Defense Ethics and Security Framework</t>
  </si>
  <si>
    <t>UN LAWS Treaty</t>
  </si>
  <si>
    <t>AI Vendor Defense Procurement Standards</t>
  </si>
  <si>
    <t>Allied Defence AI Research and Red Teaming Partnership</t>
  </si>
  <si>
    <t xml:space="preserve">Meaningful Human Control Protocol (HCP) </t>
  </si>
  <si>
    <t>AI-Enabled intelligence, surveillance, and reconnaissance (ISR) Platform</t>
  </si>
  <si>
    <t>EcSlider1</t>
  </si>
  <si>
    <t>EcSlider1LastYear</t>
  </si>
  <si>
    <t>EcSlider1Cost</t>
  </si>
  <si>
    <t>Slider Costs</t>
  </si>
  <si>
    <t>Value</t>
  </si>
  <si>
    <t>Cost</t>
  </si>
  <si>
    <t>EcSlider2</t>
  </si>
  <si>
    <t>EcSlider2LastYear</t>
  </si>
  <si>
    <t>EcSlider2Cost</t>
  </si>
  <si>
    <t>Slider Impacts</t>
  </si>
  <si>
    <t>Policy Impacts</t>
  </si>
  <si>
    <t>EnvProCostInitial</t>
  </si>
  <si>
    <t>EnvProCostRecurring</t>
  </si>
  <si>
    <t>EnvProCostRecurringValue</t>
  </si>
  <si>
    <t>EnvProCost</t>
  </si>
  <si>
    <t>EcProCost</t>
  </si>
  <si>
    <t>EnvPro3CostRecurring</t>
  </si>
  <si>
    <t>EnvPro3CostRecurringValue</t>
  </si>
  <si>
    <t>EnvPro4CostRecurring</t>
  </si>
  <si>
    <t>EnvPro4CostRecurringValue</t>
  </si>
  <si>
    <t>EnvPro5CostRecurring</t>
  </si>
  <si>
    <t>EnvPro5CostRecurringValue</t>
  </si>
  <si>
    <t>EnvPro6CostRecurring</t>
  </si>
  <si>
    <t>EnvPro6CostRecurringValue</t>
  </si>
  <si>
    <t>EnvPro7CostRecurring</t>
  </si>
  <si>
    <t>EnvPro7CostRecurringValue</t>
  </si>
  <si>
    <t>EnvPro8CostRecurring</t>
  </si>
  <si>
    <t>EnvPro8CostRecurringValue</t>
  </si>
  <si>
    <t>EnvPro9CostRecurring</t>
  </si>
  <si>
    <t>EnvPro9CostRecurringValue</t>
  </si>
  <si>
    <t>EnvPro10CostRecurring</t>
  </si>
  <si>
    <t>EnvPro10CostRecurringValue</t>
  </si>
  <si>
    <t>EnvPro11CostRecurringValue</t>
  </si>
  <si>
    <t>EnvPro11CostRecurring</t>
  </si>
  <si>
    <t>EnvPro12CostRecurring</t>
  </si>
  <si>
    <t>EnvPro12CostRecurringValue</t>
  </si>
  <si>
    <t>EnvPro13CostRecurring</t>
  </si>
  <si>
    <t>EnvPro13CostRecurringValue</t>
  </si>
  <si>
    <t>EnvPro14CostRecurring</t>
  </si>
  <si>
    <t>EnvPro14CostRecurringValue</t>
  </si>
  <si>
    <t>EnvPro15CostRecurring</t>
  </si>
  <si>
    <t>EnvPro15CostRecurringValue</t>
  </si>
  <si>
    <t>EnvPro16CostRecurring</t>
  </si>
  <si>
    <t>EnvPro16CostRecurringValue</t>
  </si>
  <si>
    <t>EnvPro17CostRecurring</t>
  </si>
  <si>
    <t>EnvPro17CostRecurringValue</t>
  </si>
  <si>
    <t>EnvPro18CostRecurring</t>
  </si>
  <si>
    <t>EnvPro18CostRecurringValue</t>
  </si>
  <si>
    <t>EnvPro19CostRecurringValue</t>
  </si>
  <si>
    <t>EnvPro19CostRecurring</t>
  </si>
  <si>
    <t>EnvPro20CostRecurring</t>
  </si>
  <si>
    <t>EnvPro20CostRecurringValue</t>
  </si>
  <si>
    <t>EnvPro21CostRecurring</t>
  </si>
  <si>
    <t>EnvPro21CostRecurringValue</t>
  </si>
  <si>
    <t>EnvPro22CostRecurring</t>
  </si>
  <si>
    <t>EnvPro22CostRecurringValue</t>
  </si>
  <si>
    <t>EnvPro23CostRecurring</t>
  </si>
  <si>
    <t>EnvPro23CostRecurringValue</t>
  </si>
  <si>
    <t>EnvPro24CostRecurring</t>
  </si>
  <si>
    <t>EnvPro24CostRecurringValue</t>
  </si>
  <si>
    <t>EnvPro24Type</t>
  </si>
  <si>
    <t>EnvPro24CanCancel</t>
  </si>
  <si>
    <t>EnvPro23CanCancel</t>
  </si>
  <si>
    <t>EnvPro18CanCancel</t>
  </si>
  <si>
    <t>EnvPro22CanCancel</t>
  </si>
  <si>
    <t>EnvPro21CanCancel</t>
  </si>
  <si>
    <t>EnvPro20CanCancel</t>
  </si>
  <si>
    <t>EnvPro19CanCancel</t>
  </si>
  <si>
    <t>EcPro18CanCancel</t>
  </si>
  <si>
    <t>EcPro19CanCancel</t>
  </si>
  <si>
    <t>EcPro20CanCancel</t>
  </si>
  <si>
    <t>EcPro21CanCancel</t>
  </si>
  <si>
    <t>EcPro22CanCancel</t>
  </si>
  <si>
    <t>EcPro23CanCancel</t>
  </si>
  <si>
    <t>EcPro24CanCancel</t>
  </si>
  <si>
    <t>DefProCost</t>
  </si>
  <si>
    <t>DefPro10CostRecurring</t>
  </si>
  <si>
    <t>DefPro10CostRecurringValue</t>
  </si>
  <si>
    <t>DefPro11CostRecurring</t>
  </si>
  <si>
    <t>DefPro11CostRecurringValue</t>
  </si>
  <si>
    <t>DefPro12CostRecurring</t>
  </si>
  <si>
    <t>DefPro12CostRecurringValue</t>
  </si>
  <si>
    <t>DefPro13CostRecurring</t>
  </si>
  <si>
    <t>DefPro13CostRecurringValue</t>
  </si>
  <si>
    <t>DefPro14CostRecurring</t>
  </si>
  <si>
    <t>DefPro14CostRecurringValue</t>
  </si>
  <si>
    <t>DefPro15CostRecurring</t>
  </si>
  <si>
    <t>DefPro15CostRecurringValue</t>
  </si>
  <si>
    <t>DefPro16CostRecurring</t>
  </si>
  <si>
    <t>DefPro16CostRecurringValue</t>
  </si>
  <si>
    <t>DefPro17CostRecurring</t>
  </si>
  <si>
    <t>DefPro17CostRecurringValue</t>
  </si>
  <si>
    <t>DefPro18CostRecurring</t>
  </si>
  <si>
    <t>DefPro18CostRecurringValue</t>
  </si>
  <si>
    <t>DefPro19CostRecurring</t>
  </si>
  <si>
    <t>DefPro19CostRecurringValue</t>
  </si>
  <si>
    <t>DefPro20CostRecurring</t>
  </si>
  <si>
    <t>DefPro20CostRecurringValue</t>
  </si>
  <si>
    <t>DefPro21CostRecurring</t>
  </si>
  <si>
    <t>DefPro21CostRecurringValue</t>
  </si>
  <si>
    <t>DefPro22CostRecurring</t>
  </si>
  <si>
    <t>DefPro22CostRecurringValue</t>
  </si>
  <si>
    <t>DefPro23CostRecurring</t>
  </si>
  <si>
    <t>DefPro23CostRecurringValue</t>
  </si>
  <si>
    <t>DefPro24CostRecurring</t>
  </si>
  <si>
    <t>DefPro24CostRecurringValue</t>
  </si>
  <si>
    <t>DefPro18CanCancel</t>
  </si>
  <si>
    <t>DefPro19CanCancel</t>
  </si>
  <si>
    <t>DefPro20CanCancel</t>
  </si>
  <si>
    <t>DefPro21CanCancel</t>
  </si>
  <si>
    <t>DefPro22CanCancel</t>
  </si>
  <si>
    <t>DefPro23CanCancel</t>
  </si>
  <si>
    <t>DefPro24CanCancel</t>
  </si>
  <si>
    <t>EduProCost</t>
  </si>
  <si>
    <t>EduPro11CostRecurring</t>
  </si>
  <si>
    <t>EduPro11CostRecurringValue</t>
  </si>
  <si>
    <t>EduPro10CostRecurring</t>
  </si>
  <si>
    <t>EduPro10CostRecurringValue</t>
  </si>
  <si>
    <t>EduPro24CostRecurring</t>
  </si>
  <si>
    <t>EduPro24CostRecurringValue</t>
  </si>
  <si>
    <t>EduPro23CostRecurring</t>
  </si>
  <si>
    <t>EduPro23CostRecurringValue</t>
  </si>
  <si>
    <t>EduPro22CostRecurring</t>
  </si>
  <si>
    <t>EduPro22CostRecurringValue</t>
  </si>
  <si>
    <t>EduPro21CostRecurring</t>
  </si>
  <si>
    <t>EduPro21CostRecurringValue</t>
  </si>
  <si>
    <t>EduPro20CostRecurring</t>
  </si>
  <si>
    <t>EduPro20CostRecurringValue</t>
  </si>
  <si>
    <t>EduPro19CostRecurring</t>
  </si>
  <si>
    <t>EduPro19CostRecurringValue</t>
  </si>
  <si>
    <t>EduPro18CostRecurring</t>
  </si>
  <si>
    <t>EduPro18CostRecurringValue</t>
  </si>
  <si>
    <t>EduPro17CostRecurring</t>
  </si>
  <si>
    <t>EduPro17CostRecurringValue</t>
  </si>
  <si>
    <t>EduPro16CostRecurring</t>
  </si>
  <si>
    <t>EduPro16CostRecurringValue</t>
  </si>
  <si>
    <t>EduPro15CostRecurring</t>
  </si>
  <si>
    <t>EduPro15CostRecurringValue</t>
  </si>
  <si>
    <t>EduPro14CostRecurring</t>
  </si>
  <si>
    <t>EduPro14CostRecurringValue</t>
  </si>
  <si>
    <t>EduPro13CostRecurring</t>
  </si>
  <si>
    <t>EduPro13CostRecurringValue</t>
  </si>
  <si>
    <t>EduPro12CostRecurring</t>
  </si>
  <si>
    <t>EduPro12CostRecurringValue</t>
  </si>
  <si>
    <t>EduPro24Done</t>
  </si>
  <si>
    <t>EduPro18CanCancel</t>
  </si>
  <si>
    <t>EduPro19CanCancel</t>
  </si>
  <si>
    <t xml:space="preserve"> EduPro20CanCancel </t>
  </si>
  <si>
    <t xml:space="preserve"> EduPro21CanCancel </t>
  </si>
  <si>
    <t xml:space="preserve"> EduPro22CanCancel </t>
  </si>
  <si>
    <t xml:space="preserve"> EduPro23CanCancel </t>
  </si>
  <si>
    <t xml:space="preserve"> EduPro24CanCancel </t>
  </si>
  <si>
    <t>DefPro24Done</t>
  </si>
  <si>
    <t>DefPro18Done</t>
  </si>
  <si>
    <t>DefPro19Done</t>
  </si>
  <si>
    <t>DefPro20Done</t>
  </si>
  <si>
    <t>DefPro21Done</t>
  </si>
  <si>
    <t>DefPro22Done</t>
  </si>
  <si>
    <t>DefPro23Done</t>
  </si>
  <si>
    <t>EnvPro24Done</t>
  </si>
  <si>
    <t>EnvPro18Done</t>
  </si>
  <si>
    <t>EnvPro19Done</t>
  </si>
  <si>
    <t>EnvPro20Done</t>
  </si>
  <si>
    <t>EnvPro21Done</t>
  </si>
  <si>
    <t>EnvPro22Done</t>
  </si>
  <si>
    <t>EnvPro23Done</t>
  </si>
  <si>
    <t>EcPro24Done</t>
  </si>
  <si>
    <t>EcPro18Done</t>
  </si>
  <si>
    <t>EcPro19Done</t>
  </si>
  <si>
    <t>EcPro20Done</t>
  </si>
  <si>
    <t>EcPro21Done</t>
  </si>
  <si>
    <t>EcPro22Done</t>
  </si>
  <si>
    <t>EcPro23Done</t>
  </si>
  <si>
    <t>EduPro23Done</t>
  </si>
  <si>
    <t xml:space="preserve"> EduPro22Done </t>
  </si>
  <si>
    <t xml:space="preserve"> EduPro21Done </t>
  </si>
  <si>
    <t xml:space="preserve"> EduPro20Done </t>
  </si>
  <si>
    <t xml:space="preserve"> EduPro19Done </t>
  </si>
  <si>
    <t xml:space="preserve"> EduPro18Done </t>
  </si>
  <si>
    <t>EnvBudget</t>
  </si>
  <si>
    <t>EnvInitialCost</t>
  </si>
  <si>
    <t>EnvAvaialbleToAllocate</t>
  </si>
  <si>
    <t>EnvTotalCost</t>
  </si>
  <si>
    <t>EnvBudgetRemaining</t>
  </si>
  <si>
    <t>EnvNextYearReucurringCost</t>
  </si>
  <si>
    <t>EnvRecurringCost</t>
  </si>
  <si>
    <t>DefBudget</t>
  </si>
  <si>
    <t>DefInitialCost</t>
  </si>
  <si>
    <t>DefRecurringCost</t>
  </si>
  <si>
    <t>DefAvaialbleToAllocate</t>
  </si>
  <si>
    <t>DefTotalCost</t>
  </si>
  <si>
    <t>DefBudgetRemaining</t>
  </si>
  <si>
    <t>DefNextYearReucurringCost</t>
  </si>
  <si>
    <t>EduBudget</t>
  </si>
  <si>
    <t>EduInitialCost</t>
  </si>
  <si>
    <t>EduRecurringCost</t>
  </si>
  <si>
    <t>EduAvaialbleToAllocate</t>
  </si>
  <si>
    <t>EduTotalCost</t>
  </si>
  <si>
    <t>EduBudgetRemaining</t>
  </si>
  <si>
    <t>EduNextYearReucurringCost</t>
  </si>
  <si>
    <t>EnvSlider1</t>
  </si>
  <si>
    <t>EnvSlider1LastYear</t>
  </si>
  <si>
    <t>EnvSlider1Cost</t>
  </si>
  <si>
    <t>EnvSlider2</t>
  </si>
  <si>
    <t>EnvSlider2LastYear</t>
  </si>
  <si>
    <t>EnvSlider2Cost</t>
  </si>
  <si>
    <t>DefSlider1</t>
  </si>
  <si>
    <t>DefSlider1LastYear</t>
  </si>
  <si>
    <t>DefSlider1Cost</t>
  </si>
  <si>
    <t>DefSlider2</t>
  </si>
  <si>
    <t>DefSlider2LastYear</t>
  </si>
  <si>
    <t>DefSlider2Cost</t>
  </si>
  <si>
    <t>EduSlider1</t>
  </si>
  <si>
    <t>EduSlider1LastYear</t>
  </si>
  <si>
    <t>EduSlider1Cost</t>
  </si>
  <si>
    <t>EduSlider2</t>
  </si>
  <si>
    <t>EduSlider2LastYear</t>
  </si>
  <si>
    <t>EduSlider2Cost</t>
  </si>
  <si>
    <t>RoleUser0Value1Position</t>
  </si>
  <si>
    <t>RoleUser0Value2Position</t>
  </si>
  <si>
    <t>RoleUser0Value3Position</t>
  </si>
  <si>
    <t>RoleUser0Value4Position</t>
  </si>
  <si>
    <t>RoleUser0Value5Position</t>
  </si>
  <si>
    <t>RoleUser0Value6Position</t>
  </si>
  <si>
    <t>RoleUser0ValuesConfirmed</t>
  </si>
  <si>
    <t>RoleUser1Value1Position</t>
  </si>
  <si>
    <t>RoleUser1Value2Position</t>
  </si>
  <si>
    <t>RoleUser1Value3Position</t>
  </si>
  <si>
    <t>RoleUser1Value4Position</t>
  </si>
  <si>
    <t>RoleUser1Value5Position</t>
  </si>
  <si>
    <t>RoleUser1Value6Position</t>
  </si>
  <si>
    <t>RoleUser1ValuesConfirmed</t>
  </si>
  <si>
    <t>RoleUser2Value1Position</t>
  </si>
  <si>
    <t>RoleUser2Value2Position</t>
  </si>
  <si>
    <t>RoleUser2Value3Position</t>
  </si>
  <si>
    <t>RoleUser2Value4Position</t>
  </si>
  <si>
    <t>RoleUser2Value5Position</t>
  </si>
  <si>
    <t>RoleUser2Value6Position</t>
  </si>
  <si>
    <t>RoleUser2ValuesConfirmed</t>
  </si>
  <si>
    <t>RoleUser3Value1Position</t>
  </si>
  <si>
    <t>RoleUser3Value2Position</t>
  </si>
  <si>
    <t>RoleUser3Value3Position</t>
  </si>
  <si>
    <t>RoleUser3Value4Position</t>
  </si>
  <si>
    <t>RoleUser3Value5Position</t>
  </si>
  <si>
    <t>RoleUser3Value6Position</t>
  </si>
  <si>
    <t>RoleUser3ValuesConfirmed</t>
  </si>
  <si>
    <t>RoleUser4Value1Position</t>
  </si>
  <si>
    <t>RoleUser4Value2Position</t>
  </si>
  <si>
    <t>RoleUser4Value3Position</t>
  </si>
  <si>
    <t>RoleUser4Value4Position</t>
  </si>
  <si>
    <t>RoleUser4Value5Position</t>
  </si>
  <si>
    <t>RoleUser4Value6Position</t>
  </si>
  <si>
    <t>RoleUser4ValuesConfirmed</t>
  </si>
  <si>
    <t>Energy Crisis</t>
  </si>
  <si>
    <t>Disillusioned Youth</t>
  </si>
  <si>
    <t>AI goes Rouge</t>
  </si>
  <si>
    <t>AI Plagerism</t>
  </si>
  <si>
    <t>C5Year</t>
  </si>
  <si>
    <t>C5</t>
  </si>
  <si>
    <t>C5Show</t>
  </si>
  <si>
    <t>C5Enabled</t>
  </si>
  <si>
    <t>C5Prepared</t>
  </si>
  <si>
    <t>C5ShowCrisisCard</t>
  </si>
  <si>
    <t>C6Year</t>
  </si>
  <si>
    <t>C6</t>
  </si>
  <si>
    <t>C6Show</t>
  </si>
  <si>
    <t>C6Enabled</t>
  </si>
  <si>
    <t>C6Prepared</t>
  </si>
  <si>
    <t>C6ShowCrisisCard</t>
  </si>
  <si>
    <t>Crisis 6</t>
  </si>
  <si>
    <t>International Competition</t>
  </si>
  <si>
    <t>SliderReasoningEnabled</t>
  </si>
  <si>
    <t>Ministry Training Program</t>
  </si>
  <si>
    <t>TeamName</t>
  </si>
  <si>
    <t>RenewableEnergyFactor</t>
  </si>
  <si>
    <t>RenewableEnergyFactorTarget</t>
  </si>
  <si>
    <t>AutonomousSystemsSafteyIndex</t>
  </si>
  <si>
    <t>AutonomousSystemsSafteyIndexTarget</t>
  </si>
  <si>
    <t>Percentage of Target Achieved %</t>
  </si>
  <si>
    <t>AIContributionToGDPPercOfTargetAchieved</t>
  </si>
  <si>
    <t>NetJobsFromAIPercOfTargetAchieved</t>
  </si>
  <si>
    <t>RenewableEnergyFactorPercOfTargetAchieved</t>
  </si>
  <si>
    <t>CircularityIndexPercOfTargetAchieved</t>
  </si>
  <si>
    <t>EcosystemIntegrityIndexPercOfTargetAchieved</t>
  </si>
  <si>
    <t>CybersecurityIndexPercOfTargetAchieved</t>
  </si>
  <si>
    <t>AutonomousSystemsSafteyIndexPercOfTargetAchieved</t>
  </si>
  <si>
    <t>MilitaryTechnologyTradeBalancePercOfTargetAchieved</t>
  </si>
  <si>
    <t>AILiteracyPercOfTargetAchieved</t>
  </si>
  <si>
    <t>InnovationIndexPercOfTargetAchieved</t>
  </si>
  <si>
    <t>AverageMinistryScore</t>
  </si>
  <si>
    <t>InstitutionalAdoptionRatePercOfTargetAchieved</t>
  </si>
  <si>
    <t>News Item</t>
  </si>
  <si>
    <t>News</t>
  </si>
  <si>
    <t>NewsEnabled</t>
  </si>
  <si>
    <t>NewsYear</t>
  </si>
  <si>
    <t>Year 1 News Item</t>
  </si>
  <si>
    <t>News1</t>
  </si>
  <si>
    <t>News1Enabled</t>
  </si>
  <si>
    <t>News1Year</t>
  </si>
  <si>
    <t>Paramters</t>
  </si>
  <si>
    <t>News2Year</t>
  </si>
  <si>
    <t>News2</t>
  </si>
  <si>
    <t>News2Enabled</t>
  </si>
  <si>
    <t>News6</t>
  </si>
  <si>
    <t>News6Year</t>
  </si>
  <si>
    <t>News6Enabled</t>
  </si>
  <si>
    <t>News5Year</t>
  </si>
  <si>
    <t>News5</t>
  </si>
  <si>
    <t>News5Enabled</t>
  </si>
  <si>
    <t>News4</t>
  </si>
  <si>
    <t>News4Enabled</t>
  </si>
  <si>
    <t>News4Year</t>
  </si>
  <si>
    <t>News3Year</t>
  </si>
  <si>
    <t>News3</t>
  </si>
  <si>
    <t>News3Enabled</t>
  </si>
  <si>
    <t>Not used, we leave year 1 as a good year</t>
  </si>
  <si>
    <t>NewsShow</t>
  </si>
  <si>
    <t>News1Show</t>
  </si>
  <si>
    <t>News2Show</t>
  </si>
  <si>
    <t>News3Show</t>
  </si>
  <si>
    <t>News4Show</t>
  </si>
  <si>
    <t>News5Show</t>
  </si>
  <si>
    <t>News6Show</t>
  </si>
  <si>
    <t>Solar Flare</t>
  </si>
  <si>
    <t>Face ID</t>
  </si>
  <si>
    <t>Autonomous Cars</t>
  </si>
  <si>
    <t>Cameras on Toys</t>
  </si>
  <si>
    <t>Opportunity</t>
  </si>
  <si>
    <t>OpYear</t>
  </si>
  <si>
    <t>Op</t>
  </si>
  <si>
    <t>OpSelected</t>
  </si>
  <si>
    <t>Op1Selected</t>
  </si>
  <si>
    <t>Op1</t>
  </si>
  <si>
    <t>Op1Year</t>
  </si>
  <si>
    <t>Op2Year</t>
  </si>
  <si>
    <t>Op2</t>
  </si>
  <si>
    <t>Op2Selected</t>
  </si>
  <si>
    <t>Op3</t>
  </si>
  <si>
    <t>Op3Year</t>
  </si>
  <si>
    <t>Op3Selected</t>
  </si>
  <si>
    <t>Op4Year</t>
  </si>
  <si>
    <t>Op4</t>
  </si>
  <si>
    <t>Op4Selected</t>
  </si>
  <si>
    <t>Op5Year</t>
  </si>
  <si>
    <t>Op5</t>
  </si>
  <si>
    <t>Op5Selected</t>
  </si>
  <si>
    <t>Op6</t>
  </si>
  <si>
    <t>Op6Year</t>
  </si>
  <si>
    <t>Op6Selected</t>
  </si>
  <si>
    <t>Wearable Devices Hack</t>
  </si>
  <si>
    <t>Rows Reference</t>
  </si>
  <si>
    <t>Foreign Data Center Hub</t>
  </si>
  <si>
    <t>International AI Safety Treaty</t>
  </si>
  <si>
    <t>Capital City Digital Twin</t>
  </si>
  <si>
    <t>Imported AI Literacy Platform</t>
  </si>
  <si>
    <t>Sustainable AI Sandbox</t>
  </si>
  <si>
    <t>Data Center Effeciency Standards</t>
  </si>
  <si>
    <t>Sustainability Disclosure</t>
  </si>
  <si>
    <t>Moonshot for Biology Programme</t>
  </si>
  <si>
    <t>Deforestation Early Warning</t>
  </si>
  <si>
    <t>Champion at the UN</t>
  </si>
  <si>
    <t>Internation Green AI Compute Hub</t>
  </si>
  <si>
    <t xml:space="preserve">Open Data Hub </t>
  </si>
  <si>
    <t>Environmental Certification Program</t>
  </si>
  <si>
    <t>Hardware Circular Economy Mandate</t>
  </si>
  <si>
    <t>AI Renewable Grid Balancing</t>
  </si>
  <si>
    <t>Carbon Offset Neutrality Scheme</t>
  </si>
  <si>
    <t>Defense AI Sandbox</t>
  </si>
  <si>
    <t>Insect Cyborgs</t>
  </si>
  <si>
    <t>Open Data Hub</t>
  </si>
  <si>
    <t>AI-Enabled Exo-Skeleton Suits</t>
  </si>
  <si>
    <t>AI Enabled Personal Health Wearable Monitors for Defense Personnel</t>
  </si>
  <si>
    <t>GPS Spoofing</t>
  </si>
  <si>
    <t>FacilSetsTargets</t>
  </si>
  <si>
    <t>F_AIContributionToGDPTarget</t>
  </si>
  <si>
    <t>F_NetJobsFromAITarget</t>
  </si>
  <si>
    <t>F_RenewableEnergyFactorTarget</t>
  </si>
  <si>
    <t>F_CircularityIndexTarget</t>
  </si>
  <si>
    <t>F_EcosystemIntegrityIndexTarget</t>
  </si>
  <si>
    <t>F_CybersecurityIndexTarget</t>
  </si>
  <si>
    <t>F_AutonomousSystemsSafteyIndexTarget</t>
  </si>
  <si>
    <t>F_MilitaryTechnologyTradeBalanceTarget</t>
  </si>
  <si>
    <t>F_AILiteracyTarget</t>
  </si>
  <si>
    <t>F_InnovationIndexTarget</t>
  </si>
  <si>
    <t>F_InstitutionalAdoptionRateTarget</t>
  </si>
  <si>
    <t>Defaults</t>
  </si>
  <si>
    <t>IsMultiplayer</t>
  </si>
  <si>
    <t>Misc</t>
  </si>
  <si>
    <t xml:space="preserve">Enabled Ministries </t>
  </si>
  <si>
    <t>EcEnabled</t>
  </si>
  <si>
    <t>EnvEnabled</t>
  </si>
  <si>
    <t>DefEnabled</t>
  </si>
  <si>
    <t>EduEnabled</t>
  </si>
  <si>
    <t>FacEcEnabled</t>
  </si>
  <si>
    <t>FacEnvEnabled</t>
  </si>
  <si>
    <t>FacDefEnabled</t>
  </si>
  <si>
    <t>FacEduEnabled</t>
  </si>
  <si>
    <t>FacAllowMinistryChoice</t>
  </si>
  <si>
    <t>MinistriesConfirmed</t>
  </si>
  <si>
    <t>Year 1</t>
  </si>
  <si>
    <t>Year 2</t>
  </si>
  <si>
    <t>EcProYear2Impact</t>
  </si>
  <si>
    <t>EcPro3Year2Impact</t>
  </si>
  <si>
    <t>EcPro4Year2Impact</t>
  </si>
  <si>
    <t>EcPro5Year2Impact</t>
  </si>
  <si>
    <t>EcPro6Year2Impact</t>
  </si>
  <si>
    <t>EcPro7Year2Impact</t>
  </si>
  <si>
    <t>EcPro8Year2Impact</t>
  </si>
  <si>
    <t>EcPro9Year2Impact</t>
  </si>
  <si>
    <t>EcPro10Year2Impact</t>
  </si>
  <si>
    <t>EcPro11Year2Impact</t>
  </si>
  <si>
    <t>EcPro12Year2Impact</t>
  </si>
  <si>
    <t>EcPro13Year2Impact</t>
  </si>
  <si>
    <t>EcPro14Year2Impact</t>
  </si>
  <si>
    <t>EcPro15Year2Impact</t>
  </si>
  <si>
    <t>EcPro16Year2Impact</t>
  </si>
  <si>
    <t>EcPro17Year2Impact</t>
  </si>
  <si>
    <t>EcPro18Year2Impact</t>
  </si>
  <si>
    <t>EcPro19Year2Impact</t>
  </si>
  <si>
    <t>EcPro20Year2Impact</t>
  </si>
  <si>
    <t>EcPro21Year2Impact</t>
  </si>
  <si>
    <t>EcPro22Year2Impact</t>
  </si>
  <si>
    <t>EcPro23Year2Impact</t>
  </si>
  <si>
    <t>EcPro24Year2Impact</t>
  </si>
  <si>
    <t>EnvPro3Year2Impact</t>
  </si>
  <si>
    <t>EnvPro4Year2Impact</t>
  </si>
  <si>
    <t>EnvPro5Year2Impact</t>
  </si>
  <si>
    <t>EnvPro6Year2Impact</t>
  </si>
  <si>
    <t>EnvPro7Year2Impact</t>
  </si>
  <si>
    <t>EnvPro8Year2Impact</t>
  </si>
  <si>
    <t>EnvPro9Year2Impact</t>
  </si>
  <si>
    <t>EnvPro10Year2Impact</t>
  </si>
  <si>
    <t>EnvPro11Year2Impact</t>
  </si>
  <si>
    <t>EnvPro12Year2Impact</t>
  </si>
  <si>
    <t>EnvPro13Year2Impact</t>
  </si>
  <si>
    <t>EnvPro14Year2Impact</t>
  </si>
  <si>
    <t>EnvPro15Year2Impact</t>
  </si>
  <si>
    <t>EnvPro16Year2Impact</t>
  </si>
  <si>
    <t>EnvPro17Year2Impact</t>
  </si>
  <si>
    <t>EnvPro18Year2Impact</t>
  </si>
  <si>
    <t>EnvPro19Year2Impact</t>
  </si>
  <si>
    <t>EnvPro20Year2Impact</t>
  </si>
  <si>
    <t>EnvPro21Year2Impact</t>
  </si>
  <si>
    <t>EnvPro22Year2Impact</t>
  </si>
  <si>
    <t>EnvPro23Year2Impact</t>
  </si>
  <si>
    <t>EnvPro24Year2Impact</t>
  </si>
  <si>
    <t>DefPro3Year2Impact</t>
  </si>
  <si>
    <t>DefPro4Year2Impact</t>
  </si>
  <si>
    <t>DefPro5Year2Impact</t>
  </si>
  <si>
    <t>DefPro6Year2Impact</t>
  </si>
  <si>
    <t>DefPro7Year2Impact</t>
  </si>
  <si>
    <t>DefPro8Year2Impact</t>
  </si>
  <si>
    <t>DefPro9Year2Impact</t>
  </si>
  <si>
    <t>DefPro10Year2Impact</t>
  </si>
  <si>
    <t>DefPro11Year2Impact</t>
  </si>
  <si>
    <t>DefPro12Year2Impact</t>
  </si>
  <si>
    <t>DefPro13Year2Impact</t>
  </si>
  <si>
    <t>DefPro14Year2Impact</t>
  </si>
  <si>
    <t>DefPro15Year2Impact</t>
  </si>
  <si>
    <t>DefPro16Year2Impact</t>
  </si>
  <si>
    <t>DefPro17Year2Impact</t>
  </si>
  <si>
    <t>DefPro18Year2Impact</t>
  </si>
  <si>
    <t>DefPro19Year2Impact</t>
  </si>
  <si>
    <t>DefPro20Year2Impact</t>
  </si>
  <si>
    <t>DefPro21Year2Impact</t>
  </si>
  <si>
    <t>DefPro22Year2Impact</t>
  </si>
  <si>
    <t>DefPro23Year2Impact</t>
  </si>
  <si>
    <t>DefPro24Year2Impact</t>
  </si>
  <si>
    <t>EduPro3Year2Impact</t>
  </si>
  <si>
    <t>EduPro4Year2Impact</t>
  </si>
  <si>
    <t>EduPro5Year2Impact</t>
  </si>
  <si>
    <t>EduPro6Year2Impact</t>
  </si>
  <si>
    <t>EduPro7Year2Impact</t>
  </si>
  <si>
    <t>EduPro8Year2Impact</t>
  </si>
  <si>
    <t>EduPro9Year2Impact</t>
  </si>
  <si>
    <t>EduPro10Year2Impact</t>
  </si>
  <si>
    <t>EduPro11Year2Impact</t>
  </si>
  <si>
    <t>EduPro12Year2Impact</t>
  </si>
  <si>
    <t>EduPro13Year2Impact</t>
  </si>
  <si>
    <t>EduPro14Year2Impact</t>
  </si>
  <si>
    <t>EduPro15Year2Impact</t>
  </si>
  <si>
    <t>EduPro16Year2Impact</t>
  </si>
  <si>
    <t>EduPro17Year2Impact</t>
  </si>
  <si>
    <t>EduPro18Year2Impact</t>
  </si>
  <si>
    <t>EduPro19Year2Impact</t>
  </si>
  <si>
    <t>EduPro20Year2Impact</t>
  </si>
  <si>
    <t>EduPro21Year2Impact</t>
  </si>
  <si>
    <t>EduPro22Year2Impact</t>
  </si>
  <si>
    <t>EduPro23Year2Impact</t>
  </si>
  <si>
    <t>EduPro24Year2Impact</t>
  </si>
  <si>
    <t>EnvProYear2Impact</t>
  </si>
  <si>
    <t>DefProYear2Impact</t>
  </si>
  <si>
    <t>EduProYear2Impact</t>
  </si>
  <si>
    <t>AIFDIStock</t>
  </si>
  <si>
    <t>F_AIFDIStockTarget</t>
  </si>
  <si>
    <t>AIFDIStockTarget</t>
  </si>
  <si>
    <t>AIFDIStockPercOfTargetAchieved</t>
  </si>
  <si>
    <t>Free Online Literacy Course</t>
  </si>
  <si>
    <t>Livelihood Protection Policy</t>
  </si>
  <si>
    <t>AI Sovereignty Initiative</t>
  </si>
  <si>
    <t>Subsidized GPU Access</t>
  </si>
  <si>
    <t>Tax Incentives for AI Adoption</t>
  </si>
  <si>
    <t>Framework on Equity &amp; Digital Access</t>
  </si>
  <si>
    <t>Agentic AI Teacher Assistant Programme</t>
  </si>
  <si>
    <t>If Accepted</t>
  </si>
  <si>
    <t>If Rejected</t>
  </si>
  <si>
    <t>Cumilative RnD Impact</t>
  </si>
  <si>
    <t xml:space="preserve">Cumilative RnD </t>
  </si>
  <si>
    <t>EcCumulativeRnDSpend</t>
  </si>
  <si>
    <t>EcCumulativeRnDImpact</t>
  </si>
  <si>
    <t>EnvCumulativeRnDSpend</t>
  </si>
  <si>
    <t>EnvCumulativeRnDImpact</t>
  </si>
  <si>
    <t>DefCumulativeRnDSpend</t>
  </si>
  <si>
    <t>DefCumulativeRnDImpact</t>
  </si>
  <si>
    <t>EduCumulativeRnDSpend</t>
  </si>
  <si>
    <t>EduCumulativeRnDImpact</t>
  </si>
  <si>
    <t>EcCumulativeRnDImpactYear</t>
  </si>
  <si>
    <t>EnvCumulativeRnDImpactYear</t>
  </si>
  <si>
    <t>DefCumulativeRnDImpactYear</t>
  </si>
  <si>
    <t>EduCumulativeRnDImpactYear</t>
  </si>
  <si>
    <t>Cumilative Startup</t>
  </si>
  <si>
    <t>Cumilative Startup Impact</t>
  </si>
  <si>
    <t>CumulativeStartupSpend</t>
  </si>
  <si>
    <t>CumulativeStartupImpact</t>
  </si>
  <si>
    <t>CumulativeStartupImpactYear</t>
  </si>
  <si>
    <t>AI Chip Export Controls</t>
  </si>
  <si>
    <t>Frontier AI Monopoly Breakup</t>
  </si>
  <si>
    <t>AI-Assisted Early-Warning System</t>
  </si>
  <si>
    <t>Mandate AI Watermarks</t>
  </si>
  <si>
    <t>EcPro3CancelledModifier</t>
  </si>
  <si>
    <t xml:space="preserve">EcPro3Weight </t>
  </si>
  <si>
    <t>EcProCancelledModifier</t>
  </si>
  <si>
    <t xml:space="preserve">EcProWeight </t>
  </si>
  <si>
    <t>EcPro4CancelledModifier</t>
  </si>
  <si>
    <t xml:space="preserve">EcPro4Weight </t>
  </si>
  <si>
    <t>EcPro5CancelledModifier</t>
  </si>
  <si>
    <t xml:space="preserve">EcPro5Weight </t>
  </si>
  <si>
    <t>EcPro6CancelledModifier</t>
  </si>
  <si>
    <t xml:space="preserve">EcPro6Weight </t>
  </si>
  <si>
    <t>EcPro7CancelledModifier</t>
  </si>
  <si>
    <t xml:space="preserve">EcPro7Weight </t>
  </si>
  <si>
    <t>EcPro8CancelledModifier</t>
  </si>
  <si>
    <t xml:space="preserve">EcPro8Weight </t>
  </si>
  <si>
    <t>EcPro9CancelledModifier</t>
  </si>
  <si>
    <t xml:space="preserve">EcPro9Weight </t>
  </si>
  <si>
    <t>EcPro10CancelledModifier</t>
  </si>
  <si>
    <t xml:space="preserve">EcPro10Weight </t>
  </si>
  <si>
    <t>EcPro11CancelledModifier</t>
  </si>
  <si>
    <t xml:space="preserve">EcPro11Weight </t>
  </si>
  <si>
    <t>EcPro12CancelledModifier</t>
  </si>
  <si>
    <t xml:space="preserve">EcPro12Weight </t>
  </si>
  <si>
    <t>EcPro13CancelledModifier</t>
  </si>
  <si>
    <t xml:space="preserve">EcPro13Weight </t>
  </si>
  <si>
    <t>EcPro14CancelledModifier</t>
  </si>
  <si>
    <t xml:space="preserve">EcPro14Weight </t>
  </si>
  <si>
    <t>EcPro15CancelledModifier</t>
  </si>
  <si>
    <t xml:space="preserve">EcPro15Weight </t>
  </si>
  <si>
    <t>EcPro16CancelledModifier</t>
  </si>
  <si>
    <t xml:space="preserve">EcPro16Weight </t>
  </si>
  <si>
    <t>EcPro17CancelledModifier</t>
  </si>
  <si>
    <t xml:space="preserve">EcPro17Weight </t>
  </si>
  <si>
    <t>EcPro18CancelledModifier</t>
  </si>
  <si>
    <t xml:space="preserve">EcPro18Weight </t>
  </si>
  <si>
    <t>EcPro19CancelledModifier</t>
  </si>
  <si>
    <t xml:space="preserve">EcPro19Weight </t>
  </si>
  <si>
    <t>EcPro20CancelledModifier</t>
  </si>
  <si>
    <t xml:space="preserve">EcPro20Weight </t>
  </si>
  <si>
    <t>EcPro21CancelledModifier</t>
  </si>
  <si>
    <t xml:space="preserve">EcPro21Weight </t>
  </si>
  <si>
    <t>EcPro22CancelledModifier</t>
  </si>
  <si>
    <t xml:space="preserve">EcPro22Weight </t>
  </si>
  <si>
    <t>EcPro23CancelledModifier</t>
  </si>
  <si>
    <t xml:space="preserve">EcPro23Weight </t>
  </si>
  <si>
    <t>EcPro24CancelledModifier</t>
  </si>
  <si>
    <t xml:space="preserve">EcPro24Weight </t>
  </si>
  <si>
    <t>EnvProCancelledModifier</t>
  </si>
  <si>
    <t xml:space="preserve">EnvProWeight </t>
  </si>
  <si>
    <t>EnvPro3CancelledModifier</t>
  </si>
  <si>
    <t xml:space="preserve">EnvPro3Weight </t>
  </si>
  <si>
    <t>EnvPro4CancelledModifier</t>
  </si>
  <si>
    <t xml:space="preserve">EnvPro4Weight </t>
  </si>
  <si>
    <t>EnvPro5CancelledModifier</t>
  </si>
  <si>
    <t xml:space="preserve">EnvPro5Weight </t>
  </si>
  <si>
    <t>EnvPro6CancelledModifier</t>
  </si>
  <si>
    <t xml:space="preserve">EnvPro6Weight </t>
  </si>
  <si>
    <t>EnvPro7CancelledModifier</t>
  </si>
  <si>
    <t xml:space="preserve">EnvPro7Weight </t>
  </si>
  <si>
    <t>EnvPro8CancelledModifier</t>
  </si>
  <si>
    <t xml:space="preserve">EnvPro8Weight </t>
  </si>
  <si>
    <t>EnvPro9CancelledModifier</t>
  </si>
  <si>
    <t xml:space="preserve">EnvPro9Weight </t>
  </si>
  <si>
    <t>EnvPro10CancelledModifier</t>
  </si>
  <si>
    <t xml:space="preserve">EnvPro10Weight </t>
  </si>
  <si>
    <t>EnvPro11CancelledModifier</t>
  </si>
  <si>
    <t xml:space="preserve">EnvPro11Weight </t>
  </si>
  <si>
    <t>EnvPro12CancelledModifier</t>
  </si>
  <si>
    <t xml:space="preserve">EnvPro12Weight </t>
  </si>
  <si>
    <t>EnvPro13CancelledModifier</t>
  </si>
  <si>
    <t xml:space="preserve">EnvPro13Weight </t>
  </si>
  <si>
    <t>EnvPro14CancelledModifier</t>
  </si>
  <si>
    <t xml:space="preserve">EnvPro14Weight </t>
  </si>
  <si>
    <t>EnvPro15CancelledModifier</t>
  </si>
  <si>
    <t xml:space="preserve">EnvPro15Weight </t>
  </si>
  <si>
    <t>EnvPro16CancelledModifier</t>
  </si>
  <si>
    <t xml:space="preserve">EnvPro16Weight </t>
  </si>
  <si>
    <t>EnvPro17CancelledModifier</t>
  </si>
  <si>
    <t xml:space="preserve">EnvPro17Weight </t>
  </si>
  <si>
    <t>EnvPro18CancelledModifier</t>
  </si>
  <si>
    <t xml:space="preserve">EnvPro18Weight </t>
  </si>
  <si>
    <t>EnvPro19CancelledModifier</t>
  </si>
  <si>
    <t xml:space="preserve">EnvPro19Weight </t>
  </si>
  <si>
    <t>EnvPro20CancelledModifier</t>
  </si>
  <si>
    <t xml:space="preserve">EnvPro20Weight </t>
  </si>
  <si>
    <t>EnvPro21CancelledModifier</t>
  </si>
  <si>
    <t xml:space="preserve">EnvPro21Weight </t>
  </si>
  <si>
    <t>EnvPro22CancelledModifier</t>
  </si>
  <si>
    <t xml:space="preserve">EnvPro22Weight </t>
  </si>
  <si>
    <t>EnvPro23CancelledModifier</t>
  </si>
  <si>
    <t xml:space="preserve">EnvPro23Weight </t>
  </si>
  <si>
    <t>EnvPro24CancelledModifier</t>
  </si>
  <si>
    <t xml:space="preserve">EnvPro24Weight </t>
  </si>
  <si>
    <t>DefProCancelledModifier</t>
  </si>
  <si>
    <t xml:space="preserve">DefProWeight </t>
  </si>
  <si>
    <t>DefPro3CancelledModifier</t>
  </si>
  <si>
    <t xml:space="preserve">DefPro3Weight </t>
  </si>
  <si>
    <t>DefPro4CancelledModifier</t>
  </si>
  <si>
    <t xml:space="preserve">DefPro4Weight </t>
  </si>
  <si>
    <t>DefPro5CancelledModifier</t>
  </si>
  <si>
    <t xml:space="preserve">DefPro5Weight </t>
  </si>
  <si>
    <t>DefPro6CancelledModifier</t>
  </si>
  <si>
    <t xml:space="preserve">DefPro6Weight </t>
  </si>
  <si>
    <t>DefPro7CancelledModifier</t>
  </si>
  <si>
    <t xml:space="preserve">DefPro7Weight </t>
  </si>
  <si>
    <t>DefPro8CancelledModifier</t>
  </si>
  <si>
    <t xml:space="preserve">DefPro8Weight </t>
  </si>
  <si>
    <t>DefPro9CancelledModifier</t>
  </si>
  <si>
    <t xml:space="preserve">DefPro9Weight </t>
  </si>
  <si>
    <t>DefPro10CancelledModifier</t>
  </si>
  <si>
    <t xml:space="preserve">DefPro10Weight </t>
  </si>
  <si>
    <t>DefPro11CancelledModifier</t>
  </si>
  <si>
    <t xml:space="preserve">DefPro11Weight </t>
  </si>
  <si>
    <t>DefPro12CancelledModifier</t>
  </si>
  <si>
    <t xml:space="preserve">DefPro12Weight </t>
  </si>
  <si>
    <t>DefPro13CancelledModifier</t>
  </si>
  <si>
    <t xml:space="preserve">DefPro13Weight </t>
  </si>
  <si>
    <t>DefPro14CancelledModifier</t>
  </si>
  <si>
    <t xml:space="preserve">DefPro14Weight </t>
  </si>
  <si>
    <t>DefPro15CancelledModifier</t>
  </si>
  <si>
    <t xml:space="preserve">DefPro15Weight </t>
  </si>
  <si>
    <t>DefPro16CancelledModifier</t>
  </si>
  <si>
    <t xml:space="preserve">DefPro16Weight </t>
  </si>
  <si>
    <t>DefPro17CancelledModifier</t>
  </si>
  <si>
    <t xml:space="preserve">DefPro17Weight </t>
  </si>
  <si>
    <t>DefPro18CancelledModifier</t>
  </si>
  <si>
    <t xml:space="preserve">DefPro18Weight </t>
  </si>
  <si>
    <t>DefPro19CancelledModifier</t>
  </si>
  <si>
    <t xml:space="preserve">DefPro19Weight </t>
  </si>
  <si>
    <t>DefPro20CancelledModifier</t>
  </si>
  <si>
    <t xml:space="preserve">DefPro20Weight </t>
  </si>
  <si>
    <t>DefPro21CancelledModifier</t>
  </si>
  <si>
    <t xml:space="preserve">DefPro21Weight </t>
  </si>
  <si>
    <t>DefPro22CancelledModifier</t>
  </si>
  <si>
    <t xml:space="preserve">DefPro22Weight </t>
  </si>
  <si>
    <t>DefPro23CancelledModifier</t>
  </si>
  <si>
    <t xml:space="preserve">DefPro23Weight </t>
  </si>
  <si>
    <t>DefPro24CancelledModifier</t>
  </si>
  <si>
    <t xml:space="preserve">DefPro24Weight </t>
  </si>
  <si>
    <t>EduProCancelledModifier</t>
  </si>
  <si>
    <t xml:space="preserve">EduProWeight </t>
  </si>
  <si>
    <t>EduPro3CancelledModifier</t>
  </si>
  <si>
    <t xml:space="preserve">EduPro3Weight </t>
  </si>
  <si>
    <t>EduPro4CancelledModifier</t>
  </si>
  <si>
    <t xml:space="preserve">EduPro4Weight </t>
  </si>
  <si>
    <t>EduPro5CancelledModifier</t>
  </si>
  <si>
    <t xml:space="preserve">EduPro5Weight </t>
  </si>
  <si>
    <t>EduPro6CancelledModifier</t>
  </si>
  <si>
    <t xml:space="preserve">EduPro6Weight </t>
  </si>
  <si>
    <t>EduPro7CancelledModifier</t>
  </si>
  <si>
    <t xml:space="preserve">EduPro7Weight </t>
  </si>
  <si>
    <t>EduPro8CancelledModifier</t>
  </si>
  <si>
    <t xml:space="preserve">EduPro8Weight </t>
  </si>
  <si>
    <t>EduPro9CancelledModifier</t>
  </si>
  <si>
    <t xml:space="preserve">EduPro9Weight </t>
  </si>
  <si>
    <t>EduPro10CancelledModifier</t>
  </si>
  <si>
    <t xml:space="preserve">EduPro10Weight </t>
  </si>
  <si>
    <t>EduPro11CancelledModifier</t>
  </si>
  <si>
    <t xml:space="preserve">EduPro11Weight </t>
  </si>
  <si>
    <t>EduPro12CancelledModifier</t>
  </si>
  <si>
    <t xml:space="preserve">EduPro12Weight </t>
  </si>
  <si>
    <t>EduPro13CancelledModifier</t>
  </si>
  <si>
    <t xml:space="preserve">EduPro13Weight </t>
  </si>
  <si>
    <t>EduPro14CancelledModifier</t>
  </si>
  <si>
    <t xml:space="preserve">EduPro14Weight </t>
  </si>
  <si>
    <t>EduPro15CancelledModifier</t>
  </si>
  <si>
    <t xml:space="preserve">EduPro15Weight </t>
  </si>
  <si>
    <t>EduPro16CancelledModifier</t>
  </si>
  <si>
    <t xml:space="preserve">EduPro16Weight </t>
  </si>
  <si>
    <t>EduPro17CancelledModifier</t>
  </si>
  <si>
    <t xml:space="preserve">EduPro17Weight </t>
  </si>
  <si>
    <t xml:space="preserve"> EduPro18Done CancelledModifier</t>
  </si>
  <si>
    <t xml:space="preserve"> EduPro18Done Weight </t>
  </si>
  <si>
    <t xml:space="preserve"> EduPro19Done CancelledModifier</t>
  </si>
  <si>
    <t xml:space="preserve"> EduPro19Done Weight </t>
  </si>
  <si>
    <t xml:space="preserve"> EduPro20Done CancelledModifier</t>
  </si>
  <si>
    <t xml:space="preserve"> EduPro20Done Weight </t>
  </si>
  <si>
    <t xml:space="preserve"> EduPro21Done CancelledModifier</t>
  </si>
  <si>
    <t xml:space="preserve"> EduPro21Done Weight </t>
  </si>
  <si>
    <t xml:space="preserve"> EduPro22Done CancelledModifier</t>
  </si>
  <si>
    <t xml:space="preserve"> EduPro22Done Weight </t>
  </si>
  <si>
    <t>EduPro23CancelledModifier</t>
  </si>
  <si>
    <t xml:space="preserve">EduPro23Weight </t>
  </si>
  <si>
    <t>EduPro24CancelledModifier</t>
  </si>
  <si>
    <t xml:space="preserve">EduPro24Weight </t>
  </si>
  <si>
    <t>Confirmed / Ready</t>
  </si>
  <si>
    <t>EcConfirmed</t>
  </si>
  <si>
    <t>EnvConfirmed</t>
  </si>
  <si>
    <t>DefConfirmed</t>
  </si>
  <si>
    <t>EduConfirmed</t>
  </si>
  <si>
    <t>ModelKitID</t>
  </si>
  <si>
    <t>aigov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</si>
</sst>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B10202"/>
      <name val="Arial"/>
      <family val="2"/>
    </font>
    <font>
      <sz val="10"/>
      <color rgb="FF11734B"/>
      <name val="Arial"/>
      <family val="2"/>
    </font>
    <font>
      <b/>
      <sz val="11"/>
      <color theme="1"/>
      <name val="Aptos Narrow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165" fontId="1" fillId="0" borderId="0" xfId="1" applyNumberFormat="1" applyFont="1"/>
    <xf numFmtId="0" fontId="2" fillId="0" borderId="0" xfId="0" applyFont="1"/>
    <xf numFmtId="164" fontId="0" fillId="0" borderId="0" xfId="1" applyFont="1"/>
    <xf numFmtId="0" fontId="0" fillId="0" borderId="0" xfId="0" quotePrefix="1"/>
    <xf numFmtId="3" fontId="0" fillId="0" borderId="0" xfId="0" applyNumberFormat="1"/>
    <xf numFmtId="0" fontId="4" fillId="0" borderId="0" xfId="0" applyFont="1"/>
    <xf numFmtId="43" fontId="0" fillId="0" borderId="0" xfId="0" applyNumberFormat="1"/>
    <xf numFmtId="0" fontId="5" fillId="0" borderId="0" xfId="0" applyFont="1"/>
    <xf numFmtId="165" fontId="0" fillId="0" borderId="0" xfId="0" applyNumberFormat="1"/>
    <xf numFmtId="165" fontId="0" fillId="0" borderId="0" xfId="1" applyNumberFormat="1" applyFont="1" applyAlignment="1">
      <alignment wrapText="1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2" borderId="0" xfId="0" applyFill="1"/>
    <xf numFmtId="0" fontId="4" fillId="3" borderId="0" xfId="0" applyFont="1" applyFill="1"/>
    <xf numFmtId="0" fontId="11" fillId="0" borderId="0" xfId="0" applyFont="1"/>
    <xf numFmtId="166" fontId="0" fillId="0" borderId="0" xfId="1" applyNumberFormat="1" applyFont="1"/>
    <xf numFmtId="165" fontId="0" fillId="0" borderId="0" xfId="1" applyNumberFormat="1" applyFont="1" applyAlignment="1"/>
    <xf numFmtId="165" fontId="1" fillId="0" borderId="0" xfId="1" applyNumberFormat="1" applyFont="1" applyAlignment="1"/>
    <xf numFmtId="164" fontId="0" fillId="0" borderId="0" xfId="1" applyFont="1" applyAlignment="1"/>
    <xf numFmtId="166" fontId="0" fillId="0" borderId="0" xfId="1" applyNumberFormat="1" applyFont="1" applyAlignment="1"/>
    <xf numFmtId="164" fontId="9" fillId="0" borderId="0" xfId="1" applyFont="1"/>
    <xf numFmtId="165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0" fillId="0" borderId="0" xfId="0" applyNumberFormat="1" applyFont="1"/>
    <xf numFmtId="37" fontId="0" fillId="0" borderId="0" xfId="1" applyNumberFormat="1" applyFont="1" applyAlignment="1"/>
    <xf numFmtId="164" fontId="16" fillId="0" borderId="0" xfId="1" applyFont="1"/>
    <xf numFmtId="164" fontId="2" fillId="0" borderId="0" xfId="1" applyFont="1"/>
    <xf numFmtId="0" fontId="17" fillId="0" borderId="0" xfId="0" applyFont="1"/>
    <xf numFmtId="165" fontId="4" fillId="0" borderId="0" xfId="1" applyNumberFormat="1" applyFont="1"/>
    <xf numFmtId="164" fontId="4" fillId="0" borderId="0" xfId="1" applyFont="1"/>
    <xf numFmtId="0" fontId="4" fillId="0" borderId="0" xfId="0" quotePrefix="1" applyFont="1"/>
    <xf numFmtId="0" fontId="18" fillId="0" borderId="0" xfId="0" applyFont="1"/>
    <xf numFmtId="0" fontId="19" fillId="0" borderId="0" xfId="2"/>
    <xf numFmtId="167" fontId="0" fillId="0" borderId="0" xfId="0" applyNumberFormat="1"/>
    <xf numFmtId="0" fontId="20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245B8-0202-B64B-821C-B21BAA34754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1ec46178-b4ac-40dd-98b3-78a0115bd2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6A0-419B-4B30-8DBD-35CF811D1E14}">
  <dimension ref="A1:AV90"/>
  <sheetViews>
    <sheetView workbookViewId="0">
      <selection activeCell="K15" sqref="K15"/>
    </sheetView>
  </sheetViews>
  <sheetFormatPr baseColWidth="10" defaultColWidth="8.83203125" defaultRowHeight="15" x14ac:dyDescent="0.2"/>
  <cols>
    <col min="1" max="1" width="27.5" customWidth="1"/>
    <col min="2" max="2" width="12.33203125" customWidth="1"/>
    <col min="4" max="4" width="20.5" customWidth="1"/>
  </cols>
  <sheetData>
    <row r="1" spans="1:2" x14ac:dyDescent="0.2">
      <c r="A1" t="s">
        <v>2153</v>
      </c>
      <c r="B1" t="s">
        <v>2154</v>
      </c>
    </row>
    <row r="2" spans="1:2" ht="16" customHeight="1" x14ac:dyDescent="0.2">
      <c r="A2" t="s">
        <v>3</v>
      </c>
      <c r="B2">
        <v>0</v>
      </c>
    </row>
    <row r="3" spans="1:2" ht="16" customHeight="1" x14ac:dyDescent="0.2">
      <c r="A3" t="s">
        <v>2</v>
      </c>
      <c r="B3">
        <v>0</v>
      </c>
    </row>
    <row r="4" spans="1:2" ht="16" customHeight="1" x14ac:dyDescent="0.2">
      <c r="A4" t="s">
        <v>8</v>
      </c>
      <c r="B4">
        <v>5</v>
      </c>
    </row>
    <row r="5" spans="1:2" ht="16" customHeight="1" x14ac:dyDescent="0.2">
      <c r="A5" t="s">
        <v>9</v>
      </c>
      <c r="B5">
        <f>IF(Step=NumYears,1,0)</f>
        <v>0</v>
      </c>
    </row>
    <row r="6" spans="1:2" ht="16" customHeight="1" x14ac:dyDescent="0.2"/>
    <row r="7" spans="1:2" ht="16" customHeight="1" x14ac:dyDescent="0.2">
      <c r="A7" s="14" t="s">
        <v>1822</v>
      </c>
    </row>
    <row r="8" spans="1:2" ht="16" customHeight="1" x14ac:dyDescent="0.2">
      <c r="A8" t="s">
        <v>1</v>
      </c>
      <c r="B8">
        <v>0</v>
      </c>
    </row>
    <row r="9" spans="1:2" x14ac:dyDescent="0.2">
      <c r="A9" t="s">
        <v>1821</v>
      </c>
      <c r="B9">
        <v>0</v>
      </c>
    </row>
    <row r="10" spans="1:2" x14ac:dyDescent="0.2">
      <c r="A10" t="s">
        <v>1706</v>
      </c>
      <c r="B10">
        <v>0</v>
      </c>
    </row>
    <row r="11" spans="1:2" x14ac:dyDescent="0.2">
      <c r="A11" t="s">
        <v>1708</v>
      </c>
      <c r="B11" s="7" t="s">
        <v>6</v>
      </c>
    </row>
    <row r="12" spans="1:2" x14ac:dyDescent="0.2">
      <c r="B12" s="7"/>
    </row>
    <row r="13" spans="1:2" x14ac:dyDescent="0.2">
      <c r="A13" s="14" t="s">
        <v>2148</v>
      </c>
      <c r="B13" s="7"/>
    </row>
    <row r="14" spans="1:2" x14ac:dyDescent="0.2">
      <c r="A14" s="42" t="s">
        <v>2149</v>
      </c>
      <c r="B14">
        <v>0</v>
      </c>
    </row>
    <row r="15" spans="1:2" x14ac:dyDescent="0.2">
      <c r="A15" s="42" t="s">
        <v>2150</v>
      </c>
      <c r="B15">
        <v>0</v>
      </c>
    </row>
    <row r="16" spans="1:2" x14ac:dyDescent="0.2">
      <c r="A16" s="42" t="s">
        <v>2151</v>
      </c>
      <c r="B16">
        <v>0</v>
      </c>
    </row>
    <row r="17" spans="1:2" x14ac:dyDescent="0.2">
      <c r="A17" s="42" t="s">
        <v>2152</v>
      </c>
      <c r="B17">
        <v>0</v>
      </c>
    </row>
    <row r="18" spans="1:2" x14ac:dyDescent="0.2">
      <c r="B18" s="7"/>
    </row>
    <row r="19" spans="1:2" x14ac:dyDescent="0.2">
      <c r="A19" s="14" t="s">
        <v>1823</v>
      </c>
      <c r="B19" s="7"/>
    </row>
    <row r="20" spans="1:2" x14ac:dyDescent="0.2">
      <c r="A20" t="s">
        <v>1824</v>
      </c>
      <c r="B20" s="7">
        <v>1</v>
      </c>
    </row>
    <row r="21" spans="1:2" x14ac:dyDescent="0.2">
      <c r="A21" t="s">
        <v>1825</v>
      </c>
      <c r="B21" s="7">
        <v>1</v>
      </c>
    </row>
    <row r="22" spans="1:2" x14ac:dyDescent="0.2">
      <c r="A22" t="s">
        <v>1826</v>
      </c>
      <c r="B22" s="7">
        <v>1</v>
      </c>
    </row>
    <row r="23" spans="1:2" x14ac:dyDescent="0.2">
      <c r="A23" t="s">
        <v>1827</v>
      </c>
      <c r="B23" s="7">
        <v>1</v>
      </c>
    </row>
    <row r="24" spans="1:2" x14ac:dyDescent="0.2">
      <c r="A24" t="s">
        <v>1828</v>
      </c>
      <c r="B24" s="7">
        <v>1</v>
      </c>
    </row>
    <row r="25" spans="1:2" x14ac:dyDescent="0.2">
      <c r="A25" t="s">
        <v>1829</v>
      </c>
      <c r="B25" s="7">
        <v>1</v>
      </c>
    </row>
    <row r="26" spans="1:2" x14ac:dyDescent="0.2">
      <c r="A26" t="s">
        <v>1830</v>
      </c>
      <c r="B26" s="7">
        <v>1</v>
      </c>
    </row>
    <row r="27" spans="1:2" x14ac:dyDescent="0.2">
      <c r="A27" t="s">
        <v>1831</v>
      </c>
      <c r="B27" s="7">
        <v>1</v>
      </c>
    </row>
    <row r="28" spans="1:2" x14ac:dyDescent="0.2">
      <c r="A28" t="s">
        <v>1832</v>
      </c>
      <c r="B28" s="7">
        <v>1</v>
      </c>
    </row>
    <row r="29" spans="1:2" x14ac:dyDescent="0.2">
      <c r="A29" t="s">
        <v>1833</v>
      </c>
      <c r="B29" s="7">
        <v>0</v>
      </c>
    </row>
    <row r="31" spans="1:2" ht="14" customHeight="1" x14ac:dyDescent="0.2">
      <c r="A31" s="14" t="s">
        <v>384</v>
      </c>
    </row>
    <row r="32" spans="1:2" x14ac:dyDescent="0.2">
      <c r="A32" t="s">
        <v>385</v>
      </c>
      <c r="B32">
        <v>0</v>
      </c>
    </row>
    <row r="33" spans="1:48" x14ac:dyDescent="0.2">
      <c r="A33" t="s">
        <v>386</v>
      </c>
      <c r="B33">
        <v>0</v>
      </c>
    </row>
    <row r="34" spans="1:48" x14ac:dyDescent="0.2">
      <c r="A34" t="s">
        <v>387</v>
      </c>
      <c r="B34">
        <v>0</v>
      </c>
    </row>
    <row r="35" spans="1:48" x14ac:dyDescent="0.2">
      <c r="A35" t="s">
        <v>388</v>
      </c>
      <c r="B35">
        <v>0</v>
      </c>
    </row>
    <row r="36" spans="1:48" x14ac:dyDescent="0.2">
      <c r="A36" t="s">
        <v>389</v>
      </c>
      <c r="B36">
        <v>0</v>
      </c>
    </row>
    <row r="37" spans="1:48" x14ac:dyDescent="0.2">
      <c r="A37" t="s">
        <v>390</v>
      </c>
      <c r="B37">
        <v>0</v>
      </c>
    </row>
    <row r="38" spans="1:48" x14ac:dyDescent="0.2">
      <c r="D38" s="5" t="s">
        <v>1327</v>
      </c>
      <c r="E38">
        <v>1</v>
      </c>
      <c r="F38">
        <v>2</v>
      </c>
      <c r="G38">
        <v>3</v>
      </c>
      <c r="H38">
        <v>4</v>
      </c>
      <c r="I38">
        <v>5</v>
      </c>
      <c r="J38">
        <v>6</v>
      </c>
    </row>
    <row r="39" spans="1:48" x14ac:dyDescent="0.2">
      <c r="A39" s="14" t="s">
        <v>335</v>
      </c>
      <c r="D39" s="15" t="s">
        <v>1326</v>
      </c>
      <c r="E39">
        <v>0.25</v>
      </c>
      <c r="F39">
        <v>0.25</v>
      </c>
      <c r="G39">
        <v>0.15</v>
      </c>
      <c r="H39">
        <v>0.15</v>
      </c>
      <c r="I39">
        <v>0.1</v>
      </c>
      <c r="J39">
        <v>0.1</v>
      </c>
    </row>
    <row r="40" spans="1:48" x14ac:dyDescent="0.2">
      <c r="A40" t="s">
        <v>336</v>
      </c>
      <c r="B40">
        <v>1</v>
      </c>
      <c r="D40" t="s">
        <v>1321</v>
      </c>
      <c r="E40">
        <f>_xlfn.XLOOKUP(Value1Position,$E$38:$J$38,$E$39:$J$39)</f>
        <v>0.25</v>
      </c>
    </row>
    <row r="41" spans="1:48" x14ac:dyDescent="0.2">
      <c r="A41" t="s">
        <v>337</v>
      </c>
      <c r="B41">
        <v>2</v>
      </c>
      <c r="D41" t="s">
        <v>1322</v>
      </c>
      <c r="E41">
        <f>_xlfn.XLOOKUP(Value2Position,$E$38:$J$38,$E$39:$J$39)</f>
        <v>0.25</v>
      </c>
    </row>
    <row r="42" spans="1:48" x14ac:dyDescent="0.2">
      <c r="A42" t="s">
        <v>338</v>
      </c>
      <c r="B42">
        <v>3</v>
      </c>
      <c r="D42" t="s">
        <v>1323</v>
      </c>
      <c r="E42">
        <f>_xlfn.XLOOKUP(Value3Position,$E$38:$J$38,$E$39:$J$39)</f>
        <v>0.15</v>
      </c>
    </row>
    <row r="43" spans="1:48" x14ac:dyDescent="0.2">
      <c r="A43" t="s">
        <v>339</v>
      </c>
      <c r="B43">
        <v>4</v>
      </c>
      <c r="D43" t="s">
        <v>48</v>
      </c>
      <c r="E43">
        <f>_xlfn.XLOOKUP(Value4Position,$E$38:$J$38,$E$39:$J$39)</f>
        <v>0.15</v>
      </c>
    </row>
    <row r="44" spans="1:48" x14ac:dyDescent="0.2">
      <c r="A44" t="s">
        <v>340</v>
      </c>
      <c r="B44">
        <v>5</v>
      </c>
      <c r="D44" t="s">
        <v>1324</v>
      </c>
      <c r="E44">
        <f>_xlfn.XLOOKUP(Value5Position,$E$38:$J$38,$E$39:$J$39)</f>
        <v>0.1</v>
      </c>
    </row>
    <row r="45" spans="1:48" x14ac:dyDescent="0.2">
      <c r="A45" t="s">
        <v>341</v>
      </c>
      <c r="B45">
        <v>6</v>
      </c>
      <c r="D45" t="s">
        <v>1325</v>
      </c>
      <c r="E45">
        <f>_xlfn.XLOOKUP(Value6Position,$E$38:$J$38,$E$39:$J$39)</f>
        <v>0.1</v>
      </c>
      <c r="J45" s="29"/>
      <c r="K45" s="29"/>
      <c r="L45" s="29"/>
      <c r="M45" s="29"/>
      <c r="N45" s="30"/>
      <c r="O45" s="29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8" x14ac:dyDescent="0.2">
      <c r="A46" t="s">
        <v>391</v>
      </c>
      <c r="B46">
        <v>0</v>
      </c>
    </row>
    <row r="47" spans="1:48" x14ac:dyDescent="0.2"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</row>
    <row r="48" spans="1:48" x14ac:dyDescent="0.2">
      <c r="A48" t="s">
        <v>1653</v>
      </c>
      <c r="B48">
        <v>1</v>
      </c>
      <c r="D48" s="15" t="s">
        <v>1785</v>
      </c>
    </row>
    <row r="49" spans="1:26" x14ac:dyDescent="0.2">
      <c r="A49" t="s">
        <v>1654</v>
      </c>
      <c r="B49">
        <v>2</v>
      </c>
      <c r="D49" s="5" t="s">
        <v>45</v>
      </c>
    </row>
    <row r="50" spans="1:26" x14ac:dyDescent="0.2">
      <c r="A50" t="s">
        <v>1655</v>
      </c>
      <c r="B50">
        <v>3</v>
      </c>
      <c r="D50" t="s">
        <v>1291</v>
      </c>
      <c r="E50" s="16"/>
      <c r="F50" s="29"/>
    </row>
    <row r="51" spans="1:26" x14ac:dyDescent="0.2">
      <c r="A51" t="s">
        <v>1656</v>
      </c>
      <c r="B51">
        <v>4</v>
      </c>
      <c r="D51" t="s">
        <v>47</v>
      </c>
      <c r="E51" s="16"/>
      <c r="F51" s="16"/>
    </row>
    <row r="52" spans="1:26" x14ac:dyDescent="0.2">
      <c r="A52" t="s">
        <v>1657</v>
      </c>
      <c r="B52">
        <v>5</v>
      </c>
      <c r="D52" t="s">
        <v>1292</v>
      </c>
      <c r="E52" s="16"/>
      <c r="F52" s="16"/>
    </row>
    <row r="53" spans="1:26" x14ac:dyDescent="0.2">
      <c r="A53" t="s">
        <v>1658</v>
      </c>
      <c r="B53">
        <v>6</v>
      </c>
      <c r="D53" t="s">
        <v>48</v>
      </c>
      <c r="E53" s="16"/>
      <c r="F53" s="16"/>
      <c r="G53" s="16"/>
      <c r="H53" s="16"/>
      <c r="I53" s="16"/>
      <c r="J53" s="16"/>
      <c r="K53" s="16"/>
      <c r="L53" s="30"/>
      <c r="M53" s="30"/>
      <c r="N53" s="30"/>
      <c r="O53" s="16"/>
      <c r="P53" s="29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2">
      <c r="A54" t="s">
        <v>1659</v>
      </c>
      <c r="B54">
        <v>0</v>
      </c>
      <c r="D54" t="s">
        <v>49</v>
      </c>
      <c r="E54" s="16"/>
      <c r="F54" s="16"/>
    </row>
    <row r="55" spans="1:26" x14ac:dyDescent="0.2">
      <c r="D55" t="s">
        <v>50</v>
      </c>
      <c r="E55" s="16"/>
      <c r="F55" s="16"/>
    </row>
    <row r="56" spans="1:26" x14ac:dyDescent="0.2">
      <c r="A56" t="s">
        <v>1660</v>
      </c>
      <c r="B56">
        <v>1</v>
      </c>
      <c r="E56" s="16"/>
    </row>
    <row r="57" spans="1:26" x14ac:dyDescent="0.2">
      <c r="A57" t="s">
        <v>1661</v>
      </c>
      <c r="B57">
        <v>2</v>
      </c>
      <c r="E57" s="16"/>
    </row>
    <row r="58" spans="1:26" x14ac:dyDescent="0.2">
      <c r="A58" t="s">
        <v>1662</v>
      </c>
      <c r="B58">
        <v>3</v>
      </c>
      <c r="D58" s="5" t="s">
        <v>44</v>
      </c>
      <c r="E58" s="16"/>
    </row>
    <row r="59" spans="1:26" x14ac:dyDescent="0.2">
      <c r="A59" t="s">
        <v>1663</v>
      </c>
      <c r="B59">
        <v>4</v>
      </c>
      <c r="D59" t="s">
        <v>55</v>
      </c>
      <c r="E59" s="16"/>
      <c r="F59" s="30"/>
    </row>
    <row r="60" spans="1:26" x14ac:dyDescent="0.2">
      <c r="A60" t="s">
        <v>1664</v>
      </c>
      <c r="B60">
        <v>5</v>
      </c>
      <c r="D60" s="9" t="s">
        <v>1928</v>
      </c>
      <c r="E60" s="16"/>
      <c r="F60" s="30"/>
    </row>
    <row r="61" spans="1:26" x14ac:dyDescent="0.2">
      <c r="A61" t="s">
        <v>1665</v>
      </c>
      <c r="B61">
        <v>6</v>
      </c>
      <c r="D61" t="s">
        <v>1310</v>
      </c>
      <c r="E61" s="16"/>
      <c r="F61" s="30"/>
    </row>
    <row r="62" spans="1:26" x14ac:dyDescent="0.2">
      <c r="A62" t="s">
        <v>1666</v>
      </c>
      <c r="B62">
        <v>0</v>
      </c>
      <c r="D62" t="s">
        <v>1311</v>
      </c>
      <c r="E62" s="16"/>
      <c r="F62" s="16"/>
    </row>
    <row r="63" spans="1:26" x14ac:dyDescent="0.2">
      <c r="E63" s="16"/>
    </row>
    <row r="64" spans="1:26" x14ac:dyDescent="0.2">
      <c r="A64" t="s">
        <v>1667</v>
      </c>
      <c r="B64">
        <v>1</v>
      </c>
      <c r="E64" s="16"/>
    </row>
    <row r="65" spans="1:6" x14ac:dyDescent="0.2">
      <c r="A65" t="s">
        <v>1668</v>
      </c>
      <c r="B65">
        <v>2</v>
      </c>
      <c r="E65" s="16"/>
    </row>
    <row r="66" spans="1:6" x14ac:dyDescent="0.2">
      <c r="A66" t="s">
        <v>1669</v>
      </c>
      <c r="B66">
        <v>3</v>
      </c>
      <c r="E66" s="16"/>
    </row>
    <row r="67" spans="1:6" x14ac:dyDescent="0.2">
      <c r="A67" t="s">
        <v>1670</v>
      </c>
      <c r="B67">
        <v>4</v>
      </c>
      <c r="D67" s="5" t="s">
        <v>51</v>
      </c>
      <c r="E67" s="16"/>
    </row>
    <row r="68" spans="1:6" x14ac:dyDescent="0.2">
      <c r="A68" t="s">
        <v>1671</v>
      </c>
      <c r="B68">
        <v>5</v>
      </c>
      <c r="D68" s="17"/>
      <c r="E68" s="16"/>
    </row>
    <row r="69" spans="1:6" x14ac:dyDescent="0.2">
      <c r="A69" t="s">
        <v>1672</v>
      </c>
      <c r="B69">
        <v>6</v>
      </c>
      <c r="D69" s="17"/>
      <c r="E69" s="16"/>
    </row>
    <row r="70" spans="1:6" x14ac:dyDescent="0.2">
      <c r="A70" t="s">
        <v>1673</v>
      </c>
      <c r="B70">
        <v>0</v>
      </c>
      <c r="D70" s="17" t="s">
        <v>1709</v>
      </c>
      <c r="E70" s="16"/>
      <c r="F70" s="29"/>
    </row>
    <row r="71" spans="1:6" x14ac:dyDescent="0.2">
      <c r="D71" s="9" t="s">
        <v>1314</v>
      </c>
      <c r="E71" s="16"/>
      <c r="F71" s="16"/>
    </row>
    <row r="72" spans="1:6" x14ac:dyDescent="0.2">
      <c r="A72" t="s">
        <v>1674</v>
      </c>
      <c r="B72">
        <v>1</v>
      </c>
      <c r="D72" s="9" t="s">
        <v>1315</v>
      </c>
      <c r="E72" s="16"/>
      <c r="F72" s="16"/>
    </row>
    <row r="73" spans="1:6" x14ac:dyDescent="0.2">
      <c r="A73" t="s">
        <v>1675</v>
      </c>
      <c r="B73">
        <v>2</v>
      </c>
      <c r="D73" s="9"/>
      <c r="E73" s="16"/>
    </row>
    <row r="74" spans="1:6" x14ac:dyDescent="0.2">
      <c r="A74" t="s">
        <v>1676</v>
      </c>
      <c r="B74">
        <v>3</v>
      </c>
      <c r="D74" s="9" t="s">
        <v>1290</v>
      </c>
      <c r="E74" s="16"/>
      <c r="F74" s="16"/>
    </row>
    <row r="75" spans="1:6" x14ac:dyDescent="0.2">
      <c r="A75" t="s">
        <v>1677</v>
      </c>
      <c r="B75">
        <v>4</v>
      </c>
      <c r="E75" s="16"/>
    </row>
    <row r="76" spans="1:6" x14ac:dyDescent="0.2">
      <c r="A76" t="s">
        <v>1678</v>
      </c>
      <c r="B76">
        <v>5</v>
      </c>
      <c r="E76" s="16"/>
    </row>
    <row r="77" spans="1:6" x14ac:dyDescent="0.2">
      <c r="A77" t="s">
        <v>1679</v>
      </c>
      <c r="B77">
        <v>6</v>
      </c>
      <c r="E77" s="16"/>
    </row>
    <row r="78" spans="1:6" x14ac:dyDescent="0.2">
      <c r="A78" t="s">
        <v>1680</v>
      </c>
      <c r="B78">
        <v>0</v>
      </c>
      <c r="D78" s="5" t="s">
        <v>52</v>
      </c>
      <c r="E78" s="16"/>
    </row>
    <row r="79" spans="1:6" x14ac:dyDescent="0.2">
      <c r="D79" t="s">
        <v>56</v>
      </c>
      <c r="E79" s="16"/>
      <c r="F79" s="16"/>
    </row>
    <row r="80" spans="1:6" x14ac:dyDescent="0.2">
      <c r="A80" t="s">
        <v>1681</v>
      </c>
      <c r="B80">
        <v>1</v>
      </c>
      <c r="D80" t="s">
        <v>1711</v>
      </c>
      <c r="E80" s="16"/>
      <c r="F80" s="16"/>
    </row>
    <row r="81" spans="1:6" x14ac:dyDescent="0.2">
      <c r="A81" t="s">
        <v>1682</v>
      </c>
      <c r="B81">
        <v>2</v>
      </c>
      <c r="D81" t="s">
        <v>1316</v>
      </c>
      <c r="E81" s="16"/>
      <c r="F81" s="16"/>
    </row>
    <row r="82" spans="1:6" x14ac:dyDescent="0.2">
      <c r="A82" t="s">
        <v>1683</v>
      </c>
      <c r="B82">
        <v>3</v>
      </c>
      <c r="D82" t="s">
        <v>1317</v>
      </c>
      <c r="E82" s="16"/>
      <c r="F82" s="16"/>
    </row>
    <row r="83" spans="1:6" x14ac:dyDescent="0.2">
      <c r="A83" t="s">
        <v>1684</v>
      </c>
      <c r="B83">
        <v>4</v>
      </c>
      <c r="E83" s="16"/>
    </row>
    <row r="84" spans="1:6" x14ac:dyDescent="0.2">
      <c r="A84" t="s">
        <v>1685</v>
      </c>
      <c r="B84">
        <v>5</v>
      </c>
      <c r="E84" s="16"/>
    </row>
    <row r="85" spans="1:6" x14ac:dyDescent="0.2">
      <c r="A85" t="s">
        <v>1686</v>
      </c>
      <c r="B85">
        <v>6</v>
      </c>
      <c r="E85" s="16"/>
    </row>
    <row r="86" spans="1:6" x14ac:dyDescent="0.2">
      <c r="A86" t="s">
        <v>1687</v>
      </c>
      <c r="B86">
        <v>0</v>
      </c>
      <c r="E86" s="16"/>
    </row>
    <row r="87" spans="1:6" x14ac:dyDescent="0.2">
      <c r="D87" s="5" t="s">
        <v>53</v>
      </c>
      <c r="E87" s="16"/>
    </row>
    <row r="88" spans="1:6" x14ac:dyDescent="0.2">
      <c r="D88" t="s">
        <v>57</v>
      </c>
      <c r="E88" s="16"/>
      <c r="F88" s="16"/>
    </row>
    <row r="89" spans="1:6" x14ac:dyDescent="0.2">
      <c r="D89" t="s">
        <v>58</v>
      </c>
      <c r="E89" s="16"/>
      <c r="F89" s="16"/>
    </row>
    <row r="90" spans="1:6" x14ac:dyDescent="0.2">
      <c r="D90" t="s">
        <v>1295</v>
      </c>
      <c r="E90" s="16"/>
      <c r="F90" s="16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BEC-BA3E-4212-ADEC-5B5BEEA5FB8D}">
  <dimension ref="A1:E2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36" customWidth="1"/>
    <col min="2" max="2" width="18.5" customWidth="1"/>
    <col min="5" max="5" width="16.5" customWidth="1"/>
    <col min="6" max="6" width="8.83203125" customWidth="1"/>
    <col min="8" max="8" width="8.83203125" customWidth="1"/>
  </cols>
  <sheetData>
    <row r="1" spans="1:5" x14ac:dyDescent="0.2">
      <c r="A1" t="s">
        <v>1808</v>
      </c>
      <c r="B1" s="7">
        <v>0</v>
      </c>
    </row>
    <row r="3" spans="1:5" x14ac:dyDescent="0.2">
      <c r="A3" s="5" t="s">
        <v>44</v>
      </c>
      <c r="E3" s="5" t="s">
        <v>1820</v>
      </c>
    </row>
    <row r="4" spans="1:5" x14ac:dyDescent="0.2">
      <c r="A4" t="s">
        <v>1809</v>
      </c>
      <c r="B4">
        <f>E4</f>
        <v>12</v>
      </c>
      <c r="E4">
        <v>12</v>
      </c>
    </row>
    <row r="5" spans="1:5" x14ac:dyDescent="0.2">
      <c r="A5" t="s">
        <v>1929</v>
      </c>
      <c r="B5">
        <f t="shared" ref="B5:B6" si="0">E5</f>
        <v>2.5</v>
      </c>
      <c r="E5">
        <v>2.5</v>
      </c>
    </row>
    <row r="6" spans="1:5" x14ac:dyDescent="0.2">
      <c r="A6" t="s">
        <v>1810</v>
      </c>
      <c r="B6" s="8">
        <f t="shared" si="0"/>
        <v>500000</v>
      </c>
      <c r="E6" s="8">
        <v>500000</v>
      </c>
    </row>
    <row r="7" spans="1:5" x14ac:dyDescent="0.2">
      <c r="B7" s="8"/>
      <c r="E7" s="8"/>
    </row>
    <row r="9" spans="1:5" x14ac:dyDescent="0.2">
      <c r="A9" s="5" t="s">
        <v>51</v>
      </c>
    </row>
    <row r="10" spans="1:5" x14ac:dyDescent="0.2">
      <c r="A10" s="9" t="s">
        <v>1811</v>
      </c>
      <c r="B10" s="6">
        <f>E10</f>
        <v>40</v>
      </c>
      <c r="E10" s="6">
        <v>40</v>
      </c>
    </row>
    <row r="11" spans="1:5" x14ac:dyDescent="0.2">
      <c r="A11" s="9" t="s">
        <v>1812</v>
      </c>
      <c r="B11">
        <f t="shared" ref="B11:B12" si="1">E11</f>
        <v>60</v>
      </c>
      <c r="E11">
        <v>60</v>
      </c>
    </row>
    <row r="12" spans="1:5" x14ac:dyDescent="0.2">
      <c r="A12" s="9" t="s">
        <v>1813</v>
      </c>
      <c r="B12" s="6">
        <f t="shared" si="1"/>
        <v>60</v>
      </c>
      <c r="E12" s="6">
        <v>60</v>
      </c>
    </row>
    <row r="13" spans="1:5" x14ac:dyDescent="0.2">
      <c r="A13" s="9"/>
      <c r="B13" s="6"/>
      <c r="E13" s="6"/>
    </row>
    <row r="15" spans="1:5" x14ac:dyDescent="0.2">
      <c r="A15" s="5" t="s">
        <v>52</v>
      </c>
    </row>
    <row r="16" spans="1:5" x14ac:dyDescent="0.2">
      <c r="A16" t="s">
        <v>1814</v>
      </c>
      <c r="B16" s="6">
        <f>E16</f>
        <v>65</v>
      </c>
      <c r="E16" s="6">
        <v>65</v>
      </c>
    </row>
    <row r="17" spans="1:5" x14ac:dyDescent="0.2">
      <c r="A17" t="s">
        <v>1815</v>
      </c>
      <c r="B17">
        <f t="shared" ref="B17:B18" si="2">E17</f>
        <v>75</v>
      </c>
      <c r="E17">
        <v>75</v>
      </c>
    </row>
    <row r="18" spans="1:5" x14ac:dyDescent="0.2">
      <c r="A18" t="s">
        <v>1816</v>
      </c>
      <c r="B18" s="6">
        <f t="shared" si="2"/>
        <v>2000000000</v>
      </c>
      <c r="E18" s="6">
        <v>2000000000</v>
      </c>
    </row>
    <row r="19" spans="1:5" x14ac:dyDescent="0.2">
      <c r="B19" s="6"/>
      <c r="E19" s="6"/>
    </row>
    <row r="21" spans="1:5" x14ac:dyDescent="0.2">
      <c r="A21" s="5" t="s">
        <v>53</v>
      </c>
    </row>
    <row r="22" spans="1:5" x14ac:dyDescent="0.2">
      <c r="A22" t="s">
        <v>1817</v>
      </c>
      <c r="B22" s="6">
        <f>E22</f>
        <v>60</v>
      </c>
      <c r="E22" s="6">
        <v>60</v>
      </c>
    </row>
    <row r="23" spans="1:5" x14ac:dyDescent="0.2">
      <c r="A23" t="s">
        <v>1818</v>
      </c>
      <c r="B23">
        <f t="shared" ref="B23:B24" si="3">E23</f>
        <v>60</v>
      </c>
      <c r="E23">
        <v>60</v>
      </c>
    </row>
    <row r="24" spans="1:5" x14ac:dyDescent="0.2">
      <c r="A24" t="s">
        <v>1819</v>
      </c>
      <c r="B24" s="6">
        <f t="shared" si="3"/>
        <v>65</v>
      </c>
      <c r="E24" s="6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01A-5166-4189-94A7-6B3DE08B1A9D}">
  <dimension ref="A1:V118"/>
  <sheetViews>
    <sheetView workbookViewId="0">
      <selection activeCell="L75" sqref="L75"/>
    </sheetView>
  </sheetViews>
  <sheetFormatPr baseColWidth="10" defaultColWidth="8.83203125" defaultRowHeight="15" x14ac:dyDescent="0.2"/>
  <cols>
    <col min="1" max="1" width="37.5" customWidth="1"/>
    <col min="2" max="10" width="14.5" customWidth="1"/>
  </cols>
  <sheetData>
    <row r="1" spans="1:10" x14ac:dyDescent="0.2">
      <c r="A1" t="s">
        <v>43</v>
      </c>
    </row>
    <row r="3" spans="1:10" x14ac:dyDescent="0.2">
      <c r="A3" t="s">
        <v>0</v>
      </c>
      <c r="B3">
        <v>0</v>
      </c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t="s">
        <v>4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</row>
    <row r="6" spans="1:10" x14ac:dyDescent="0.2">
      <c r="A6" t="s">
        <v>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</row>
    <row r="8" spans="1:10" hidden="1" x14ac:dyDescent="0.2"/>
    <row r="9" spans="1:10" hidden="1" x14ac:dyDescent="0.2"/>
    <row r="10" spans="1:10" hidden="1" x14ac:dyDescent="0.2"/>
    <row r="11" spans="1:10" hidden="1" x14ac:dyDescent="0.2"/>
    <row r="12" spans="1:10" hidden="1" x14ac:dyDescent="0.2"/>
    <row r="13" spans="1:10" hidden="1" x14ac:dyDescent="0.2"/>
    <row r="14" spans="1:10" hidden="1" x14ac:dyDescent="0.2"/>
    <row r="15" spans="1:10" hidden="1" x14ac:dyDescent="0.2"/>
    <row r="16" spans="1:10" hidden="1" x14ac:dyDescent="0.2"/>
    <row r="17" spans="13:21" hidden="1" x14ac:dyDescent="0.2"/>
    <row r="18" spans="13:21" hidden="1" x14ac:dyDescent="0.2"/>
    <row r="19" spans="13:21" hidden="1" x14ac:dyDescent="0.2"/>
    <row r="20" spans="13:21" hidden="1" x14ac:dyDescent="0.2"/>
    <row r="21" spans="13:21" hidden="1" x14ac:dyDescent="0.2"/>
    <row r="22" spans="13:21" hidden="1" x14ac:dyDescent="0.2"/>
    <row r="23" spans="13:21" hidden="1" x14ac:dyDescent="0.2"/>
    <row r="24" spans="13:21" hidden="1" x14ac:dyDescent="0.2"/>
    <row r="25" spans="13:21" hidden="1" x14ac:dyDescent="0.2"/>
    <row r="26" spans="13:21" hidden="1" x14ac:dyDescent="0.2"/>
    <row r="27" spans="13:21" hidden="1" x14ac:dyDescent="0.2"/>
    <row r="28" spans="13:21" hidden="1" x14ac:dyDescent="0.2"/>
    <row r="29" spans="13:21" hidden="1" x14ac:dyDescent="0.2"/>
    <row r="30" spans="13:21" hidden="1" x14ac:dyDescent="0.2"/>
    <row r="31" spans="13:21" hidden="1" x14ac:dyDescent="0.2"/>
    <row r="32" spans="13:21" hidden="1" x14ac:dyDescent="0.2">
      <c r="M32" s="6"/>
      <c r="N32" s="6"/>
      <c r="O32" s="6"/>
      <c r="P32" s="6"/>
      <c r="Q32" s="6"/>
      <c r="R32" s="6"/>
      <c r="S32" s="6"/>
      <c r="T32" s="6"/>
      <c r="U32" s="6"/>
    </row>
    <row r="33" spans="13:22" hidden="1" x14ac:dyDescent="0.2">
      <c r="M33" s="6"/>
      <c r="N33" s="6"/>
      <c r="O33" s="6"/>
      <c r="P33" s="6"/>
      <c r="Q33" s="6"/>
      <c r="R33" s="6"/>
      <c r="S33" s="6"/>
      <c r="T33" s="6"/>
      <c r="U33" s="6"/>
    </row>
    <row r="34" spans="13:22" hidden="1" x14ac:dyDescent="0.2">
      <c r="M34" s="6"/>
      <c r="N34" s="6"/>
      <c r="O34" s="6"/>
      <c r="P34" s="6"/>
      <c r="Q34" s="6"/>
      <c r="R34" s="6"/>
      <c r="S34" s="6"/>
      <c r="T34" s="6"/>
      <c r="U34" s="6"/>
    </row>
    <row r="35" spans="13:22" hidden="1" x14ac:dyDescent="0.2">
      <c r="M35" s="6"/>
      <c r="N35" s="6"/>
      <c r="O35" s="6"/>
      <c r="P35" s="6"/>
      <c r="Q35" s="6"/>
      <c r="R35" s="6"/>
      <c r="S35" s="6"/>
      <c r="T35" s="6"/>
      <c r="U35" s="6"/>
    </row>
    <row r="36" spans="13:22" hidden="1" x14ac:dyDescent="0.2">
      <c r="M36" s="6"/>
      <c r="U36" s="6"/>
      <c r="V36" s="6"/>
    </row>
    <row r="37" spans="13:22" hidden="1" x14ac:dyDescent="0.2">
      <c r="M37" s="6"/>
      <c r="U37" s="6"/>
      <c r="V37" s="6"/>
    </row>
    <row r="38" spans="13:22" hidden="1" x14ac:dyDescent="0.2">
      <c r="M38" s="6"/>
      <c r="N38" s="6"/>
      <c r="O38" s="6"/>
      <c r="P38" s="6"/>
      <c r="Q38" s="6"/>
      <c r="R38" s="6"/>
      <c r="S38" s="6"/>
      <c r="T38" s="6"/>
      <c r="U38" s="6"/>
    </row>
    <row r="39" spans="13:22" hidden="1" x14ac:dyDescent="0.2">
      <c r="M39" s="6"/>
      <c r="N39" s="6"/>
      <c r="O39" s="6"/>
      <c r="P39" s="6"/>
      <c r="Q39" s="6"/>
      <c r="R39" s="6"/>
      <c r="S39" s="6"/>
      <c r="T39" s="6"/>
      <c r="U39" s="6"/>
    </row>
    <row r="40" spans="13:22" hidden="1" x14ac:dyDescent="0.2">
      <c r="M40" s="6"/>
      <c r="N40" s="6"/>
      <c r="O40" s="6"/>
      <c r="P40" s="6"/>
      <c r="Q40" s="6"/>
      <c r="R40" s="6"/>
      <c r="S40" s="6"/>
      <c r="T40" s="6"/>
      <c r="U40" s="6"/>
    </row>
    <row r="41" spans="13:22" hidden="1" x14ac:dyDescent="0.2">
      <c r="M41" s="6"/>
      <c r="N41" s="6"/>
      <c r="O41" s="6"/>
      <c r="P41" s="6"/>
      <c r="Q41" s="6"/>
      <c r="R41" s="6"/>
      <c r="S41" s="6"/>
      <c r="T41" s="6"/>
      <c r="U41" s="6"/>
    </row>
    <row r="42" spans="13:22" hidden="1" x14ac:dyDescent="0.2">
      <c r="M42" s="6"/>
      <c r="N42" s="6"/>
      <c r="O42" s="6"/>
      <c r="P42" s="6"/>
      <c r="Q42" s="6"/>
      <c r="R42" s="6"/>
      <c r="S42" s="6"/>
      <c r="T42" s="6"/>
      <c r="U42" s="6"/>
    </row>
    <row r="43" spans="13:22" hidden="1" x14ac:dyDescent="0.2">
      <c r="M43" s="6"/>
      <c r="N43" s="6"/>
      <c r="O43" s="6"/>
      <c r="P43" s="6"/>
      <c r="Q43" s="6"/>
      <c r="R43" s="6"/>
      <c r="S43" s="6"/>
      <c r="T43" s="6"/>
      <c r="U43" s="6"/>
    </row>
    <row r="44" spans="13:22" hidden="1" x14ac:dyDescent="0.2"/>
    <row r="45" spans="13:22" hidden="1" x14ac:dyDescent="0.2"/>
    <row r="46" spans="13:22" hidden="1" x14ac:dyDescent="0.2"/>
    <row r="47" spans="13:22" hidden="1" x14ac:dyDescent="0.2"/>
    <row r="48" spans="13:22" hidden="1" x14ac:dyDescent="0.2"/>
    <row r="49" spans="1:10" hidden="1" x14ac:dyDescent="0.2"/>
    <row r="50" spans="1:10" hidden="1" x14ac:dyDescent="0.2"/>
    <row r="51" spans="1:10" hidden="1" x14ac:dyDescent="0.2"/>
    <row r="52" spans="1:10" hidden="1" x14ac:dyDescent="0.2"/>
    <row r="53" spans="1:10" hidden="1" x14ac:dyDescent="0.2"/>
    <row r="54" spans="1:10" hidden="1" x14ac:dyDescent="0.2"/>
    <row r="55" spans="1:10" hidden="1" x14ac:dyDescent="0.2"/>
    <row r="56" spans="1:10" hidden="1" x14ac:dyDescent="0.2"/>
    <row r="57" spans="1:10" hidden="1" x14ac:dyDescent="0.2"/>
    <row r="58" spans="1:10" hidden="1" x14ac:dyDescent="0.2"/>
    <row r="59" spans="1:10" hidden="1" x14ac:dyDescent="0.2"/>
    <row r="60" spans="1:10" hidden="1" x14ac:dyDescent="0.2"/>
    <row r="61" spans="1:10" hidden="1" x14ac:dyDescent="0.2"/>
    <row r="63" spans="1:10" x14ac:dyDescent="0.2">
      <c r="A63" s="5" t="s">
        <v>45</v>
      </c>
    </row>
    <row r="64" spans="1:10" x14ac:dyDescent="0.2">
      <c r="A64" t="s">
        <v>1291</v>
      </c>
      <c r="B64">
        <v>50</v>
      </c>
      <c r="C64">
        <f>$B64+'Economy Ministry'!C64*EcEnabled+'Environment Ministry'!C64*EnvEnabled+'Defence Ministry'!C64*DefEnabled+'Education Ministry'!C64*EduEnabled+Crises!C64+'Breaking News'!C64+Dilemmas!C64+Startups!C64</f>
        <v>50</v>
      </c>
      <c r="D64">
        <f>$B64+'Economy Ministry'!D64*EcEnabled+'Environment Ministry'!D64*EnvEnabled+'Defence Ministry'!D64*DefEnabled+'Education Ministry'!D64*EduEnabled+Crises!D64+'Breaking News'!D64+Dilemmas!D64+Startups!D64</f>
        <v>50</v>
      </c>
      <c r="E64">
        <f>$B64+'Economy Ministry'!E64*EcEnabled+'Environment Ministry'!E64*EnvEnabled+'Defence Ministry'!E64*DefEnabled+'Education Ministry'!E64*EduEnabled+Crises!E64+'Breaking News'!E64+Dilemmas!E64+Startups!E64</f>
        <v>50</v>
      </c>
      <c r="F64">
        <f>$B64+'Economy Ministry'!F64*EcEnabled+'Environment Ministry'!F64*EnvEnabled+'Defence Ministry'!F64*DefEnabled+'Education Ministry'!F64*EduEnabled+Crises!F64+'Breaking News'!F64+Dilemmas!F64+Startups!F64</f>
        <v>50</v>
      </c>
      <c r="G64">
        <f>$B64+'Economy Ministry'!G64*EcEnabled+'Environment Ministry'!G64*EnvEnabled+'Defence Ministry'!G64*DefEnabled+'Education Ministry'!G64*EduEnabled+Crises!G64+'Breaking News'!G64+Dilemmas!G64+Startups!G64</f>
        <v>50</v>
      </c>
      <c r="H64">
        <f>$B64+'Economy Ministry'!H64*EcEnabled+'Environment Ministry'!H64*EnvEnabled+'Defence Ministry'!H64*DefEnabled+'Education Ministry'!H64*EduEnabled+Crises!H64+'Breaking News'!H64+Dilemmas!H64+Startups!H64</f>
        <v>50</v>
      </c>
      <c r="I64">
        <f>$B64+'Economy Ministry'!I64*EcEnabled+'Environment Ministry'!I64*EnvEnabled+'Defence Ministry'!I64*DefEnabled+'Education Ministry'!I64*EduEnabled+Crises!I64+'Breaking News'!I64+Dilemmas!I64</f>
        <v>50</v>
      </c>
      <c r="J64">
        <f>$B64+'Economy Ministry'!J64*EcEnabled+'Environment Ministry'!J64*EnvEnabled+'Defence Ministry'!J64*DefEnabled+'Education Ministry'!J64*EduEnabled+Crises!J64+'Breaking News'!J64+Dilemmas!J64</f>
        <v>50</v>
      </c>
    </row>
    <row r="65" spans="1:10" x14ac:dyDescent="0.2">
      <c r="A65" t="s">
        <v>47</v>
      </c>
      <c r="B65">
        <v>55</v>
      </c>
      <c r="C65">
        <f>$B65+'Economy Ministry'!C65*EcEnabled+'Environment Ministry'!C65*EnvEnabled+'Defence Ministry'!C65*DefEnabled+'Education Ministry'!C65*EduEnabled+Crises!C65+'Breaking News'!C65+Dilemmas!C65+Startups!C65</f>
        <v>55</v>
      </c>
      <c r="D65">
        <f>$B65+'Economy Ministry'!D65*EcEnabled+'Environment Ministry'!D65*EnvEnabled+'Defence Ministry'!D65*DefEnabled+'Education Ministry'!D65*EduEnabled+Crises!D65+'Breaking News'!D65+Dilemmas!D65+Startups!D65</f>
        <v>53.4</v>
      </c>
      <c r="E65">
        <f>$B65+'Economy Ministry'!E65*EcEnabled+'Environment Ministry'!E65*EnvEnabled+'Defence Ministry'!E65*DefEnabled+'Education Ministry'!E65*EduEnabled+Crises!E65+'Breaking News'!E65+Dilemmas!E65+Startups!E65</f>
        <v>53.4</v>
      </c>
      <c r="F65">
        <f>$B65+'Economy Ministry'!F65*EcEnabled+'Environment Ministry'!F65*EnvEnabled+'Defence Ministry'!F65*DefEnabled+'Education Ministry'!F65*EduEnabled+Crises!F65+'Breaking News'!F65+Dilemmas!F65+Startups!F65</f>
        <v>53.4</v>
      </c>
      <c r="G65">
        <f>$B65+'Economy Ministry'!G65*EcEnabled+'Environment Ministry'!G65*EnvEnabled+'Defence Ministry'!G65*DefEnabled+'Education Ministry'!G65*EduEnabled+Crises!G65+'Breaking News'!G65+Dilemmas!G65+Startups!G65</f>
        <v>53.4</v>
      </c>
      <c r="H65">
        <f>$B65+'Economy Ministry'!H65*EcEnabled+'Environment Ministry'!H65*EnvEnabled+'Defence Ministry'!H65*DefEnabled+'Education Ministry'!H65*EduEnabled+Crises!H65+'Breaking News'!H65+Dilemmas!H65+Startups!H65</f>
        <v>53.4</v>
      </c>
      <c r="I65">
        <f>$B65+'Economy Ministry'!I65*EcEnabled+'Environment Ministry'!I65*EnvEnabled+'Defence Ministry'!I65*DefEnabled+'Education Ministry'!I65*EduEnabled+Crises!I65+'Breaking News'!I65+Dilemmas!I65</f>
        <v>53.4</v>
      </c>
      <c r="J65">
        <f>$B65+'Economy Ministry'!J65*EcEnabled+'Environment Ministry'!J65*EnvEnabled+'Defence Ministry'!J65*DefEnabled+'Education Ministry'!J65*EduEnabled+Crises!J65+'Breaking News'!J65+Dilemmas!J65</f>
        <v>53.4</v>
      </c>
    </row>
    <row r="66" spans="1:10" x14ac:dyDescent="0.2">
      <c r="A66" t="s">
        <v>1292</v>
      </c>
      <c r="B66">
        <v>40</v>
      </c>
      <c r="C66">
        <f>$B66+'Economy Ministry'!C66*EcEnabled+'Environment Ministry'!C66*EnvEnabled+'Defence Ministry'!C66*DefEnabled+'Education Ministry'!C66*EduEnabled+Crises!C66+'Breaking News'!C66+Dilemmas!C66+Startups!C66</f>
        <v>40</v>
      </c>
      <c r="D66">
        <f>$B66+'Economy Ministry'!D66*EcEnabled+'Environment Ministry'!D66*EnvEnabled+'Defence Ministry'!D66*DefEnabled+'Education Ministry'!D66*EduEnabled+Crises!D66+'Breaking News'!D66+Dilemmas!D66+Startups!D66</f>
        <v>40</v>
      </c>
      <c r="E66">
        <f>$B66+'Economy Ministry'!E66*EcEnabled+'Environment Ministry'!E66*EnvEnabled+'Defence Ministry'!E66*DefEnabled+'Education Ministry'!E66*EduEnabled+Crises!E66+'Breaking News'!E66+Dilemmas!E66+Startups!E66</f>
        <v>40</v>
      </c>
      <c r="F66">
        <f>$B66+'Economy Ministry'!F66*EcEnabled+'Environment Ministry'!F66*EnvEnabled+'Defence Ministry'!F66*DefEnabled+'Education Ministry'!F66*EduEnabled+Crises!F66+'Breaking News'!F66+Dilemmas!F66+Startups!F66</f>
        <v>40</v>
      </c>
      <c r="G66">
        <f>$B66+'Economy Ministry'!G66*EcEnabled+'Environment Ministry'!G66*EnvEnabled+'Defence Ministry'!G66*DefEnabled+'Education Ministry'!G66*EduEnabled+Crises!G66+'Breaking News'!G66+Dilemmas!G66+Startups!G66</f>
        <v>40</v>
      </c>
      <c r="H66">
        <f>$B66+'Economy Ministry'!H66*EcEnabled+'Environment Ministry'!H66*EnvEnabled+'Defence Ministry'!H66*DefEnabled+'Education Ministry'!H66*EduEnabled+Crises!H66+'Breaking News'!H66+Dilemmas!H66+Startups!H66</f>
        <v>40</v>
      </c>
      <c r="I66">
        <f>$B66+'Economy Ministry'!I66*EcEnabled+'Environment Ministry'!I66*EnvEnabled+'Defence Ministry'!I66*DefEnabled+'Education Ministry'!I66*EduEnabled+Crises!I66+'Breaking News'!I66+Dilemmas!I66</f>
        <v>40</v>
      </c>
      <c r="J66">
        <f>$B66+'Economy Ministry'!J66*EcEnabled+'Environment Ministry'!J66*EnvEnabled+'Defence Ministry'!J66*DefEnabled+'Education Ministry'!J66*EduEnabled+Crises!J66+'Breaking News'!J66+Dilemmas!J66</f>
        <v>40</v>
      </c>
    </row>
    <row r="67" spans="1:10" x14ac:dyDescent="0.2">
      <c r="A67" t="s">
        <v>48</v>
      </c>
      <c r="B67">
        <v>38</v>
      </c>
      <c r="C67">
        <f>$B67+'Economy Ministry'!C67*EcEnabled+'Environment Ministry'!C67*EnvEnabled+'Defence Ministry'!C67*DefEnabled+'Education Ministry'!C67*EduEnabled+Crises!C67+'Breaking News'!C67+Dilemmas!C67+Startups!C67</f>
        <v>38</v>
      </c>
      <c r="D67">
        <f>$B67+'Economy Ministry'!D67*EcEnabled+'Environment Ministry'!D67*EnvEnabled+'Defence Ministry'!D67*DefEnabled+'Education Ministry'!D67*EduEnabled+Crises!D67+'Breaking News'!D67+Dilemmas!D67+Startups!D67</f>
        <v>36.4</v>
      </c>
      <c r="E67">
        <f>$B67+'Economy Ministry'!E67*EcEnabled+'Environment Ministry'!E67*EnvEnabled+'Defence Ministry'!E67*DefEnabled+'Education Ministry'!E67*EduEnabled+Crises!E67+'Breaking News'!E67+Dilemmas!E67+Startups!E67</f>
        <v>36.4</v>
      </c>
      <c r="F67">
        <f>$B67+'Economy Ministry'!F67*EcEnabled+'Environment Ministry'!F67*EnvEnabled+'Defence Ministry'!F67*DefEnabled+'Education Ministry'!F67*EduEnabled+Crises!F67+'Breaking News'!F67+Dilemmas!F67+Startups!F67</f>
        <v>36.4</v>
      </c>
      <c r="G67">
        <f>$B67+'Economy Ministry'!G67*EcEnabled+'Environment Ministry'!G67*EnvEnabled+'Defence Ministry'!G67*DefEnabled+'Education Ministry'!G67*EduEnabled+Crises!G67+'Breaking News'!G67+Dilemmas!G67+Startups!G67</f>
        <v>36.4</v>
      </c>
      <c r="H67">
        <f>$B67+'Economy Ministry'!H67*EcEnabled+'Environment Ministry'!H67*EnvEnabled+'Defence Ministry'!H67*DefEnabled+'Education Ministry'!H67*EduEnabled+Crises!H67+'Breaking News'!H67+Dilemmas!H67+Startups!H67</f>
        <v>34.799999999999997</v>
      </c>
      <c r="I67">
        <f>$B67+'Economy Ministry'!I67*EcEnabled+'Environment Ministry'!I67*EnvEnabled+'Defence Ministry'!I67*DefEnabled+'Education Ministry'!I67*EduEnabled+Crises!I67+'Breaking News'!I67+Dilemmas!I67</f>
        <v>34.799999999999997</v>
      </c>
      <c r="J67">
        <f>$B67+'Economy Ministry'!J67*EcEnabled+'Environment Ministry'!J67*EnvEnabled+'Defence Ministry'!J67*DefEnabled+'Education Ministry'!J67*EduEnabled+Crises!J67+'Breaking News'!J67+Dilemmas!J67</f>
        <v>34.799999999999997</v>
      </c>
    </row>
    <row r="68" spans="1:10" x14ac:dyDescent="0.2">
      <c r="A68" t="s">
        <v>49</v>
      </c>
      <c r="B68">
        <v>45</v>
      </c>
      <c r="C68">
        <f>$B68+'Economy Ministry'!C68*EcEnabled+'Environment Ministry'!C68*EnvEnabled+'Defence Ministry'!C68*DefEnabled+'Education Ministry'!C68*EduEnabled+Crises!C68+'Breaking News'!C68+Dilemmas!C68+Startups!C68</f>
        <v>45</v>
      </c>
      <c r="D68">
        <f>$B68+'Economy Ministry'!D68*EcEnabled+'Environment Ministry'!D68*EnvEnabled+'Defence Ministry'!D68*DefEnabled+'Education Ministry'!D68*EduEnabled+Crises!D68+'Breaking News'!D68+Dilemmas!D68+Startups!D68</f>
        <v>45</v>
      </c>
      <c r="E68">
        <f>$B68+'Economy Ministry'!E68*EcEnabled+'Environment Ministry'!E68*EnvEnabled+'Defence Ministry'!E68*DefEnabled+'Education Ministry'!E68*EduEnabled+Crises!E68+'Breaking News'!E68+Dilemmas!E68+Startups!E68</f>
        <v>45</v>
      </c>
      <c r="F68">
        <f>$B68+'Economy Ministry'!F68*EcEnabled+'Environment Ministry'!F68*EnvEnabled+'Defence Ministry'!F68*DefEnabled+'Education Ministry'!F68*EduEnabled+Crises!F68+'Breaking News'!F68+Dilemmas!F68+Startups!F68</f>
        <v>45</v>
      </c>
      <c r="G68">
        <f>$B68+'Economy Ministry'!G68*EcEnabled+'Environment Ministry'!G68*EnvEnabled+'Defence Ministry'!G68*DefEnabled+'Education Ministry'!G68*EduEnabled+Crises!G68+'Breaking News'!G68+Dilemmas!G68+Startups!G68</f>
        <v>45</v>
      </c>
      <c r="H68">
        <f>$B68+'Economy Ministry'!H68*EcEnabled+'Environment Ministry'!H68*EnvEnabled+'Defence Ministry'!H68*DefEnabled+'Education Ministry'!H68*EduEnabled+Crises!H68+'Breaking News'!H68+Dilemmas!H68+Startups!H68</f>
        <v>45</v>
      </c>
      <c r="I68">
        <f>$B68+'Economy Ministry'!I68*EcEnabled+'Environment Ministry'!I68*EnvEnabled+'Defence Ministry'!I68*DefEnabled+'Education Ministry'!I68*EduEnabled+Crises!I68+'Breaking News'!I68+Dilemmas!I68</f>
        <v>45</v>
      </c>
      <c r="J68">
        <f>$B68+'Economy Ministry'!J68*EcEnabled+'Environment Ministry'!J68*EnvEnabled+'Defence Ministry'!J68*DefEnabled+'Education Ministry'!J68*EduEnabled+Crises!J68+'Breaking News'!J68+Dilemmas!J68</f>
        <v>45</v>
      </c>
    </row>
    <row r="69" spans="1:10" x14ac:dyDescent="0.2">
      <c r="A69" t="s">
        <v>50</v>
      </c>
      <c r="B69">
        <v>38</v>
      </c>
      <c r="C69">
        <f>$B69+'Economy Ministry'!C69*EcEnabled+'Environment Ministry'!C69*EnvEnabled+'Defence Ministry'!C69*DefEnabled+'Education Ministry'!C69*EduEnabled+Crises!C69+'Breaking News'!C69+Dilemmas!C69+Startups!C69</f>
        <v>38</v>
      </c>
      <c r="D69">
        <f>$B69+'Economy Ministry'!D69*EcEnabled+'Environment Ministry'!D69*EnvEnabled+'Defence Ministry'!D69*DefEnabled+'Education Ministry'!D69*EduEnabled+Crises!D69+'Breaking News'!D69+Dilemmas!D69+Startups!D69</f>
        <v>34.799999999999997</v>
      </c>
      <c r="E69">
        <f>$B69+'Economy Ministry'!E69*EcEnabled+'Environment Ministry'!E69*EnvEnabled+'Defence Ministry'!E69*DefEnabled+'Education Ministry'!E69*EduEnabled+Crises!E69+'Breaking News'!E69+Dilemmas!E69+Startups!E69</f>
        <v>34.799999999999997</v>
      </c>
      <c r="F69">
        <f>$B69+'Economy Ministry'!F69*EcEnabled+'Environment Ministry'!F69*EnvEnabled+'Defence Ministry'!F69*DefEnabled+'Education Ministry'!F69*EduEnabled+Crises!F69+'Breaking News'!F69+Dilemmas!F69+Startups!F69</f>
        <v>34.799999999999997</v>
      </c>
      <c r="G69">
        <f>$B69+'Economy Ministry'!G69*EcEnabled+'Environment Ministry'!G69*EnvEnabled+'Defence Ministry'!G69*DefEnabled+'Education Ministry'!G69*EduEnabled+Crises!G69+'Breaking News'!G69+Dilemmas!G69+Startups!G69</f>
        <v>34.799999999999997</v>
      </c>
      <c r="H69">
        <f>$B69+'Economy Ministry'!H69*EcEnabled+'Environment Ministry'!H69*EnvEnabled+'Defence Ministry'!H69*DefEnabled+'Education Ministry'!H69*EduEnabled+Crises!H69+'Breaking News'!H69+Dilemmas!H69+Startups!H69</f>
        <v>31.6</v>
      </c>
      <c r="I69">
        <f>$B69+'Economy Ministry'!I69*EcEnabled+'Environment Ministry'!I69*EnvEnabled+'Defence Ministry'!I69*DefEnabled+'Education Ministry'!I69*EduEnabled+Crises!I69+'Breaking News'!I69+Dilemmas!I69</f>
        <v>31.6</v>
      </c>
      <c r="J69">
        <f>$B69+'Economy Ministry'!J69*EcEnabled+'Environment Ministry'!J69*EnvEnabled+'Defence Ministry'!J69*DefEnabled+'Education Ministry'!J69*EduEnabled+Crises!J69+'Breaking News'!J69+Dilemmas!J69</f>
        <v>31.6</v>
      </c>
    </row>
    <row r="72" spans="1:10" x14ac:dyDescent="0.2">
      <c r="A72" s="5" t="s">
        <v>44</v>
      </c>
    </row>
    <row r="73" spans="1:10" x14ac:dyDescent="0.2">
      <c r="A73" t="s">
        <v>55</v>
      </c>
      <c r="B73">
        <v>3</v>
      </c>
      <c r="C73">
        <f>$B73+'Economy Ministry'!C73*EcEnabled+'Environment Ministry'!C73*EnvEnabled+'Defence Ministry'!C73*DefEnabled+'Education Ministry'!C73*EduEnabled+Crises!C73+'Breaking News'!C73+Dilemmas!C73+Startups!C73</f>
        <v>2.6799999999999997</v>
      </c>
      <c r="D73">
        <f>$B73+'Economy Ministry'!D73*EcEnabled+'Environment Ministry'!D73*EnvEnabled+'Defence Ministry'!D73*DefEnabled+'Education Ministry'!D73*EduEnabled+Crises!D73+'Breaking News'!D73+Dilemmas!D73+Startups!D73</f>
        <v>2.6799999999999997</v>
      </c>
      <c r="E73">
        <f>$B73+'Economy Ministry'!E73*EcEnabled+'Environment Ministry'!E73*EnvEnabled+'Defence Ministry'!E73*DefEnabled+'Education Ministry'!E73*EduEnabled+Crises!E73+'Breaking News'!E73+Dilemmas!E73+Startups!E73</f>
        <v>2.6799999999999997</v>
      </c>
      <c r="F73">
        <f>$B73+'Economy Ministry'!F73*EcEnabled+'Environment Ministry'!F73*EnvEnabled+'Defence Ministry'!F73*DefEnabled+'Education Ministry'!F73*EduEnabled+Crises!F73+'Breaking News'!F73+Dilemmas!F73+Startups!F73</f>
        <v>2.6799999999999997</v>
      </c>
      <c r="G73">
        <f>$B73+'Economy Ministry'!G73*EcEnabled+'Environment Ministry'!G73*EnvEnabled+'Defence Ministry'!G73*DefEnabled+'Education Ministry'!G73*EduEnabled+Crises!G73+'Breaking News'!G73+Dilemmas!G73+Startups!G73</f>
        <v>2.6799999999999997</v>
      </c>
      <c r="H73">
        <f>$B73+'Economy Ministry'!H73*EcEnabled+'Environment Ministry'!H73*EnvEnabled+'Defence Ministry'!H73*DefEnabled+'Education Ministry'!H73*EduEnabled+Crises!H73+'Breaking News'!H73+Dilemmas!H73+Startups!H73</f>
        <v>3.08</v>
      </c>
      <c r="I73">
        <f>$B73+'Economy Ministry'!I73*EcEnabled+'Environment Ministry'!I73*EnvEnabled+'Defence Ministry'!I73*DefEnabled+'Education Ministry'!I73*EduEnabled+Crises!I73+'Breaking News'!I73+Dilemmas!I73</f>
        <v>3.08</v>
      </c>
      <c r="J73">
        <f>$B73+'Economy Ministry'!J73*EcEnabled+'Environment Ministry'!J73*EnvEnabled+'Defence Ministry'!J73*DefEnabled+'Education Ministry'!J73*EduEnabled+Crises!J73+'Breaking News'!J73+Dilemmas!J73</f>
        <v>3.08</v>
      </c>
    </row>
    <row r="74" spans="1:10" x14ac:dyDescent="0.2">
      <c r="A74" t="s">
        <v>1928</v>
      </c>
      <c r="B74" s="8">
        <v>50000000000</v>
      </c>
      <c r="C74">
        <f>$B74+'Economy Ministry'!C74*EcEnabled+'Environment Ministry'!C74*EnvEnabled+'Defence Ministry'!C74*DefEnabled+'Education Ministry'!C74*EduEnabled+Crises!C74+'Breaking News'!C74+Dilemmas!C74+Startups!C74</f>
        <v>46800000000</v>
      </c>
      <c r="D74">
        <f>$B74+'Economy Ministry'!D74*EcEnabled+'Environment Ministry'!D74*EnvEnabled+'Defence Ministry'!D74*DefEnabled+'Education Ministry'!D74*EduEnabled+Crises!D74+'Breaking News'!D74+Dilemmas!D74+Startups!D74</f>
        <v>46800000000</v>
      </c>
      <c r="E74">
        <f>$B74+'Economy Ministry'!E74*EcEnabled+'Environment Ministry'!E74*EnvEnabled+'Defence Ministry'!E74*DefEnabled+'Education Ministry'!E74*EduEnabled+Crises!E74+'Breaking News'!E74+Dilemmas!E74+Startups!E74</f>
        <v>45200000000</v>
      </c>
      <c r="F74">
        <f>$B74+'Economy Ministry'!F74*EcEnabled+'Environment Ministry'!F74*EnvEnabled+'Defence Ministry'!F74*DefEnabled+'Education Ministry'!F74*EduEnabled+Crises!F74+'Breaking News'!F74+Dilemmas!F74+Startups!F74</f>
        <v>45200000000</v>
      </c>
      <c r="G74">
        <f>$B74+'Economy Ministry'!G74*EcEnabled+'Environment Ministry'!G74*EnvEnabled+'Defence Ministry'!G74*DefEnabled+'Education Ministry'!G74*EduEnabled+Crises!G74+'Breaking News'!G74+Dilemmas!G74+Startups!G74</f>
        <v>42000000000</v>
      </c>
      <c r="H74">
        <f>$B74+'Economy Ministry'!H74*EcEnabled+'Environment Ministry'!H74*EnvEnabled+'Defence Ministry'!H74*DefEnabled+'Education Ministry'!H74*EduEnabled+Crises!H74+'Breaking News'!H74+Dilemmas!H74+Startups!H74</f>
        <v>42000000000</v>
      </c>
      <c r="I74">
        <f>$B74+'Economy Ministry'!I74*EcEnabled+'Environment Ministry'!I74*EnvEnabled+'Defence Ministry'!I74*DefEnabled+'Education Ministry'!I74*EduEnabled+Crises!I74+'Breaking News'!I74+Dilemmas!I74</f>
        <v>42000000000</v>
      </c>
      <c r="J74">
        <f>$B74+'Economy Ministry'!J74*EcEnabled+'Environment Ministry'!J74*EnvEnabled+'Defence Ministry'!J74*DefEnabled+'Education Ministry'!J74*EduEnabled+Crises!J74+'Breaking News'!J74+Dilemmas!J74</f>
        <v>42000000000</v>
      </c>
    </row>
    <row r="75" spans="1:10" x14ac:dyDescent="0.2">
      <c r="A75" t="s">
        <v>1310</v>
      </c>
      <c r="B75" s="8">
        <v>0</v>
      </c>
      <c r="C75">
        <f>$B75+'Economy Ministry'!C75*EcEnabled+'Environment Ministry'!C75*EnvEnabled+'Defence Ministry'!C75*DefEnabled+'Education Ministry'!C75*EduEnabled+Crises!C75+'Breaking News'!C75+Dilemmas!C75+Startups!C75</f>
        <v>0</v>
      </c>
      <c r="D75">
        <f>$B75+'Economy Ministry'!D75*EcEnabled+'Environment Ministry'!D75*EnvEnabled+'Defence Ministry'!D75*DefEnabled+'Education Ministry'!D75*EduEnabled+Crises!D75+'Breaking News'!D75+Dilemmas!D75+Startups!D75</f>
        <v>0</v>
      </c>
      <c r="E75">
        <f>$B75+'Economy Ministry'!E75*EcEnabled+'Environment Ministry'!E75*EnvEnabled+'Defence Ministry'!E75*DefEnabled+'Education Ministry'!E75*EduEnabled+Crises!E75+'Breaking News'!E75+Dilemmas!E75+Startups!E75</f>
        <v>0</v>
      </c>
      <c r="F75">
        <f>$B75+'Economy Ministry'!F75*EcEnabled+'Environment Ministry'!F75*EnvEnabled+'Defence Ministry'!F75*DefEnabled+'Education Ministry'!F75*EduEnabled+Crises!F75+'Breaking News'!F75+Dilemmas!F75+Startups!F75</f>
        <v>0</v>
      </c>
      <c r="G75">
        <f>$B75+'Economy Ministry'!G75*EcEnabled+'Environment Ministry'!G75*EnvEnabled+'Defence Ministry'!G75*DefEnabled+'Education Ministry'!G75*EduEnabled+Crises!G75+'Breaking News'!G75+Dilemmas!G75+Startups!G75</f>
        <v>0</v>
      </c>
      <c r="H75">
        <f>$B75+'Economy Ministry'!H75*EcEnabled+'Environment Ministry'!H75*EnvEnabled+'Defence Ministry'!H75*DefEnabled+'Education Ministry'!H75*EduEnabled+Crises!H75+'Breaking News'!H75+Dilemmas!H75+Startups!H75</f>
        <v>0</v>
      </c>
      <c r="I75">
        <f>$B75+'Economy Ministry'!I75*EcEnabled+'Environment Ministry'!I75*EnvEnabled+'Defence Ministry'!I75*DefEnabled+'Education Ministry'!I75*EduEnabled+Crises!I75+'Breaking News'!I75+Dilemmas!I75</f>
        <v>0</v>
      </c>
      <c r="J75">
        <f>$B75+'Economy Ministry'!J75*EcEnabled+'Environment Ministry'!J75*EnvEnabled+'Defence Ministry'!J75*DefEnabled+'Education Ministry'!J75*EduEnabled+Crises!J75+'Breaking News'!J75+Dilemmas!J75</f>
        <v>0</v>
      </c>
    </row>
    <row r="76" spans="1:10" x14ac:dyDescent="0.2">
      <c r="A76" t="s">
        <v>1311</v>
      </c>
      <c r="B76" s="8">
        <v>0</v>
      </c>
      <c r="C76">
        <f>$B76+'Economy Ministry'!C76*EcEnabled+'Environment Ministry'!C76*EnvEnabled+'Defence Ministry'!C76*DefEnabled+'Education Ministry'!C76*EduEnabled+Crises!C76+'Breaking News'!C76+Dilemmas!C76+Startups!C76</f>
        <v>0</v>
      </c>
      <c r="D76">
        <f>$B76+'Economy Ministry'!D76*EcEnabled+'Environment Ministry'!D76*EnvEnabled+'Defence Ministry'!D76*DefEnabled+'Education Ministry'!D76*EduEnabled+Crises!D76+'Breaking News'!D76+Dilemmas!D76+Startups!D76</f>
        <v>0</v>
      </c>
      <c r="E76">
        <f>$B76+'Economy Ministry'!E76*EcEnabled+'Environment Ministry'!E76*EnvEnabled+'Defence Ministry'!E76*DefEnabled+'Education Ministry'!E76*EduEnabled+Crises!E76+'Breaking News'!E76+Dilemmas!E76+Startups!E76</f>
        <v>0</v>
      </c>
      <c r="F76">
        <f>$B76+'Economy Ministry'!F76*EcEnabled+'Environment Ministry'!F76*EnvEnabled+'Defence Ministry'!F76*DefEnabled+'Education Ministry'!F76*EduEnabled+Crises!F76+'Breaking News'!F76+Dilemmas!F76+Startups!F76</f>
        <v>0</v>
      </c>
      <c r="G76">
        <f>$B76+'Economy Ministry'!G76*EcEnabled+'Environment Ministry'!G76*EnvEnabled+'Defence Ministry'!G76*DefEnabled+'Education Ministry'!G76*EduEnabled+Crises!G76+'Breaking News'!G76+Dilemmas!G76+Startups!G76</f>
        <v>0</v>
      </c>
      <c r="H76">
        <f>$B76+'Economy Ministry'!H76*EcEnabled+'Environment Ministry'!H76*EnvEnabled+'Defence Ministry'!H76*DefEnabled+'Education Ministry'!H76*EduEnabled+Crises!H76+'Breaking News'!H76+Dilemmas!H76+Startups!H76</f>
        <v>0</v>
      </c>
      <c r="I76">
        <f>$B76+'Economy Ministry'!I76*EcEnabled+'Environment Ministry'!I76*EnvEnabled+'Defence Ministry'!I76*DefEnabled+'Education Ministry'!I76*EduEnabled+Crises!I76+'Breaking News'!I76+Dilemmas!I76</f>
        <v>0</v>
      </c>
      <c r="J76">
        <f>$B76+'Economy Ministry'!J76*EcEnabled+'Environment Ministry'!J76*EnvEnabled+'Defence Ministry'!J76*DefEnabled+'Education Ministry'!J76*EduEnabled+Crises!J76+'Breaking News'!J76+Dilemmas!J76</f>
        <v>0</v>
      </c>
    </row>
    <row r="77" spans="1:10" x14ac:dyDescent="0.2">
      <c r="A77" t="s">
        <v>54</v>
      </c>
      <c r="B77" s="6">
        <f>B75-B76</f>
        <v>0</v>
      </c>
      <c r="C77" s="6">
        <f t="shared" ref="C77:I77" si="0">C75-C76</f>
        <v>0</v>
      </c>
      <c r="D77" s="6">
        <f t="shared" si="0"/>
        <v>0</v>
      </c>
      <c r="E77" s="6">
        <f t="shared" si="0"/>
        <v>0</v>
      </c>
      <c r="F77" s="6">
        <f t="shared" si="0"/>
        <v>0</v>
      </c>
      <c r="G77" s="6">
        <f t="shared" si="0"/>
        <v>0</v>
      </c>
      <c r="H77" s="6">
        <f t="shared" si="0"/>
        <v>0</v>
      </c>
      <c r="I77" s="6">
        <f t="shared" si="0"/>
        <v>0</v>
      </c>
      <c r="J77" s="6">
        <f>J75-J76</f>
        <v>0</v>
      </c>
    </row>
    <row r="78" spans="1:10" x14ac:dyDescent="0.2">
      <c r="A78" t="s">
        <v>342</v>
      </c>
      <c r="B78" s="6">
        <f>'Result Targets'!B78</f>
        <v>25</v>
      </c>
      <c r="C78" s="6">
        <f>'Result Targets'!C78</f>
        <v>23.044444444444441</v>
      </c>
      <c r="D78" s="6">
        <f>'Result Targets'!D78</f>
        <v>23.044444444444441</v>
      </c>
      <c r="E78" s="6">
        <f>'Result Targets'!E78</f>
        <v>22.511111111111109</v>
      </c>
      <c r="F78" s="6">
        <f>'Result Targets'!F78</f>
        <v>22.511111111111109</v>
      </c>
      <c r="G78" s="6">
        <f>'Result Targets'!G78</f>
        <v>21.444444444444443</v>
      </c>
      <c r="H78" s="6">
        <f>'Result Targets'!H78</f>
        <v>22.555555555555554</v>
      </c>
      <c r="I78" s="6">
        <f>'Result Targets'!I78</f>
        <v>22.555555555555554</v>
      </c>
      <c r="J78" s="6">
        <f>'Result Targets'!J78</f>
        <v>22.555555555555554</v>
      </c>
    </row>
    <row r="79" spans="1:10" x14ac:dyDescent="0.2">
      <c r="B79" s="6"/>
      <c r="C79" s="6"/>
      <c r="D79" s="6"/>
      <c r="E79" s="6"/>
      <c r="F79" s="6"/>
      <c r="G79" s="6"/>
      <c r="H79" s="6"/>
      <c r="I79" s="6"/>
      <c r="J79" s="6"/>
    </row>
    <row r="81" spans="1:10" x14ac:dyDescent="0.2">
      <c r="A81" s="5" t="s">
        <v>51</v>
      </c>
    </row>
    <row r="82" spans="1:10" x14ac:dyDescent="0.2">
      <c r="A82" s="17" t="s">
        <v>1312</v>
      </c>
      <c r="B82" s="18" t="s">
        <v>1318</v>
      </c>
      <c r="C82" s="18" t="s">
        <v>1318</v>
      </c>
      <c r="D82" s="18" t="s">
        <v>1318</v>
      </c>
      <c r="E82" s="18" t="s">
        <v>1318</v>
      </c>
      <c r="F82" s="18" t="s">
        <v>1318</v>
      </c>
      <c r="G82" s="18" t="s">
        <v>1318</v>
      </c>
      <c r="H82" s="18" t="s">
        <v>1318</v>
      </c>
      <c r="I82" s="18" t="s">
        <v>1318</v>
      </c>
      <c r="J82" s="18" t="s">
        <v>1318</v>
      </c>
    </row>
    <row r="83" spans="1:10" x14ac:dyDescent="0.2">
      <c r="A83" s="17" t="s">
        <v>1709</v>
      </c>
      <c r="B83" s="18" t="s">
        <v>1318</v>
      </c>
      <c r="C83" s="18" t="s">
        <v>1318</v>
      </c>
      <c r="D83" s="18" t="s">
        <v>1318</v>
      </c>
      <c r="E83" s="18" t="s">
        <v>1318</v>
      </c>
      <c r="F83" s="18" t="s">
        <v>1318</v>
      </c>
      <c r="G83" s="18" t="s">
        <v>1318</v>
      </c>
      <c r="H83" s="18" t="s">
        <v>1318</v>
      </c>
      <c r="I83" s="18" t="s">
        <v>1318</v>
      </c>
      <c r="J83" s="18" t="s">
        <v>1318</v>
      </c>
    </row>
    <row r="84" spans="1:10" x14ac:dyDescent="0.2">
      <c r="A84" s="17" t="s">
        <v>1709</v>
      </c>
      <c r="B84">
        <v>10</v>
      </c>
      <c r="C84">
        <f>$B84+'Economy Ministry'!C84*EcEnabled+'Environment Ministry'!C84*EnvEnabled+'Defence Ministry'!C84*DefEnabled+'Education Ministry'!C84*EduEnabled+Crises!C84+'Breaking News'!C84+Dilemmas!C84+Startups!C84</f>
        <v>10</v>
      </c>
      <c r="D84">
        <f>$B84+'Economy Ministry'!D84*EcEnabled+'Environment Ministry'!D84*EnvEnabled+'Defence Ministry'!D84*DefEnabled+'Education Ministry'!D84*EduEnabled+Crises!D84+'Breaking News'!D84+Dilemmas!D84+Startups!D84</f>
        <v>10</v>
      </c>
      <c r="E84">
        <f>$B84+'Economy Ministry'!E84*EcEnabled+'Environment Ministry'!E84*EnvEnabled+'Defence Ministry'!E84*DefEnabled+'Education Ministry'!E84*EduEnabled+Crises!E84+'Breaking News'!E84+Dilemmas!E84+Startups!E84</f>
        <v>10</v>
      </c>
      <c r="F84">
        <f>$B84+'Economy Ministry'!F84*EcEnabled+'Environment Ministry'!F84*EnvEnabled+'Defence Ministry'!F84*DefEnabled+'Education Ministry'!F84*EduEnabled+Crises!F84+'Breaking News'!F84+Dilemmas!F84+Startups!F84</f>
        <v>10</v>
      </c>
      <c r="G84">
        <f>$B84+'Economy Ministry'!G84*EcEnabled+'Environment Ministry'!G84*EnvEnabled+'Defence Ministry'!G84*DefEnabled+'Education Ministry'!G84*EduEnabled+Crises!G84+'Breaking News'!G84+Dilemmas!G84+Startups!G84</f>
        <v>10</v>
      </c>
      <c r="H84">
        <f>$B84+'Economy Ministry'!H84*EcEnabled+'Environment Ministry'!H84*EnvEnabled+'Defence Ministry'!H84*DefEnabled+'Education Ministry'!H84*EduEnabled+Crises!H84+'Breaking News'!H84+Dilemmas!H84+Startups!H84</f>
        <v>10</v>
      </c>
      <c r="I84">
        <f>$B84+'Economy Ministry'!I84*EcEnabled+'Environment Ministry'!I84*EnvEnabled+'Defence Ministry'!I84*DefEnabled+'Education Ministry'!I84*EduEnabled+Crises!I84+'Breaking News'!I84+Dilemmas!I84</f>
        <v>10</v>
      </c>
      <c r="J84">
        <f>$B84+'Economy Ministry'!J84*EcEnabled+'Environment Ministry'!J84*EnvEnabled+'Defence Ministry'!J84*DefEnabled+'Education Ministry'!J84*EduEnabled+Crises!J84+'Breaking News'!J84+Dilemmas!J84</f>
        <v>10</v>
      </c>
    </row>
    <row r="85" spans="1:10" x14ac:dyDescent="0.2">
      <c r="A85" s="9" t="s">
        <v>1314</v>
      </c>
      <c r="B85">
        <v>25</v>
      </c>
      <c r="C85">
        <f>$B85+'Economy Ministry'!C85*EcEnabled+'Environment Ministry'!C85*EnvEnabled+'Defence Ministry'!C85*DefEnabled+'Education Ministry'!C85*EduEnabled+Crises!C85+'Breaking News'!C85+Dilemmas!C85+Startups!C85</f>
        <v>25</v>
      </c>
      <c r="D85">
        <f>$B85+'Economy Ministry'!D85*EcEnabled+'Environment Ministry'!D85*EnvEnabled+'Defence Ministry'!D85*DefEnabled+'Education Ministry'!D85*EduEnabled+Crises!D85+'Breaking News'!D85+Dilemmas!D85+Startups!D85</f>
        <v>25</v>
      </c>
      <c r="E85">
        <f>$B85+'Economy Ministry'!E85*EcEnabled+'Environment Ministry'!E85*EnvEnabled+'Defence Ministry'!E85*DefEnabled+'Education Ministry'!E85*EduEnabled+Crises!E85+'Breaking News'!E85+Dilemmas!E85+Startups!E85</f>
        <v>25</v>
      </c>
      <c r="F85">
        <f>$B85+'Economy Ministry'!F85*EcEnabled+'Environment Ministry'!F85*EnvEnabled+'Defence Ministry'!F85*DefEnabled+'Education Ministry'!F85*EduEnabled+Crises!F85+'Breaking News'!F85+Dilemmas!F85+Startups!F85</f>
        <v>25</v>
      </c>
      <c r="G85">
        <f>$B85+'Economy Ministry'!G85*EcEnabled+'Environment Ministry'!G85*EnvEnabled+'Defence Ministry'!G85*DefEnabled+'Education Ministry'!G85*EduEnabled+Crises!G85+'Breaking News'!G85+Dilemmas!G85+Startups!G85</f>
        <v>25</v>
      </c>
      <c r="H85">
        <f>$B85+'Economy Ministry'!H85*EcEnabled+'Environment Ministry'!H85*EnvEnabled+'Defence Ministry'!H85*DefEnabled+'Education Ministry'!H85*EduEnabled+Crises!H85+'Breaking News'!H85+Dilemmas!H85+Startups!H85</f>
        <v>25</v>
      </c>
      <c r="I85">
        <f>$B85+'Economy Ministry'!I85*EcEnabled+'Environment Ministry'!I85*EnvEnabled+'Defence Ministry'!I85*DefEnabled+'Education Ministry'!I85*EduEnabled+Crises!I85+'Breaking News'!I85+Dilemmas!I85</f>
        <v>25</v>
      </c>
      <c r="J85">
        <f>$B85+'Economy Ministry'!J85*EcEnabled+'Environment Ministry'!J85*EnvEnabled+'Defence Ministry'!J85*DefEnabled+'Education Ministry'!J85*EduEnabled+Crises!J85+'Breaking News'!J85+Dilemmas!J85</f>
        <v>25</v>
      </c>
    </row>
    <row r="86" spans="1:10" x14ac:dyDescent="0.2">
      <c r="A86" s="9" t="s">
        <v>1315</v>
      </c>
      <c r="B86">
        <v>20</v>
      </c>
      <c r="C86">
        <f>$B86+'Economy Ministry'!C86*EcEnabled+'Environment Ministry'!C86*EnvEnabled+'Defence Ministry'!C86*DefEnabled+'Education Ministry'!C86*EduEnabled+Crises!C86+'Breaking News'!C86+Dilemmas!C86+Startups!C86</f>
        <v>20</v>
      </c>
      <c r="D86">
        <f>$B86+'Economy Ministry'!D86*EcEnabled+'Environment Ministry'!D86*EnvEnabled+'Defence Ministry'!D86*DefEnabled+'Education Ministry'!D86*EduEnabled+Crises!D86+'Breaking News'!D86+Dilemmas!D86+Startups!D86</f>
        <v>20</v>
      </c>
      <c r="E86">
        <f>$B86+'Economy Ministry'!E86*EcEnabled+'Environment Ministry'!E86*EnvEnabled+'Defence Ministry'!E86*DefEnabled+'Education Ministry'!E86*EduEnabled+Crises!E86+'Breaking News'!E86+Dilemmas!E86+Startups!E86</f>
        <v>20</v>
      </c>
      <c r="F86">
        <f>$B86+'Economy Ministry'!F86*EcEnabled+'Environment Ministry'!F86*EnvEnabled+'Defence Ministry'!F86*DefEnabled+'Education Ministry'!F86*EduEnabled+Crises!F86+'Breaking News'!F86+Dilemmas!F86+Startups!F86</f>
        <v>20</v>
      </c>
      <c r="G86">
        <f>$B86+'Economy Ministry'!G86*EcEnabled+'Environment Ministry'!G86*EnvEnabled+'Defence Ministry'!G86*DefEnabled+'Education Ministry'!G86*EduEnabled+Crises!G86+'Breaking News'!G86+Dilemmas!G86+Startups!G86</f>
        <v>20</v>
      </c>
      <c r="H86">
        <f>$B86+'Economy Ministry'!H86*EcEnabled+'Environment Ministry'!H86*EnvEnabled+'Defence Ministry'!H86*DefEnabled+'Education Ministry'!H86*EduEnabled+Crises!H86+'Breaking News'!H86+Dilemmas!H86+Startups!H86</f>
        <v>20</v>
      </c>
      <c r="I86">
        <f>$B86+'Economy Ministry'!I86*EcEnabled+'Environment Ministry'!I86*EnvEnabled+'Defence Ministry'!I86*DefEnabled+'Education Ministry'!I86*EduEnabled+Crises!I86+'Breaking News'!I86+Dilemmas!I86</f>
        <v>20</v>
      </c>
      <c r="J86">
        <f>$B86+'Economy Ministry'!J86*EcEnabled+'Environment Ministry'!J86*EnvEnabled+'Defence Ministry'!J86*DefEnabled+'Education Ministry'!J86*EduEnabled+Crises!J86+'Breaking News'!J86+Dilemmas!J86</f>
        <v>20</v>
      </c>
    </row>
    <row r="87" spans="1:10" x14ac:dyDescent="0.2">
      <c r="A87" s="9" t="s">
        <v>1293</v>
      </c>
      <c r="B87">
        <f>(B85+B86)/2</f>
        <v>22.5</v>
      </c>
      <c r="C87">
        <f t="shared" ref="C87:J87" si="1">(C85+C86)/2</f>
        <v>22.5</v>
      </c>
      <c r="D87">
        <f t="shared" si="1"/>
        <v>22.5</v>
      </c>
      <c r="E87">
        <f t="shared" si="1"/>
        <v>22.5</v>
      </c>
      <c r="F87">
        <f t="shared" si="1"/>
        <v>22.5</v>
      </c>
      <c r="G87">
        <f t="shared" si="1"/>
        <v>22.5</v>
      </c>
      <c r="H87">
        <f t="shared" si="1"/>
        <v>22.5</v>
      </c>
      <c r="I87">
        <f t="shared" si="1"/>
        <v>22.5</v>
      </c>
      <c r="J87">
        <f t="shared" si="1"/>
        <v>22.5</v>
      </c>
    </row>
    <row r="88" spans="1:10" x14ac:dyDescent="0.2">
      <c r="A88" s="9" t="s">
        <v>1290</v>
      </c>
      <c r="B88" s="6">
        <v>25</v>
      </c>
      <c r="C88" s="10">
        <f>$B88+'Economy Ministry'!C88*EcEnabled+'Environment Ministry'!C88*EnvEnabled+'Defence Ministry'!C88*DefEnabled+'Education Ministry'!C88*EduEnabled+Crises!C88+'Breaking News'!C88+Dilemmas!C88+Startups!C88</f>
        <v>25</v>
      </c>
      <c r="D88" s="10">
        <f>$B88+'Economy Ministry'!D88*EcEnabled+'Environment Ministry'!D88*EnvEnabled+'Defence Ministry'!D88*DefEnabled+'Education Ministry'!D88*EduEnabled+Crises!D88+'Breaking News'!D88+Dilemmas!D88+Startups!D88</f>
        <v>25</v>
      </c>
      <c r="E88" s="10">
        <f>$B88+'Economy Ministry'!E88*EcEnabled+'Environment Ministry'!E88*EnvEnabled+'Defence Ministry'!E88*DefEnabled+'Education Ministry'!E88*EduEnabled+Crises!E88+'Breaking News'!E88+Dilemmas!E88+Startups!E88</f>
        <v>25</v>
      </c>
      <c r="F88" s="10">
        <f>$B88+'Economy Ministry'!F88*EcEnabled+'Environment Ministry'!F88*EnvEnabled+'Defence Ministry'!F88*DefEnabled+'Education Ministry'!F88*EduEnabled+Crises!F88+'Breaking News'!F88+Dilemmas!F88+Startups!F88</f>
        <v>25</v>
      </c>
      <c r="G88" s="10">
        <f>$B88+'Economy Ministry'!G88*EcEnabled+'Environment Ministry'!G88*EnvEnabled+'Defence Ministry'!G88*DefEnabled+'Education Ministry'!G88*EduEnabled+Crises!G88+'Breaking News'!G88+Dilemmas!G88+Startups!G88</f>
        <v>25</v>
      </c>
      <c r="H88" s="10">
        <f>$B88+'Economy Ministry'!H88*EcEnabled+'Environment Ministry'!H88*EnvEnabled+'Defence Ministry'!H88*DefEnabled+'Education Ministry'!H88*EduEnabled+Crises!H88+'Breaking News'!H88+Dilemmas!H88+Startups!H88</f>
        <v>25</v>
      </c>
      <c r="I88" s="10">
        <f>$B88+'Economy Ministry'!I88*EcEnabled+'Environment Ministry'!I88*EnvEnabled+'Defence Ministry'!I88*DefEnabled+'Education Ministry'!I88*EduEnabled+Crises!I88+'Breaking News'!I88+Dilemmas!I88</f>
        <v>25</v>
      </c>
      <c r="J88" s="10">
        <f>$B88+'Economy Ministry'!J88*EcEnabled+'Environment Ministry'!J88*EnvEnabled+'Defence Ministry'!J88*DefEnabled+'Education Ministry'!J88*EduEnabled+Crises!J88+'Breaking News'!J88+Dilemmas!J88</f>
        <v>25</v>
      </c>
    </row>
    <row r="89" spans="1:10" x14ac:dyDescent="0.2">
      <c r="A89" t="s">
        <v>343</v>
      </c>
      <c r="B89" s="6">
        <f>'Result Targets'!B90</f>
        <v>34.722222222222221</v>
      </c>
      <c r="C89" s="6">
        <f>'Result Targets'!C90</f>
        <v>34.722222222222221</v>
      </c>
      <c r="D89" s="6">
        <f>'Result Targets'!D90</f>
        <v>34.722222222222221</v>
      </c>
      <c r="E89" s="6">
        <f>'Result Targets'!E90</f>
        <v>34.722222222222221</v>
      </c>
      <c r="F89" s="6">
        <f>'Result Targets'!F90</f>
        <v>34.722222222222221</v>
      </c>
      <c r="G89" s="6">
        <f>'Result Targets'!G90</f>
        <v>34.722222222222221</v>
      </c>
      <c r="H89" s="6">
        <f>'Result Targets'!H90</f>
        <v>34.722222222222221</v>
      </c>
      <c r="I89" s="6">
        <f>'Result Targets'!I90</f>
        <v>34.722222222222221</v>
      </c>
      <c r="J89" s="6">
        <f>'Result Targets'!J90</f>
        <v>34.722222222222221</v>
      </c>
    </row>
    <row r="92" spans="1:10" x14ac:dyDescent="0.2">
      <c r="A92" s="5" t="s">
        <v>52</v>
      </c>
    </row>
    <row r="93" spans="1:10" x14ac:dyDescent="0.2">
      <c r="A93" t="s">
        <v>56</v>
      </c>
      <c r="B93" s="6">
        <v>35</v>
      </c>
      <c r="C93" s="10">
        <f>$B93+'Economy Ministry'!C93*EcEnabled+'Environment Ministry'!C93*EnvEnabled+'Defence Ministry'!C93*DefEnabled+'Education Ministry'!C93*EduEnabled+Crises!C93+'Breaking News'!C93+Dilemmas!C93+Startups!C93</f>
        <v>35</v>
      </c>
      <c r="D93" s="10">
        <f>$B93+'Economy Ministry'!D93*EcEnabled+'Environment Ministry'!D93*EnvEnabled+'Defence Ministry'!D93*DefEnabled+'Education Ministry'!D93*EduEnabled+Crises!D93+'Breaking News'!D93+Dilemmas!D93+Startups!D93</f>
        <v>35</v>
      </c>
      <c r="E93" s="10">
        <f>$B93+'Economy Ministry'!E93*EcEnabled+'Environment Ministry'!E93*EnvEnabled+'Defence Ministry'!E93*DefEnabled+'Education Ministry'!E93*EduEnabled+Crises!E93+'Breaking News'!E93+Dilemmas!E93+Startups!E93</f>
        <v>35</v>
      </c>
      <c r="F93" s="10">
        <f>$B93+'Economy Ministry'!F93*EcEnabled+'Environment Ministry'!F93*EnvEnabled+'Defence Ministry'!F93*DefEnabled+'Education Ministry'!F93*EduEnabled+Crises!F93+'Breaking News'!F93+Dilemmas!F93+Startups!F93</f>
        <v>35</v>
      </c>
      <c r="G93" s="10">
        <f>$B93+'Economy Ministry'!G93*EcEnabled+'Environment Ministry'!G93*EnvEnabled+'Defence Ministry'!G93*DefEnabled+'Education Ministry'!G93*EduEnabled+Crises!G93+'Breaking News'!G93+Dilemmas!G93+Startups!G93</f>
        <v>35</v>
      </c>
      <c r="H93" s="10">
        <f>$B93+'Economy Ministry'!H93*EcEnabled+'Environment Ministry'!H93*EnvEnabled+'Defence Ministry'!H93*DefEnabled+'Education Ministry'!H93*EduEnabled+Crises!H93+'Breaking News'!H93+Dilemmas!H93+Startups!H93</f>
        <v>35</v>
      </c>
      <c r="I93" s="10">
        <f>$B93+'Economy Ministry'!I93*EcEnabled+'Environment Ministry'!I93*EnvEnabled+'Defence Ministry'!I93*DefEnabled+'Education Ministry'!I93*EduEnabled+Crises!I93+'Breaking News'!I93+Dilemmas!I93</f>
        <v>35</v>
      </c>
      <c r="J93" s="10">
        <f>$B93+'Economy Ministry'!J93*EcEnabled+'Environment Ministry'!J93*EnvEnabled+'Defence Ministry'!J93*DefEnabled+'Education Ministry'!J93*EduEnabled+Crises!J93+'Breaking News'!J93+Dilemmas!J93</f>
        <v>35</v>
      </c>
    </row>
    <row r="94" spans="1:10" x14ac:dyDescent="0.2">
      <c r="A94" t="s">
        <v>1711</v>
      </c>
      <c r="B94">
        <v>40</v>
      </c>
      <c r="C94">
        <f>$B94+'Economy Ministry'!C94*EcEnabled+'Environment Ministry'!C94*EnvEnabled+'Defence Ministry'!C94*DefEnabled+'Education Ministry'!C94*EduEnabled+Crises!C94+'Breaking News'!C94+Dilemmas!C94+Startups!C94</f>
        <v>40</v>
      </c>
      <c r="D94">
        <f>$B94+'Economy Ministry'!D94*EcEnabled+'Environment Ministry'!D94*EnvEnabled+'Defence Ministry'!D94*DefEnabled+'Education Ministry'!D94*EduEnabled+Crises!D94+'Breaking News'!D94+Dilemmas!D94+Startups!D94</f>
        <v>39.200000000000003</v>
      </c>
      <c r="E94">
        <f>$B94+'Economy Ministry'!E94*EcEnabled+'Environment Ministry'!E94*EnvEnabled+'Defence Ministry'!E94*DefEnabled+'Education Ministry'!E94*EduEnabled+Crises!E94+'Breaking News'!E94+Dilemmas!E94+Startups!E94</f>
        <v>39.200000000000003</v>
      </c>
      <c r="F94">
        <f>$B94+'Economy Ministry'!F94*EcEnabled+'Environment Ministry'!F94*EnvEnabled+'Defence Ministry'!F94*DefEnabled+'Education Ministry'!F94*EduEnabled+Crises!F94+'Breaking News'!F94+Dilemmas!F94+Startups!F94</f>
        <v>39.200000000000003</v>
      </c>
      <c r="G94">
        <f>$B94+'Economy Ministry'!G94*EcEnabled+'Environment Ministry'!G94*EnvEnabled+'Defence Ministry'!G94*DefEnabled+'Education Ministry'!G94*EduEnabled+Crises!G94+'Breaking News'!G94+Dilemmas!G94+Startups!G94</f>
        <v>39.200000000000003</v>
      </c>
      <c r="H94">
        <f>$B94+'Economy Ministry'!H94*EcEnabled+'Environment Ministry'!H94*EnvEnabled+'Defence Ministry'!H94*DefEnabled+'Education Ministry'!H94*EduEnabled+Crises!H94+'Breaking News'!H94+Dilemmas!H94+Startups!H94</f>
        <v>39.200000000000003</v>
      </c>
      <c r="I94">
        <f>$B94+'Economy Ministry'!I94*EcEnabled+'Environment Ministry'!I94*EnvEnabled+'Defence Ministry'!I94*DefEnabled+'Education Ministry'!I94*EduEnabled+Crises!I94+'Breaking News'!I94+Dilemmas!I94</f>
        <v>39.200000000000003</v>
      </c>
      <c r="J94">
        <f>$B94+'Economy Ministry'!J94*EcEnabled+'Environment Ministry'!J94*EnvEnabled+'Defence Ministry'!J94*DefEnabled+'Education Ministry'!J94*EduEnabled+Crises!J94+'Breaking News'!J94+Dilemmas!J94</f>
        <v>39.200000000000003</v>
      </c>
    </row>
    <row r="95" spans="1:10" x14ac:dyDescent="0.2">
      <c r="A95" t="s">
        <v>1316</v>
      </c>
      <c r="B95" s="8">
        <v>1000000000</v>
      </c>
      <c r="C95">
        <f>$B95+'Economy Ministry'!C95*EcEnabled+'Environment Ministry'!C95*EnvEnabled+'Defence Ministry'!C95*DefEnabled+'Education Ministry'!C95*EduEnabled+Crises!C95+'Breaking News'!C95+Dilemmas!C95+Startups!C95</f>
        <v>1000000000</v>
      </c>
      <c r="D95">
        <f>$B95+'Economy Ministry'!D95*EcEnabled+'Environment Ministry'!D95*EnvEnabled+'Defence Ministry'!D95*DefEnabled+'Education Ministry'!D95*EduEnabled+Crises!D95+'Breaking News'!D95+Dilemmas!D95+Startups!D95</f>
        <v>1000000000</v>
      </c>
      <c r="E95">
        <f>$B95+'Economy Ministry'!E95*EcEnabled+'Environment Ministry'!E95*EnvEnabled+'Defence Ministry'!E95*DefEnabled+'Education Ministry'!E95*EduEnabled+Crises!E95+'Breaking News'!E95+Dilemmas!E95+Startups!E95</f>
        <v>1000000000</v>
      </c>
      <c r="F95">
        <f>$B95+'Economy Ministry'!F95*EcEnabled+'Environment Ministry'!F95*EnvEnabled+'Defence Ministry'!F95*DefEnabled+'Education Ministry'!F95*EduEnabled+Crises!F95+'Breaking News'!F95+Dilemmas!F95+Startups!F95</f>
        <v>1000000000</v>
      </c>
      <c r="G95">
        <f>$B95+'Economy Ministry'!G95*EcEnabled+'Environment Ministry'!G95*EnvEnabled+'Defence Ministry'!G95*DefEnabled+'Education Ministry'!G95*EduEnabled+Crises!G95+'Breaking News'!G95+Dilemmas!G95+Startups!G95</f>
        <v>1000000000</v>
      </c>
      <c r="H95">
        <f>$B95+'Economy Ministry'!H95*EcEnabled+'Environment Ministry'!H95*EnvEnabled+'Defence Ministry'!H95*DefEnabled+'Education Ministry'!H95*EduEnabled+Crises!H95+'Breaking News'!H95+Dilemmas!H95+Startups!H95</f>
        <v>1000000000</v>
      </c>
      <c r="I95">
        <f>$B95+'Economy Ministry'!I95*EcEnabled+'Environment Ministry'!I95*EnvEnabled+'Defence Ministry'!I95*DefEnabled+'Education Ministry'!I95*EduEnabled+Crises!I95+'Breaking News'!I95+Dilemmas!I95</f>
        <v>1000000000</v>
      </c>
      <c r="J95">
        <f>$B95+'Economy Ministry'!J95*EcEnabled+'Environment Ministry'!J95*EnvEnabled+'Defence Ministry'!J95*DefEnabled+'Education Ministry'!J95*EduEnabled+Crises!J95+'Breaking News'!J95+Dilemmas!J95</f>
        <v>1000000000</v>
      </c>
    </row>
    <row r="96" spans="1:10" x14ac:dyDescent="0.2">
      <c r="A96" t="s">
        <v>1317</v>
      </c>
      <c r="B96" s="8">
        <v>1500000000</v>
      </c>
      <c r="C96">
        <f>$B96+'Economy Ministry'!C96*EcEnabled+'Environment Ministry'!C96*EnvEnabled+'Defence Ministry'!C96*DefEnabled+'Education Ministry'!C96*EduEnabled+Crises!C96+'Breaking News'!C96+Dilemmas!C96+Startups!C96</f>
        <v>1500000000</v>
      </c>
      <c r="D96">
        <f>$B96+'Economy Ministry'!D96*EcEnabled+'Environment Ministry'!D96*EnvEnabled+'Defence Ministry'!D96*DefEnabled+'Education Ministry'!D96*EduEnabled+Crises!D96+'Breaking News'!D96+Dilemmas!D96+Startups!D96</f>
        <v>1380000000</v>
      </c>
      <c r="E96">
        <f>$B96+'Economy Ministry'!E96*EcEnabled+'Environment Ministry'!E96*EnvEnabled+'Defence Ministry'!E96*DefEnabled+'Education Ministry'!E96*EduEnabled+Crises!E96+'Breaking News'!E96+Dilemmas!E96+Startups!E96</f>
        <v>1380000000</v>
      </c>
      <c r="F96">
        <f>$B96+'Economy Ministry'!F96*EcEnabled+'Environment Ministry'!F96*EnvEnabled+'Defence Ministry'!F96*DefEnabled+'Education Ministry'!F96*EduEnabled+Crises!F96+'Breaking News'!F96+Dilemmas!F96+Startups!F96</f>
        <v>1380000000</v>
      </c>
      <c r="G96">
        <f>$B96+'Economy Ministry'!G96*EcEnabled+'Environment Ministry'!G96*EnvEnabled+'Defence Ministry'!G96*DefEnabled+'Education Ministry'!G96*EduEnabled+Crises!G96+'Breaking News'!G96+Dilemmas!G96+Startups!G96</f>
        <v>1380000000</v>
      </c>
      <c r="H96">
        <f>$B96+'Economy Ministry'!H96*EcEnabled+'Environment Ministry'!H96*EnvEnabled+'Defence Ministry'!H96*DefEnabled+'Education Ministry'!H96*EduEnabled+Crises!H96+'Breaking News'!H96+Dilemmas!H96+Startups!H96</f>
        <v>1380000000</v>
      </c>
      <c r="I96">
        <f>$B96+'Economy Ministry'!I96*EcEnabled+'Environment Ministry'!I96*EnvEnabled+'Defence Ministry'!I96*DefEnabled+'Education Ministry'!I96*EduEnabled+Crises!I96+'Breaking News'!I96+Dilemmas!I96</f>
        <v>1380000000</v>
      </c>
      <c r="J96">
        <f>$B96+'Economy Ministry'!J96*EcEnabled+'Environment Ministry'!J96*EnvEnabled+'Defence Ministry'!J96*DefEnabled+'Education Ministry'!J96*EduEnabled+Crises!J96+'Breaking News'!J96+Dilemmas!J96</f>
        <v>1380000000</v>
      </c>
    </row>
    <row r="97" spans="1:10" x14ac:dyDescent="0.2">
      <c r="A97" t="s">
        <v>1294</v>
      </c>
      <c r="B97">
        <f>B95-B96</f>
        <v>-500000000</v>
      </c>
      <c r="C97">
        <f t="shared" ref="C97:J97" si="2">C95-C96</f>
        <v>-500000000</v>
      </c>
      <c r="D97">
        <f t="shared" si="2"/>
        <v>-380000000</v>
      </c>
      <c r="E97">
        <f t="shared" si="2"/>
        <v>-380000000</v>
      </c>
      <c r="F97">
        <f t="shared" si="2"/>
        <v>-380000000</v>
      </c>
      <c r="G97">
        <f t="shared" si="2"/>
        <v>-380000000</v>
      </c>
      <c r="H97">
        <f t="shared" si="2"/>
        <v>-380000000</v>
      </c>
      <c r="I97">
        <f t="shared" si="2"/>
        <v>-380000000</v>
      </c>
      <c r="J97">
        <f t="shared" si="2"/>
        <v>-380000000</v>
      </c>
    </row>
    <row r="98" spans="1:10" x14ac:dyDescent="0.2">
      <c r="A98" t="s">
        <v>344</v>
      </c>
      <c r="B98">
        <f>'Result Targets'!B98</f>
        <v>35.726495726495727</v>
      </c>
      <c r="C98">
        <f>'Result Targets'!C98</f>
        <v>35.726495726495727</v>
      </c>
      <c r="D98">
        <f>'Result Targets'!D98</f>
        <v>35.370940170940173</v>
      </c>
      <c r="E98">
        <f>'Result Targets'!E98</f>
        <v>35.370940170940173</v>
      </c>
      <c r="F98">
        <f>'Result Targets'!F98</f>
        <v>35.370940170940173</v>
      </c>
      <c r="G98">
        <f>'Result Targets'!G98</f>
        <v>35.370940170940173</v>
      </c>
      <c r="H98">
        <f>'Result Targets'!H98</f>
        <v>35.370940170940173</v>
      </c>
      <c r="I98">
        <f>'Result Targets'!I98</f>
        <v>35.370940170940173</v>
      </c>
      <c r="J98">
        <f>'Result Targets'!J98</f>
        <v>35.370940170940173</v>
      </c>
    </row>
    <row r="101" spans="1:10" x14ac:dyDescent="0.2">
      <c r="A101" s="5" t="s">
        <v>53</v>
      </c>
    </row>
    <row r="102" spans="1:10" x14ac:dyDescent="0.2">
      <c r="A102" t="s">
        <v>57</v>
      </c>
      <c r="B102">
        <v>25</v>
      </c>
      <c r="C102">
        <f>$B102+'Economy Ministry'!C102*EcEnabled+'Environment Ministry'!C102*EnvEnabled+'Defence Ministry'!C102*DefEnabled+'Education Ministry'!C102*EduEnabled+Crises!C102+'Breaking News'!C102+Dilemmas!C102+Startups!C102</f>
        <v>25</v>
      </c>
      <c r="D102">
        <f>$B102+'Economy Ministry'!D102*EcEnabled+'Environment Ministry'!D102*EnvEnabled+'Defence Ministry'!D102*DefEnabled+'Education Ministry'!D102*EduEnabled+Crises!D102+'Breaking News'!D102+Dilemmas!D102+Startups!D102</f>
        <v>25</v>
      </c>
      <c r="E102">
        <f>$B102+'Economy Ministry'!E102*EcEnabled+'Environment Ministry'!E102*EnvEnabled+'Defence Ministry'!E102*DefEnabled+'Education Ministry'!E102*EduEnabled+Crises!E102+'Breaking News'!E102+Dilemmas!E102+Startups!E102</f>
        <v>25</v>
      </c>
      <c r="F102">
        <f>$B102+'Economy Ministry'!F102*EcEnabled+'Environment Ministry'!F102*EnvEnabled+'Defence Ministry'!F102*DefEnabled+'Education Ministry'!F102*EduEnabled+Crises!F102+'Breaking News'!F102+Dilemmas!F102+Startups!F102</f>
        <v>24.2</v>
      </c>
      <c r="G102">
        <f>$B102+'Economy Ministry'!G102*EcEnabled+'Environment Ministry'!G102*EnvEnabled+'Defence Ministry'!G102*DefEnabled+'Education Ministry'!G102*EduEnabled+Crises!G102+'Breaking News'!G102+Dilemmas!G102+Startups!G102</f>
        <v>24.2</v>
      </c>
      <c r="H102">
        <f>$B102+'Economy Ministry'!H102*EcEnabled+'Environment Ministry'!H102*EnvEnabled+'Defence Ministry'!H102*DefEnabled+'Education Ministry'!H102*EduEnabled+Crises!H102+'Breaking News'!H102+Dilemmas!H102+Startups!H102</f>
        <v>24.2</v>
      </c>
      <c r="I102">
        <f>$B102+'Economy Ministry'!I102*EcEnabled+'Environment Ministry'!I102*EnvEnabled+'Defence Ministry'!I102*DefEnabled+'Education Ministry'!I102*EduEnabled+Crises!I102+'Breaking News'!I102+Dilemmas!I102</f>
        <v>24.2</v>
      </c>
      <c r="J102">
        <f>$B102+'Economy Ministry'!J102*EcEnabled+'Environment Ministry'!J102*EnvEnabled+'Defence Ministry'!J102*DefEnabled+'Education Ministry'!J102*EduEnabled+Crises!J102+'Breaking News'!J102+Dilemmas!J102</f>
        <v>24.2</v>
      </c>
    </row>
    <row r="103" spans="1:10" x14ac:dyDescent="0.2">
      <c r="A103" t="s">
        <v>58</v>
      </c>
      <c r="B103">
        <v>30</v>
      </c>
      <c r="C103">
        <f>$B103+'Economy Ministry'!C103*EcEnabled+'Environment Ministry'!C103*EnvEnabled+'Defence Ministry'!C103*DefEnabled+'Education Ministry'!C103*EduEnabled+Crises!C103+'Breaking News'!C103+Dilemmas!C103+Startups!C103</f>
        <v>30</v>
      </c>
      <c r="D103">
        <f>$B103+'Economy Ministry'!D103*EcEnabled+'Environment Ministry'!D103*EnvEnabled+'Defence Ministry'!D103*DefEnabled+'Education Ministry'!D103*EduEnabled+Crises!D103+'Breaking News'!D103+Dilemmas!D103+Startups!D103</f>
        <v>30</v>
      </c>
      <c r="E103">
        <f>$B103+'Economy Ministry'!E103*EcEnabled+'Environment Ministry'!E103*EnvEnabled+'Defence Ministry'!E103*DefEnabled+'Education Ministry'!E103*EduEnabled+Crises!E103+'Breaking News'!E103+Dilemmas!E103+Startups!E103</f>
        <v>29.6</v>
      </c>
      <c r="F103">
        <f>$B103+'Economy Ministry'!F103*EcEnabled+'Environment Ministry'!F103*EnvEnabled+'Defence Ministry'!F103*DefEnabled+'Education Ministry'!F103*EduEnabled+Crises!F103+'Breaking News'!F103+Dilemmas!F103+Startups!F103</f>
        <v>29.6</v>
      </c>
      <c r="G103">
        <f>$B103+'Economy Ministry'!G103*EcEnabled+'Environment Ministry'!G103*EnvEnabled+'Defence Ministry'!G103*DefEnabled+'Education Ministry'!G103*EduEnabled+Crises!G103+'Breaking News'!G103+Dilemmas!G103+Startups!G103</f>
        <v>29.6</v>
      </c>
      <c r="H103">
        <f>$B103+'Economy Ministry'!H103*EcEnabled+'Environment Ministry'!H103*EnvEnabled+'Defence Ministry'!H103*DefEnabled+'Education Ministry'!H103*EduEnabled+Crises!H103+'Breaking News'!H103+Dilemmas!H103+Startups!H103</f>
        <v>30.1</v>
      </c>
      <c r="I103">
        <f>$B103+'Economy Ministry'!I103*EcEnabled+'Environment Ministry'!I103*EnvEnabled+'Defence Ministry'!I103*DefEnabled+'Education Ministry'!I103*EduEnabled+Crises!I103+'Breaking News'!I103+Dilemmas!I103</f>
        <v>30.1</v>
      </c>
      <c r="J103">
        <f>$B103+'Economy Ministry'!J103*EcEnabled+'Environment Ministry'!J103*EnvEnabled+'Defence Ministry'!J103*DefEnabled+'Education Ministry'!J103*EduEnabled+Crises!J103+'Breaking News'!J103+Dilemmas!J103</f>
        <v>30.1</v>
      </c>
    </row>
    <row r="104" spans="1:10" x14ac:dyDescent="0.2">
      <c r="A104" t="s">
        <v>1295</v>
      </c>
      <c r="B104">
        <v>20</v>
      </c>
      <c r="C104">
        <f>$B104+'Economy Ministry'!C104*EcEnabled+'Environment Ministry'!C104*EnvEnabled+'Defence Ministry'!C104*DefEnabled+'Education Ministry'!C104*EduEnabled+Crises!C104+'Breaking News'!C104+Dilemmas!C104+Startups!C104</f>
        <v>20</v>
      </c>
      <c r="D104">
        <f>$B104+'Economy Ministry'!D104*EcEnabled+'Environment Ministry'!D104*EnvEnabled+'Defence Ministry'!D104*DefEnabled+'Education Ministry'!D104*EduEnabled+Crises!D104+'Breaking News'!D104+Dilemmas!D104+Startups!D104</f>
        <v>20</v>
      </c>
      <c r="E104">
        <f>$B104+'Economy Ministry'!E104*EcEnabled+'Environment Ministry'!E104*EnvEnabled+'Defence Ministry'!E104*DefEnabled+'Education Ministry'!E104*EduEnabled+Crises!E104+'Breaking News'!E104+Dilemmas!E104+Startups!E104</f>
        <v>20</v>
      </c>
      <c r="F104">
        <f>$B104+'Economy Ministry'!F104*EcEnabled+'Environment Ministry'!F104*EnvEnabled+'Defence Ministry'!F104*DefEnabled+'Education Ministry'!F104*EduEnabled+Crises!F104+'Breaking News'!F104+Dilemmas!F104+Startups!F104</f>
        <v>20</v>
      </c>
      <c r="G104">
        <f>$B104+'Economy Ministry'!G104*EcEnabled+'Environment Ministry'!G104*EnvEnabled+'Defence Ministry'!G104*DefEnabled+'Education Ministry'!G104*EduEnabled+Crises!G104+'Breaking News'!G104+Dilemmas!G104+Startups!G104</f>
        <v>20</v>
      </c>
      <c r="H104">
        <f>$B104+'Economy Ministry'!H104*EcEnabled+'Environment Ministry'!H104*EnvEnabled+'Defence Ministry'!H104*DefEnabled+'Education Ministry'!H104*EduEnabled+Crises!H104+'Breaking News'!H104+Dilemmas!H104+Startups!H104</f>
        <v>20</v>
      </c>
      <c r="I104">
        <f>$B104+'Economy Ministry'!I104*EcEnabled+'Environment Ministry'!I104*EnvEnabled+'Defence Ministry'!I104*DefEnabled+'Education Ministry'!I104*EduEnabled+Crises!I104+'Breaking News'!I104+Dilemmas!I104</f>
        <v>20</v>
      </c>
      <c r="J104">
        <f>$B104+'Economy Ministry'!J104*EcEnabled+'Environment Ministry'!J104*EnvEnabled+'Defence Ministry'!J104*DefEnabled+'Education Ministry'!J104*EduEnabled+Crises!J104+'Breaking News'!J104+Dilemmas!J104</f>
        <v>20</v>
      </c>
    </row>
    <row r="105" spans="1:10" x14ac:dyDescent="0.2">
      <c r="A105" t="s">
        <v>1296</v>
      </c>
      <c r="B105">
        <f>'Result Targets'!B105</f>
        <v>40.811965811965813</v>
      </c>
      <c r="C105">
        <f>'Result Targets'!C105</f>
        <v>40.811965811965813</v>
      </c>
      <c r="D105">
        <f>'Result Targets'!D105</f>
        <v>40.811965811965813</v>
      </c>
      <c r="E105">
        <f>'Result Targets'!E105</f>
        <v>40.589743589743591</v>
      </c>
      <c r="F105">
        <f>'Result Targets'!F105</f>
        <v>40.145299145299141</v>
      </c>
      <c r="G105">
        <f>'Result Targets'!G105</f>
        <v>40.145299145299141</v>
      </c>
      <c r="H105">
        <f>'Result Targets'!H105</f>
        <v>40.423076923076927</v>
      </c>
      <c r="I105">
        <f>'Result Targets'!I105</f>
        <v>40.423076923076927</v>
      </c>
      <c r="J105">
        <f>'Result Targets'!J105</f>
        <v>40.423076923076927</v>
      </c>
    </row>
    <row r="108" spans="1:10" x14ac:dyDescent="0.2">
      <c r="A108" s="5" t="s">
        <v>1328</v>
      </c>
    </row>
    <row r="109" spans="1:10" x14ac:dyDescent="0.2">
      <c r="A109" t="s">
        <v>1291</v>
      </c>
      <c r="B109">
        <f>B64*'Project Variables'!$E$40</f>
        <v>12.5</v>
      </c>
      <c r="C109">
        <f>C64*'Project Variables'!$E$40</f>
        <v>12.5</v>
      </c>
      <c r="D109">
        <f>D64*'Project Variables'!$E$40</f>
        <v>12.5</v>
      </c>
      <c r="E109">
        <f>E64*'Project Variables'!$E$40</f>
        <v>12.5</v>
      </c>
      <c r="F109">
        <f>F64*'Project Variables'!$E$40</f>
        <v>12.5</v>
      </c>
      <c r="G109">
        <f>G64*'Project Variables'!$E$40</f>
        <v>12.5</v>
      </c>
      <c r="H109">
        <f>H64*'Project Variables'!$E$40</f>
        <v>12.5</v>
      </c>
      <c r="I109">
        <f>I64*'Project Variables'!$E$40</f>
        <v>12.5</v>
      </c>
      <c r="J109">
        <f>J64*'Project Variables'!$E$40</f>
        <v>12.5</v>
      </c>
    </row>
    <row r="110" spans="1:10" x14ac:dyDescent="0.2">
      <c r="A110" t="s">
        <v>47</v>
      </c>
      <c r="B110">
        <f>B65*'Project Variables'!$E$41</f>
        <v>13.75</v>
      </c>
      <c r="C110">
        <f>C65*'Project Variables'!$E$41</f>
        <v>13.75</v>
      </c>
      <c r="D110">
        <f>D65*'Project Variables'!$E$41</f>
        <v>13.35</v>
      </c>
      <c r="E110">
        <f>E65*'Project Variables'!$E$41</f>
        <v>13.35</v>
      </c>
      <c r="F110">
        <f>F65*'Project Variables'!$E$41</f>
        <v>13.35</v>
      </c>
      <c r="G110">
        <f>G65*'Project Variables'!$E$41</f>
        <v>13.35</v>
      </c>
      <c r="H110">
        <f>H65*'Project Variables'!$E$41</f>
        <v>13.35</v>
      </c>
      <c r="I110">
        <f>I65*'Project Variables'!$E$41</f>
        <v>13.35</v>
      </c>
      <c r="J110">
        <f>J65*'Project Variables'!$E$41</f>
        <v>13.35</v>
      </c>
    </row>
    <row r="111" spans="1:10" x14ac:dyDescent="0.2">
      <c r="A111" t="s">
        <v>1292</v>
      </c>
      <c r="B111">
        <f>B66*'Project Variables'!$E$42</f>
        <v>6</v>
      </c>
      <c r="C111">
        <f>C66*'Project Variables'!$E$42</f>
        <v>6</v>
      </c>
      <c r="D111">
        <f>D66*'Project Variables'!$E$42</f>
        <v>6</v>
      </c>
      <c r="E111">
        <f>E66*'Project Variables'!$E$42</f>
        <v>6</v>
      </c>
      <c r="F111">
        <f>F66*'Project Variables'!$E$42</f>
        <v>6</v>
      </c>
      <c r="G111">
        <f>G66*'Project Variables'!$E$42</f>
        <v>6</v>
      </c>
      <c r="H111">
        <f>H66*'Project Variables'!$E$42</f>
        <v>6</v>
      </c>
      <c r="I111">
        <f>I66*'Project Variables'!$E$42</f>
        <v>6</v>
      </c>
      <c r="J111">
        <f>J66*'Project Variables'!$E$42</f>
        <v>6</v>
      </c>
    </row>
    <row r="112" spans="1:10" x14ac:dyDescent="0.2">
      <c r="A112" t="s">
        <v>48</v>
      </c>
      <c r="B112">
        <f>B67*'Project Variables'!$E$43</f>
        <v>5.7</v>
      </c>
      <c r="C112">
        <f>C67*'Project Variables'!$E$43</f>
        <v>5.7</v>
      </c>
      <c r="D112">
        <f>D67*'Project Variables'!$E$43</f>
        <v>5.46</v>
      </c>
      <c r="E112">
        <f>E67*'Project Variables'!$E$43</f>
        <v>5.46</v>
      </c>
      <c r="F112">
        <f>F67*'Project Variables'!$E$43</f>
        <v>5.46</v>
      </c>
      <c r="G112">
        <f>G67*'Project Variables'!$E$43</f>
        <v>5.46</v>
      </c>
      <c r="H112">
        <f>H67*'Project Variables'!$E$43</f>
        <v>5.22</v>
      </c>
      <c r="I112">
        <f>I67*'Project Variables'!$E$43</f>
        <v>5.22</v>
      </c>
      <c r="J112">
        <f>J67*'Project Variables'!$E$43</f>
        <v>5.22</v>
      </c>
    </row>
    <row r="113" spans="1:10" x14ac:dyDescent="0.2">
      <c r="A113" t="s">
        <v>49</v>
      </c>
      <c r="B113">
        <f>B68*'Project Variables'!$E$44</f>
        <v>4.5</v>
      </c>
      <c r="C113">
        <f>C68*'Project Variables'!$E$44</f>
        <v>4.5</v>
      </c>
      <c r="D113">
        <f>D68*'Project Variables'!$E$44</f>
        <v>4.5</v>
      </c>
      <c r="E113">
        <f>E68*'Project Variables'!$E$44</f>
        <v>4.5</v>
      </c>
      <c r="F113">
        <f>F68*'Project Variables'!$E$44</f>
        <v>4.5</v>
      </c>
      <c r="G113">
        <f>G68*'Project Variables'!$E$44</f>
        <v>4.5</v>
      </c>
      <c r="H113">
        <f>H68*'Project Variables'!$E$44</f>
        <v>4.5</v>
      </c>
      <c r="I113">
        <f>I68*'Project Variables'!$E$44</f>
        <v>4.5</v>
      </c>
      <c r="J113">
        <f>J68*'Project Variables'!$E$44</f>
        <v>4.5</v>
      </c>
    </row>
    <row r="114" spans="1:10" x14ac:dyDescent="0.2">
      <c r="A114" t="s">
        <v>50</v>
      </c>
      <c r="B114">
        <f>B69*'Project Variables'!$E$45</f>
        <v>3.8000000000000003</v>
      </c>
      <c r="C114">
        <f>C69*'Project Variables'!$E$45</f>
        <v>3.8000000000000003</v>
      </c>
      <c r="D114">
        <f>D69*'Project Variables'!$E$45</f>
        <v>3.48</v>
      </c>
      <c r="E114">
        <f>E69*'Project Variables'!$E$45</f>
        <v>3.48</v>
      </c>
      <c r="F114">
        <f>F69*'Project Variables'!$E$45</f>
        <v>3.48</v>
      </c>
      <c r="G114">
        <f>G69*'Project Variables'!$E$45</f>
        <v>3.48</v>
      </c>
      <c r="H114">
        <f>H69*'Project Variables'!$E$45</f>
        <v>3.16</v>
      </c>
      <c r="I114">
        <f>I69*'Project Variables'!$E$45</f>
        <v>3.16</v>
      </c>
      <c r="J114">
        <f>J69*'Project Variables'!$E$45</f>
        <v>3.16</v>
      </c>
    </row>
    <row r="117" spans="1:10" x14ac:dyDescent="0.2">
      <c r="A117" t="s">
        <v>1297</v>
      </c>
      <c r="B117">
        <f t="shared" ref="B117:J117" si="3">ROUND(SUM(B109:B114),1)</f>
        <v>46.3</v>
      </c>
      <c r="C117">
        <f t="shared" si="3"/>
        <v>46.3</v>
      </c>
      <c r="D117">
        <f t="shared" si="3"/>
        <v>45.3</v>
      </c>
      <c r="E117">
        <f t="shared" si="3"/>
        <v>45.3</v>
      </c>
      <c r="F117">
        <f t="shared" si="3"/>
        <v>45.3</v>
      </c>
      <c r="G117">
        <f t="shared" si="3"/>
        <v>45.3</v>
      </c>
      <c r="H117">
        <f t="shared" si="3"/>
        <v>44.7</v>
      </c>
      <c r="I117">
        <f t="shared" si="3"/>
        <v>44.7</v>
      </c>
      <c r="J117">
        <f t="shared" si="3"/>
        <v>44.7</v>
      </c>
    </row>
    <row r="118" spans="1:10" x14ac:dyDescent="0.2">
      <c r="A118" t="s">
        <v>1724</v>
      </c>
      <c r="B118">
        <f>'Result Targets'!B112</f>
        <v>34.065170940170944</v>
      </c>
      <c r="C118">
        <f>'Result Targets'!C112</f>
        <v>33.57628205128205</v>
      </c>
      <c r="D118">
        <f>'Result Targets'!D112</f>
        <v>33.487393162393161</v>
      </c>
      <c r="E118">
        <f>'Result Targets'!E112</f>
        <v>33.298504273504278</v>
      </c>
      <c r="F118">
        <f>'Result Targets'!F112</f>
        <v>33.187393162393164</v>
      </c>
      <c r="G118">
        <f>'Result Targets'!G112</f>
        <v>32.920726495726491</v>
      </c>
      <c r="H118">
        <f>'Result Targets'!H112</f>
        <v>33.26794871794872</v>
      </c>
      <c r="I118">
        <f>'Result Targets'!I112</f>
        <v>33.26794871794872</v>
      </c>
      <c r="J118">
        <f>'Result Targets'!J112</f>
        <v>33.26794871794872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24A5-6001-442B-A461-024911F3FE7C}">
  <dimension ref="A1:O112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48.1640625" customWidth="1"/>
    <col min="2" max="10" width="16.83203125" customWidth="1"/>
  </cols>
  <sheetData>
    <row r="1" spans="1:15" x14ac:dyDescent="0.2">
      <c r="B1" s="15">
        <v>0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</row>
    <row r="2" spans="1:15" x14ac:dyDescent="0.2">
      <c r="A2" s="14" t="s">
        <v>46</v>
      </c>
    </row>
    <row r="3" spans="1:15" x14ac:dyDescent="0.2">
      <c r="A3" s="5"/>
    </row>
    <row r="4" spans="1:15" x14ac:dyDescent="0.2">
      <c r="A4" s="5" t="s">
        <v>44</v>
      </c>
      <c r="O4" s="5"/>
    </row>
    <row r="5" spans="1:15" x14ac:dyDescent="0.2">
      <c r="A5" t="s">
        <v>60</v>
      </c>
      <c r="B5">
        <f>IF(FacilSetsTargets=1,'Target Settings'!B4,'Target Settings'!E4)</f>
        <v>12</v>
      </c>
      <c r="C5">
        <f t="shared" ref="C5:J5" si="0">B5</f>
        <v>12</v>
      </c>
      <c r="D5">
        <f t="shared" si="0"/>
        <v>12</v>
      </c>
      <c r="E5">
        <f t="shared" si="0"/>
        <v>12</v>
      </c>
      <c r="F5">
        <f t="shared" si="0"/>
        <v>12</v>
      </c>
      <c r="G5">
        <f t="shared" si="0"/>
        <v>12</v>
      </c>
      <c r="H5">
        <f t="shared" si="0"/>
        <v>12</v>
      </c>
      <c r="I5">
        <f t="shared" si="0"/>
        <v>12</v>
      </c>
      <c r="J5">
        <f t="shared" si="0"/>
        <v>12</v>
      </c>
    </row>
    <row r="6" spans="1:15" x14ac:dyDescent="0.2">
      <c r="A6" t="s">
        <v>1930</v>
      </c>
      <c r="B6" s="8">
        <v>100000000000</v>
      </c>
      <c r="C6">
        <f>B6</f>
        <v>100000000000</v>
      </c>
      <c r="D6">
        <f t="shared" ref="D6:G9" si="1">C6</f>
        <v>100000000000</v>
      </c>
      <c r="E6">
        <f t="shared" si="1"/>
        <v>100000000000</v>
      </c>
      <c r="F6">
        <f t="shared" si="1"/>
        <v>100000000000</v>
      </c>
      <c r="G6">
        <f t="shared" si="1"/>
        <v>100000000000</v>
      </c>
      <c r="H6">
        <f t="shared" ref="H6:H9" si="2">G6</f>
        <v>100000000000</v>
      </c>
      <c r="I6">
        <f t="shared" ref="I6:I9" si="3">H6</f>
        <v>100000000000</v>
      </c>
      <c r="J6">
        <f t="shared" ref="J6:J9" si="4">I6</f>
        <v>100000000000</v>
      </c>
    </row>
    <row r="7" spans="1:15" hidden="1" x14ac:dyDescent="0.2"/>
    <row r="8" spans="1:15" hidden="1" x14ac:dyDescent="0.2"/>
    <row r="9" spans="1:15" x14ac:dyDescent="0.2">
      <c r="A9" t="s">
        <v>59</v>
      </c>
      <c r="B9" s="8">
        <f>IF(FacilSetsTargets=1,'Target Settings'!B6,'Target Settings'!E6)</f>
        <v>500000</v>
      </c>
      <c r="C9" s="8">
        <f>B9</f>
        <v>500000</v>
      </c>
      <c r="D9" s="8">
        <f t="shared" si="1"/>
        <v>500000</v>
      </c>
      <c r="E9" s="8">
        <f t="shared" si="1"/>
        <v>500000</v>
      </c>
      <c r="F9" s="8">
        <f t="shared" si="1"/>
        <v>500000</v>
      </c>
      <c r="G9" s="8">
        <f t="shared" si="1"/>
        <v>500000</v>
      </c>
      <c r="H9" s="8">
        <f t="shared" si="2"/>
        <v>500000</v>
      </c>
      <c r="I9" s="8">
        <f t="shared" si="3"/>
        <v>500000</v>
      </c>
      <c r="J9" s="8">
        <f t="shared" si="4"/>
        <v>500000</v>
      </c>
    </row>
    <row r="10" spans="1:15" x14ac:dyDescent="0.2">
      <c r="B10" s="8"/>
      <c r="C10" s="8"/>
      <c r="D10" s="8"/>
      <c r="E10" s="8"/>
      <c r="F10" s="8"/>
      <c r="G10" s="8"/>
      <c r="H10" s="8"/>
      <c r="I10" s="8"/>
      <c r="J10" s="8"/>
    </row>
    <row r="12" spans="1:15" x14ac:dyDescent="0.2">
      <c r="A12" s="5" t="s">
        <v>51</v>
      </c>
      <c r="O12" s="5"/>
    </row>
    <row r="13" spans="1:15" hidden="1" x14ac:dyDescent="0.2">
      <c r="A13" s="5"/>
      <c r="O13" s="5"/>
    </row>
    <row r="14" spans="1:15" hidden="1" x14ac:dyDescent="0.2">
      <c r="A14" s="5"/>
      <c r="O14" s="5"/>
    </row>
    <row r="15" spans="1:15" x14ac:dyDescent="0.2">
      <c r="A15" s="9" t="s">
        <v>1710</v>
      </c>
      <c r="B15" s="24">
        <f>IF(FacilSetsTargets=1,'Target Settings'!B10,'Target Settings'!E10)</f>
        <v>40</v>
      </c>
      <c r="C15" s="24">
        <f>B15</f>
        <v>40</v>
      </c>
      <c r="D15" s="24">
        <f t="shared" ref="D15:J15" si="5">C15</f>
        <v>40</v>
      </c>
      <c r="E15" s="24">
        <f t="shared" si="5"/>
        <v>40</v>
      </c>
      <c r="F15" s="24">
        <f t="shared" si="5"/>
        <v>40</v>
      </c>
      <c r="G15" s="24">
        <f t="shared" si="5"/>
        <v>40</v>
      </c>
      <c r="H15" s="24">
        <f t="shared" si="5"/>
        <v>40</v>
      </c>
      <c r="I15" s="24">
        <f t="shared" si="5"/>
        <v>40</v>
      </c>
      <c r="J15" s="24">
        <f t="shared" si="5"/>
        <v>40</v>
      </c>
      <c r="O15" s="9"/>
    </row>
    <row r="16" spans="1:15" hidden="1" x14ac:dyDescent="0.2">
      <c r="A16" s="9"/>
      <c r="B16" s="24"/>
      <c r="C16" s="24"/>
      <c r="D16" s="24"/>
      <c r="E16" s="24"/>
      <c r="F16" s="24"/>
      <c r="G16" s="24"/>
      <c r="H16" s="24"/>
      <c r="I16" s="24"/>
      <c r="J16" s="24"/>
      <c r="O16" s="9"/>
    </row>
    <row r="17" spans="1:15" hidden="1" x14ac:dyDescent="0.2">
      <c r="A17" s="9"/>
      <c r="B17" s="24"/>
      <c r="C17" s="24"/>
      <c r="D17" s="24"/>
      <c r="E17" s="24"/>
      <c r="F17" s="24"/>
      <c r="G17" s="24"/>
      <c r="H17" s="24"/>
      <c r="I17" s="24"/>
      <c r="J17" s="24"/>
      <c r="O17" s="9"/>
    </row>
    <row r="18" spans="1:15" x14ac:dyDescent="0.2">
      <c r="A18" s="9" t="s">
        <v>1299</v>
      </c>
      <c r="B18">
        <f>IF(FacilSetsTargets=1,'Target Settings'!B11,'Target Settings'!E11)</f>
        <v>60</v>
      </c>
      <c r="C18">
        <f>B18</f>
        <v>60</v>
      </c>
      <c r="D18">
        <f t="shared" ref="D18:J18" si="6">C18</f>
        <v>60</v>
      </c>
      <c r="E18">
        <f t="shared" si="6"/>
        <v>60</v>
      </c>
      <c r="F18">
        <f t="shared" si="6"/>
        <v>60</v>
      </c>
      <c r="G18">
        <f t="shared" si="6"/>
        <v>60</v>
      </c>
      <c r="H18">
        <f t="shared" si="6"/>
        <v>60</v>
      </c>
      <c r="I18">
        <f t="shared" si="6"/>
        <v>60</v>
      </c>
      <c r="J18">
        <f t="shared" si="6"/>
        <v>60</v>
      </c>
      <c r="O18" s="9"/>
    </row>
    <row r="19" spans="1:15" x14ac:dyDescent="0.2">
      <c r="A19" s="9" t="s">
        <v>1298</v>
      </c>
      <c r="B19" s="24">
        <f>IF(FacilSetsTargets=1,'Target Settings'!B12,'Target Settings'!E12)</f>
        <v>60</v>
      </c>
      <c r="C19" s="24">
        <f>B19</f>
        <v>60</v>
      </c>
      <c r="D19" s="24">
        <f t="shared" ref="D19:J19" si="7">C19</f>
        <v>60</v>
      </c>
      <c r="E19" s="24">
        <f t="shared" si="7"/>
        <v>60</v>
      </c>
      <c r="F19" s="24">
        <f t="shared" si="7"/>
        <v>60</v>
      </c>
      <c r="G19" s="24">
        <f t="shared" si="7"/>
        <v>60</v>
      </c>
      <c r="H19" s="24">
        <f t="shared" si="7"/>
        <v>60</v>
      </c>
      <c r="I19" s="24">
        <f t="shared" si="7"/>
        <v>60</v>
      </c>
      <c r="J19" s="24">
        <f t="shared" si="7"/>
        <v>60</v>
      </c>
      <c r="O19" s="9"/>
    </row>
    <row r="20" spans="1:15" x14ac:dyDescent="0.2">
      <c r="A20" s="9"/>
      <c r="B20" s="24"/>
      <c r="C20" s="24"/>
      <c r="D20" s="24"/>
      <c r="E20" s="24"/>
      <c r="F20" s="24"/>
      <c r="G20" s="24"/>
      <c r="H20" s="24"/>
      <c r="I20" s="24"/>
      <c r="J20" s="24"/>
      <c r="O20" s="9"/>
    </row>
    <row r="22" spans="1:15" x14ac:dyDescent="0.2">
      <c r="A22" s="5" t="s">
        <v>52</v>
      </c>
      <c r="O22" s="5"/>
    </row>
    <row r="23" spans="1:15" x14ac:dyDescent="0.2">
      <c r="A23" t="s">
        <v>61</v>
      </c>
      <c r="B23" s="24">
        <f>IF(FacilSetsTargets=1,'Target Settings'!B16,'Target Settings'!E16)</f>
        <v>65</v>
      </c>
      <c r="C23" s="24">
        <f>B23</f>
        <v>65</v>
      </c>
      <c r="D23" s="24">
        <f t="shared" ref="D23:J23" si="8">C23</f>
        <v>65</v>
      </c>
      <c r="E23" s="24">
        <f t="shared" si="8"/>
        <v>65</v>
      </c>
      <c r="F23" s="24">
        <f t="shared" si="8"/>
        <v>65</v>
      </c>
      <c r="G23" s="24">
        <f t="shared" si="8"/>
        <v>65</v>
      </c>
      <c r="H23" s="24">
        <f t="shared" si="8"/>
        <v>65</v>
      </c>
      <c r="I23" s="24">
        <f t="shared" si="8"/>
        <v>65</v>
      </c>
      <c r="J23" s="24">
        <f t="shared" si="8"/>
        <v>65</v>
      </c>
    </row>
    <row r="24" spans="1:15" x14ac:dyDescent="0.2">
      <c r="A24" t="s">
        <v>1712</v>
      </c>
      <c r="B24" s="24">
        <f>IF(FacilSetsTargets=1,'Target Settings'!B17,'Target Settings'!E17)</f>
        <v>75</v>
      </c>
      <c r="C24">
        <f>B24</f>
        <v>75</v>
      </c>
      <c r="D24">
        <f t="shared" ref="D24:J24" si="9">C24</f>
        <v>75</v>
      </c>
      <c r="E24">
        <f t="shared" si="9"/>
        <v>75</v>
      </c>
      <c r="F24">
        <f t="shared" si="9"/>
        <v>75</v>
      </c>
      <c r="G24">
        <f t="shared" si="9"/>
        <v>75</v>
      </c>
      <c r="H24">
        <f t="shared" si="9"/>
        <v>75</v>
      </c>
      <c r="I24">
        <f t="shared" si="9"/>
        <v>75</v>
      </c>
      <c r="J24">
        <f t="shared" si="9"/>
        <v>75</v>
      </c>
    </row>
    <row r="25" spans="1:15" hidden="1" x14ac:dyDescent="0.2"/>
    <row r="26" spans="1:15" hidden="1" x14ac:dyDescent="0.2"/>
    <row r="27" spans="1:15" x14ac:dyDescent="0.2">
      <c r="A27" t="s">
        <v>1301</v>
      </c>
      <c r="B27" s="24">
        <f>IF(FacilSetsTargets=1,'Target Settings'!B18,'Target Settings'!E18)</f>
        <v>2000000000</v>
      </c>
      <c r="C27" s="24">
        <f>B27</f>
        <v>2000000000</v>
      </c>
      <c r="D27" s="24">
        <f t="shared" ref="D27:J27" si="10">C27</f>
        <v>2000000000</v>
      </c>
      <c r="E27" s="24">
        <f t="shared" si="10"/>
        <v>2000000000</v>
      </c>
      <c r="F27" s="24">
        <f t="shared" si="10"/>
        <v>2000000000</v>
      </c>
      <c r="G27" s="24">
        <f t="shared" si="10"/>
        <v>2000000000</v>
      </c>
      <c r="H27" s="24">
        <f t="shared" si="10"/>
        <v>2000000000</v>
      </c>
      <c r="I27" s="24">
        <f t="shared" si="10"/>
        <v>2000000000</v>
      </c>
      <c r="J27" s="24">
        <f t="shared" si="10"/>
        <v>2000000000</v>
      </c>
    </row>
    <row r="28" spans="1:1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30" spans="1:15" x14ac:dyDescent="0.2">
      <c r="A30" s="5" t="s">
        <v>53</v>
      </c>
      <c r="O30" s="5"/>
    </row>
    <row r="31" spans="1:15" x14ac:dyDescent="0.2">
      <c r="A31" t="s">
        <v>62</v>
      </c>
      <c r="B31" s="24">
        <f>IF(FacilSetsTargets=1,'Target Settings'!B22,'Target Settings'!E22)</f>
        <v>60</v>
      </c>
      <c r="C31" s="24">
        <f>B31</f>
        <v>60</v>
      </c>
      <c r="D31" s="24">
        <f t="shared" ref="D31:J31" si="11">C31</f>
        <v>60</v>
      </c>
      <c r="E31" s="24">
        <f t="shared" si="11"/>
        <v>60</v>
      </c>
      <c r="F31" s="24">
        <f t="shared" si="11"/>
        <v>60</v>
      </c>
      <c r="G31" s="24">
        <f t="shared" si="11"/>
        <v>60</v>
      </c>
      <c r="H31" s="24">
        <f t="shared" si="11"/>
        <v>60</v>
      </c>
      <c r="I31" s="24">
        <f t="shared" si="11"/>
        <v>60</v>
      </c>
      <c r="J31" s="24">
        <f t="shared" si="11"/>
        <v>60</v>
      </c>
    </row>
    <row r="32" spans="1:15" x14ac:dyDescent="0.2">
      <c r="A32" t="s">
        <v>63</v>
      </c>
      <c r="B32" s="24">
        <f>IF(FacilSetsTargets=1,'Target Settings'!B23,'Target Settings'!E23)</f>
        <v>60</v>
      </c>
      <c r="C32" s="24">
        <f t="shared" ref="C32:J33" si="12">B32</f>
        <v>60</v>
      </c>
      <c r="D32" s="24">
        <f t="shared" si="12"/>
        <v>60</v>
      </c>
      <c r="E32" s="24">
        <f t="shared" si="12"/>
        <v>60</v>
      </c>
      <c r="F32" s="24">
        <f t="shared" si="12"/>
        <v>60</v>
      </c>
      <c r="G32" s="24">
        <f t="shared" si="12"/>
        <v>60</v>
      </c>
      <c r="H32" s="24">
        <f t="shared" si="12"/>
        <v>60</v>
      </c>
      <c r="I32" s="24">
        <f t="shared" si="12"/>
        <v>60</v>
      </c>
      <c r="J32" s="24">
        <f t="shared" si="12"/>
        <v>60</v>
      </c>
    </row>
    <row r="33" spans="1:10" x14ac:dyDescent="0.2">
      <c r="A33" t="s">
        <v>1300</v>
      </c>
      <c r="B33" s="24">
        <f>IF(FacilSetsTargets=1,'Target Settings'!B24,'Target Settings'!E24)</f>
        <v>65</v>
      </c>
      <c r="C33" s="24">
        <f t="shared" si="12"/>
        <v>65</v>
      </c>
      <c r="D33" s="24">
        <f t="shared" si="12"/>
        <v>65</v>
      </c>
      <c r="E33" s="32">
        <f t="shared" si="12"/>
        <v>65</v>
      </c>
      <c r="F33" s="24">
        <f t="shared" si="12"/>
        <v>65</v>
      </c>
      <c r="G33" s="24">
        <f t="shared" si="12"/>
        <v>65</v>
      </c>
      <c r="H33" s="24">
        <f t="shared" si="12"/>
        <v>65</v>
      </c>
      <c r="I33" s="24">
        <f t="shared" si="12"/>
        <v>65</v>
      </c>
      <c r="J33" s="24">
        <f t="shared" si="12"/>
        <v>65</v>
      </c>
    </row>
    <row r="35" spans="1:10" hidden="1" x14ac:dyDescent="0.2"/>
    <row r="36" spans="1:10" hidden="1" x14ac:dyDescent="0.2"/>
    <row r="37" spans="1:10" hidden="1" x14ac:dyDescent="0.2"/>
    <row r="38" spans="1:10" hidden="1" x14ac:dyDescent="0.2"/>
    <row r="39" spans="1:10" hidden="1" x14ac:dyDescent="0.2"/>
    <row r="40" spans="1:10" hidden="1" x14ac:dyDescent="0.2"/>
    <row r="41" spans="1:10" hidden="1" x14ac:dyDescent="0.2"/>
    <row r="42" spans="1:10" hidden="1" x14ac:dyDescent="0.2"/>
    <row r="43" spans="1:10" hidden="1" x14ac:dyDescent="0.2"/>
    <row r="44" spans="1:10" hidden="1" x14ac:dyDescent="0.2"/>
    <row r="45" spans="1:10" hidden="1" x14ac:dyDescent="0.2"/>
    <row r="46" spans="1:10" hidden="1" x14ac:dyDescent="0.2"/>
    <row r="47" spans="1:10" hidden="1" x14ac:dyDescent="0.2"/>
    <row r="48" spans="1:10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spans="1:15" hidden="1" x14ac:dyDescent="0.2"/>
    <row r="66" spans="1:15" hidden="1" x14ac:dyDescent="0.2"/>
    <row r="67" spans="1:15" hidden="1" x14ac:dyDescent="0.2">
      <c r="B67" s="22"/>
      <c r="C67" s="12"/>
      <c r="D67" s="12"/>
      <c r="E67" s="12"/>
      <c r="F67" s="12"/>
      <c r="G67" s="12"/>
      <c r="H67" s="12"/>
      <c r="I67" s="12"/>
      <c r="J67" s="12"/>
    </row>
    <row r="68" spans="1:15" hidden="1" x14ac:dyDescent="0.2">
      <c r="A68" s="5"/>
    </row>
    <row r="70" spans="1:15" x14ac:dyDescent="0.2">
      <c r="A70" s="14" t="s">
        <v>1713</v>
      </c>
    </row>
    <row r="71" spans="1:15" x14ac:dyDescent="0.2">
      <c r="A71" s="5"/>
    </row>
    <row r="72" spans="1:15" x14ac:dyDescent="0.2">
      <c r="A72" s="5" t="s">
        <v>44</v>
      </c>
      <c r="N72" s="5"/>
      <c r="O72" s="5"/>
    </row>
    <row r="73" spans="1:15" x14ac:dyDescent="0.2">
      <c r="A73" t="s">
        <v>1714</v>
      </c>
      <c r="B73">
        <f>MAX((Results!B73)/('Result Targets'!B5),0) * 100</f>
        <v>25</v>
      </c>
      <c r="C73">
        <f>MAX((Results!C73)/('Result Targets'!C5),0) * 100</f>
        <v>22.333333333333329</v>
      </c>
      <c r="D73">
        <f>MAX((Results!D73)/('Result Targets'!D5),0) * 100</f>
        <v>22.333333333333329</v>
      </c>
      <c r="E73">
        <f>MAX((Results!E73)/('Result Targets'!E5),0) * 100</f>
        <v>22.333333333333329</v>
      </c>
      <c r="F73">
        <f>MAX((Results!F73)/('Result Targets'!F5),0) * 100</f>
        <v>22.333333333333329</v>
      </c>
      <c r="G73">
        <f>MAX((Results!G73)/('Result Targets'!G5),0) * 100</f>
        <v>22.333333333333329</v>
      </c>
      <c r="H73">
        <f>MAX((Results!H73)/('Result Targets'!H5),0) * 100</f>
        <v>25.666666666666664</v>
      </c>
      <c r="I73">
        <f>MAX((Results!I73)/('Result Targets'!I5),0) * 100</f>
        <v>25.666666666666664</v>
      </c>
      <c r="J73">
        <f>MAX((Results!J73)/('Result Targets'!J5),0) * 100</f>
        <v>25.666666666666664</v>
      </c>
    </row>
    <row r="74" spans="1:15" x14ac:dyDescent="0.2">
      <c r="A74" t="s">
        <v>1931</v>
      </c>
      <c r="B74">
        <f>MAX((Results!B74)/('Result Targets'!B6),0)*100</f>
        <v>50</v>
      </c>
      <c r="C74">
        <f>MAX((Results!C74)/('Result Targets'!C6),0)*100</f>
        <v>46.800000000000004</v>
      </c>
      <c r="D74">
        <f>MAX((Results!D74)/('Result Targets'!D6),0)*100</f>
        <v>46.800000000000004</v>
      </c>
      <c r="E74">
        <f>MAX((Results!E74)/('Result Targets'!E6),0)*100</f>
        <v>45.2</v>
      </c>
      <c r="F74">
        <f>MAX((Results!F74)/('Result Targets'!F6),0)*100</f>
        <v>45.2</v>
      </c>
      <c r="G74">
        <f>MAX((Results!G74)/('Result Targets'!G6),0)*100</f>
        <v>42</v>
      </c>
      <c r="H74">
        <f>MAX((Results!H74)/('Result Targets'!H6),0)*100</f>
        <v>42</v>
      </c>
      <c r="I74">
        <f>MAX((Results!I74)/('Result Targets'!I6),0)*100</f>
        <v>42</v>
      </c>
      <c r="J74">
        <f>MAX((Results!J74)/('Result Targets'!J6),0)*100</f>
        <v>42</v>
      </c>
    </row>
    <row r="75" spans="1:15" hidden="1" x14ac:dyDescent="0.2"/>
    <row r="76" spans="1:15" hidden="1" x14ac:dyDescent="0.2"/>
    <row r="77" spans="1:15" x14ac:dyDescent="0.2">
      <c r="A77" t="s">
        <v>1715</v>
      </c>
      <c r="B77">
        <f>MAX((Results!B77)/('Result Targets'!B9),0)*100</f>
        <v>0</v>
      </c>
      <c r="C77">
        <f>MAX((Results!C77)/('Result Targets'!C9),0)*100</f>
        <v>0</v>
      </c>
      <c r="D77">
        <f>MAX((Results!D77)/('Result Targets'!D9),0)*100</f>
        <v>0</v>
      </c>
      <c r="E77">
        <f>MAX((Results!E77)/('Result Targets'!E9),0)*100</f>
        <v>0</v>
      </c>
      <c r="F77">
        <f>MAX((Results!F77)/('Result Targets'!F9),0)*100</f>
        <v>0</v>
      </c>
      <c r="G77">
        <f>MAX((Results!G77)/('Result Targets'!G9),0)*100</f>
        <v>0</v>
      </c>
      <c r="H77">
        <f>MAX((Results!H77)/('Result Targets'!H9),0)*100</f>
        <v>0</v>
      </c>
      <c r="I77">
        <f>MAX((Results!I77)/('Result Targets'!I9),0)*100</f>
        <v>0</v>
      </c>
      <c r="J77">
        <f>MAX((Results!J77)/('Result Targets'!J9),0)*100</f>
        <v>0</v>
      </c>
    </row>
    <row r="78" spans="1:15" x14ac:dyDescent="0.2">
      <c r="A78" t="s">
        <v>342</v>
      </c>
      <c r="B78">
        <f>AVERAGE(MIN(B73,100),MIN(B74,100),MIN(B77,100))</f>
        <v>25</v>
      </c>
      <c r="C78">
        <f t="shared" ref="C78:J78" si="13">AVERAGE(MIN(C73,100),MIN(C74,100),MIN(C77,100))</f>
        <v>23.044444444444441</v>
      </c>
      <c r="D78">
        <f t="shared" si="13"/>
        <v>23.044444444444441</v>
      </c>
      <c r="E78">
        <f t="shared" si="13"/>
        <v>22.511111111111109</v>
      </c>
      <c r="F78">
        <f t="shared" si="13"/>
        <v>22.511111111111109</v>
      </c>
      <c r="G78">
        <f t="shared" si="13"/>
        <v>21.444444444444443</v>
      </c>
      <c r="H78">
        <f t="shared" si="13"/>
        <v>22.555555555555554</v>
      </c>
      <c r="I78">
        <f t="shared" si="13"/>
        <v>22.555555555555554</v>
      </c>
      <c r="J78">
        <f t="shared" si="13"/>
        <v>22.555555555555554</v>
      </c>
      <c r="O78" s="5"/>
    </row>
    <row r="79" spans="1:15" x14ac:dyDescent="0.2">
      <c r="O79" s="9"/>
    </row>
    <row r="80" spans="1:15" x14ac:dyDescent="0.2">
      <c r="O80" s="9"/>
    </row>
    <row r="81" spans="1:15" x14ac:dyDescent="0.2">
      <c r="A81" s="5" t="s">
        <v>51</v>
      </c>
      <c r="N81" s="5"/>
      <c r="O81" s="9"/>
    </row>
    <row r="82" spans="1:15" hidden="1" x14ac:dyDescent="0.2">
      <c r="N82" s="17"/>
      <c r="O82" s="9"/>
    </row>
    <row r="83" spans="1:15" hidden="1" x14ac:dyDescent="0.2">
      <c r="N83" s="17"/>
      <c r="O83" s="9"/>
    </row>
    <row r="84" spans="1:15" x14ac:dyDescent="0.2">
      <c r="A84" s="9" t="s">
        <v>1716</v>
      </c>
      <c r="B84">
        <f>MAX((Results!B84)/('Result Targets'!B15),0) * 100</f>
        <v>25</v>
      </c>
      <c r="C84">
        <f>MAX((Results!C84)/('Result Targets'!C15),0) * 100</f>
        <v>25</v>
      </c>
      <c r="D84">
        <f>MAX((Results!D84)/('Result Targets'!D15),0) * 100</f>
        <v>25</v>
      </c>
      <c r="E84">
        <f>MAX((Results!E84)/('Result Targets'!E15),0) * 100</f>
        <v>25</v>
      </c>
      <c r="F84">
        <f>MAX((Results!F84)/('Result Targets'!F15),0) * 100</f>
        <v>25</v>
      </c>
      <c r="G84">
        <f>MAX((Results!G84)/('Result Targets'!G15),0) * 100</f>
        <v>25</v>
      </c>
      <c r="H84">
        <f>MAX((Results!H84)/('Result Targets'!H15),0) * 100</f>
        <v>25</v>
      </c>
      <c r="I84">
        <f>MAX((Results!I84)/('Result Targets'!I15),0) * 100</f>
        <v>25</v>
      </c>
      <c r="J84">
        <f>MAX((Results!J84)/('Result Targets'!J15),0) * 100</f>
        <v>25</v>
      </c>
      <c r="N84" s="9"/>
      <c r="O84" s="5"/>
    </row>
    <row r="85" spans="1:15" hidden="1" x14ac:dyDescent="0.2">
      <c r="N85" s="9"/>
    </row>
    <row r="86" spans="1:15" hidden="1" x14ac:dyDescent="0.2">
      <c r="N86" s="9"/>
    </row>
    <row r="87" spans="1:15" x14ac:dyDescent="0.2">
      <c r="A87" s="9" t="s">
        <v>1717</v>
      </c>
      <c r="B87">
        <f>MAX((Results!B87)/('Result Targets'!B18),0) * 100</f>
        <v>37.5</v>
      </c>
      <c r="C87">
        <f>MAX((Results!C87)/('Result Targets'!C18),0) * 100</f>
        <v>37.5</v>
      </c>
      <c r="D87">
        <f>MAX((Results!D87)/('Result Targets'!D18),0) * 100</f>
        <v>37.5</v>
      </c>
      <c r="E87">
        <f>MAX((Results!E87)/('Result Targets'!E18),0) * 100</f>
        <v>37.5</v>
      </c>
      <c r="F87">
        <f>MAX((Results!F87)/('Result Targets'!F18),0) * 100</f>
        <v>37.5</v>
      </c>
      <c r="G87">
        <f>MAX((Results!G87)/('Result Targets'!G18),0) * 100</f>
        <v>37.5</v>
      </c>
      <c r="H87">
        <f>MAX((Results!H87)/('Result Targets'!H18),0) * 100</f>
        <v>37.5</v>
      </c>
      <c r="I87">
        <f>MAX((Results!I87)/('Result Targets'!I18),0) * 100</f>
        <v>37.5</v>
      </c>
      <c r="J87">
        <f>MAX((Results!J87)/('Result Targets'!J18),0) * 100</f>
        <v>37.5</v>
      </c>
      <c r="N87" s="9"/>
    </row>
    <row r="88" spans="1:15" x14ac:dyDescent="0.2">
      <c r="A88" s="9" t="s">
        <v>1718</v>
      </c>
      <c r="B88">
        <f>MAX((Results!B88)/('Result Targets'!B19),0) * 100</f>
        <v>41.666666666666671</v>
      </c>
      <c r="C88">
        <f>MAX((Results!C88)/('Result Targets'!C19),0) * 100</f>
        <v>41.666666666666671</v>
      </c>
      <c r="D88">
        <f>MAX((Results!D88)/('Result Targets'!D19),0) * 100</f>
        <v>41.666666666666671</v>
      </c>
      <c r="E88">
        <f>MAX((Results!E88)/('Result Targets'!E19),0) * 100</f>
        <v>41.666666666666671</v>
      </c>
      <c r="F88">
        <f>MAX((Results!F88)/('Result Targets'!F19),0) * 100</f>
        <v>41.666666666666671</v>
      </c>
      <c r="G88">
        <f>MAX((Results!G88)/('Result Targets'!G19),0) * 100</f>
        <v>41.666666666666671</v>
      </c>
      <c r="H88">
        <f>MAX((Results!H88)/('Result Targets'!H19),0) * 100</f>
        <v>41.666666666666671</v>
      </c>
      <c r="I88">
        <f>MAX((Results!I88)/('Result Targets'!I19),0) * 100</f>
        <v>41.666666666666671</v>
      </c>
      <c r="J88">
        <f>MAX((Results!J88)/('Result Targets'!J19),0) * 100</f>
        <v>41.666666666666671</v>
      </c>
      <c r="N88" s="9"/>
    </row>
    <row r="89" spans="1:15" hidden="1" x14ac:dyDescent="0.2"/>
    <row r="90" spans="1:15" x14ac:dyDescent="0.2">
      <c r="A90" t="s">
        <v>343</v>
      </c>
      <c r="B90">
        <f>AVERAGE(MIN(B84,100),MIN(B87,100),MIN(B88,100))</f>
        <v>34.722222222222221</v>
      </c>
      <c r="C90">
        <f t="shared" ref="C90:J90" si="14">AVERAGE(MIN(C84,100),MIN(C87,100),MIN(C88,100))</f>
        <v>34.722222222222221</v>
      </c>
      <c r="D90">
        <f t="shared" si="14"/>
        <v>34.722222222222221</v>
      </c>
      <c r="E90">
        <f t="shared" si="14"/>
        <v>34.722222222222221</v>
      </c>
      <c r="F90">
        <f t="shared" si="14"/>
        <v>34.722222222222221</v>
      </c>
      <c r="G90">
        <f t="shared" si="14"/>
        <v>34.722222222222221</v>
      </c>
      <c r="H90">
        <f t="shared" si="14"/>
        <v>34.722222222222221</v>
      </c>
      <c r="I90">
        <f t="shared" si="14"/>
        <v>34.722222222222221</v>
      </c>
      <c r="J90">
        <f t="shared" si="14"/>
        <v>34.722222222222221</v>
      </c>
      <c r="O90" s="5"/>
    </row>
    <row r="92" spans="1:15" x14ac:dyDescent="0.2">
      <c r="A92" s="5" t="s">
        <v>52</v>
      </c>
      <c r="N92" s="5"/>
    </row>
    <row r="93" spans="1:15" x14ac:dyDescent="0.2">
      <c r="A93" t="s">
        <v>1719</v>
      </c>
      <c r="B93">
        <f>MAX((Results!B93)/('Result Targets'!B23),0)*100</f>
        <v>53.846153846153847</v>
      </c>
      <c r="C93">
        <f>MAX((Results!C93)/('Result Targets'!C23),0)*100</f>
        <v>53.846153846153847</v>
      </c>
      <c r="D93">
        <f>MAX((Results!D93)/('Result Targets'!D23),0)*100</f>
        <v>53.846153846153847</v>
      </c>
      <c r="E93">
        <f>MAX((Results!E93)/('Result Targets'!E23),0)*100</f>
        <v>53.846153846153847</v>
      </c>
      <c r="F93">
        <f>MAX((Results!F93)/('Result Targets'!F23),0)*100</f>
        <v>53.846153846153847</v>
      </c>
      <c r="G93">
        <f>MAX((Results!G93)/('Result Targets'!G23),0)*100</f>
        <v>53.846153846153847</v>
      </c>
      <c r="H93">
        <f>MAX((Results!H93)/('Result Targets'!H23),0)*100</f>
        <v>53.846153846153847</v>
      </c>
      <c r="I93">
        <f>MAX((Results!I93)/('Result Targets'!I23),0)*100</f>
        <v>53.846153846153847</v>
      </c>
      <c r="J93">
        <f>MAX((Results!J93)/('Result Targets'!J23),0)*100</f>
        <v>53.846153846153847</v>
      </c>
    </row>
    <row r="94" spans="1:15" x14ac:dyDescent="0.2">
      <c r="A94" t="s">
        <v>1720</v>
      </c>
      <c r="B94">
        <f>MAX((Results!B94)/('Result Targets'!B24),0)*100</f>
        <v>53.333333333333336</v>
      </c>
      <c r="C94">
        <f>MAX((Results!C94)/('Result Targets'!C24),0)*100</f>
        <v>53.333333333333336</v>
      </c>
      <c r="D94">
        <f>MAX((Results!D94)/('Result Targets'!D24),0)*100</f>
        <v>52.266666666666673</v>
      </c>
      <c r="E94">
        <f>MAX((Results!E94)/('Result Targets'!E24),0)*100</f>
        <v>52.266666666666673</v>
      </c>
      <c r="F94">
        <f>MAX((Results!F94)/('Result Targets'!F24),0)*100</f>
        <v>52.266666666666673</v>
      </c>
      <c r="G94">
        <f>MAX((Results!G94)/('Result Targets'!G24),0)*100</f>
        <v>52.266666666666673</v>
      </c>
      <c r="H94">
        <f>MAX((Results!H94)/('Result Targets'!H24),0)*100</f>
        <v>52.266666666666673</v>
      </c>
      <c r="I94">
        <f>MAX((Results!I94)/('Result Targets'!I24),0)*100</f>
        <v>52.266666666666673</v>
      </c>
      <c r="J94">
        <f>MAX((Results!J94)/('Result Targets'!J24),0)*100</f>
        <v>52.266666666666673</v>
      </c>
    </row>
    <row r="95" spans="1:15" hidden="1" x14ac:dyDescent="0.2"/>
    <row r="96" spans="1:15" hidden="1" x14ac:dyDescent="0.2"/>
    <row r="97" spans="1:14" x14ac:dyDescent="0.2">
      <c r="A97" t="s">
        <v>1721</v>
      </c>
      <c r="B97">
        <f>MAX((Results!B97)/('Result Targets'!B27),0)*100</f>
        <v>0</v>
      </c>
      <c r="C97">
        <f>MAX((Results!C97)/('Result Targets'!C27),0)*100</f>
        <v>0</v>
      </c>
      <c r="D97">
        <f>MAX((Results!D97)/('Result Targets'!D27),0)*100</f>
        <v>0</v>
      </c>
      <c r="E97">
        <f>MAX((Results!E97)/('Result Targets'!E27),0)*100</f>
        <v>0</v>
      </c>
      <c r="F97">
        <f>MAX((Results!F97)/('Result Targets'!F27),0)*100</f>
        <v>0</v>
      </c>
      <c r="G97">
        <f>MAX((Results!G97)/('Result Targets'!G27),0)*100</f>
        <v>0</v>
      </c>
      <c r="H97">
        <f>MAX((Results!H97)/('Result Targets'!H27),0)*100</f>
        <v>0</v>
      </c>
      <c r="I97">
        <f>MAX((Results!I97)/('Result Targets'!I27),0)*100</f>
        <v>0</v>
      </c>
      <c r="J97">
        <f>MAX((Results!J97)/('Result Targets'!J27),0)*100</f>
        <v>0</v>
      </c>
    </row>
    <row r="98" spans="1:14" x14ac:dyDescent="0.2">
      <c r="A98" t="s">
        <v>344</v>
      </c>
      <c r="B98">
        <f>AVERAGE(MIN(B93,100),MIN(B94,100),MIN(B97,100))</f>
        <v>35.726495726495727</v>
      </c>
      <c r="C98">
        <f t="shared" ref="C98:J98" si="15">AVERAGE(MIN(C93,100),MIN(C94,100),MIN(C97,100))</f>
        <v>35.726495726495727</v>
      </c>
      <c r="D98">
        <f t="shared" si="15"/>
        <v>35.370940170940173</v>
      </c>
      <c r="E98">
        <f t="shared" si="15"/>
        <v>35.370940170940173</v>
      </c>
      <c r="F98">
        <f t="shared" si="15"/>
        <v>35.370940170940173</v>
      </c>
      <c r="G98">
        <f t="shared" si="15"/>
        <v>35.370940170940173</v>
      </c>
      <c r="H98">
        <f t="shared" si="15"/>
        <v>35.370940170940173</v>
      </c>
      <c r="I98">
        <f t="shared" si="15"/>
        <v>35.370940170940173</v>
      </c>
      <c r="J98">
        <f t="shared" si="15"/>
        <v>35.370940170940173</v>
      </c>
    </row>
    <row r="101" spans="1:14" x14ac:dyDescent="0.2">
      <c r="A101" s="5" t="s">
        <v>53</v>
      </c>
      <c r="N101" s="5"/>
    </row>
    <row r="102" spans="1:14" x14ac:dyDescent="0.2">
      <c r="A102" t="s">
        <v>1722</v>
      </c>
      <c r="B102">
        <f>MAX((Results!B102)/('Result Targets'!B31),0)*100</f>
        <v>41.666666666666671</v>
      </c>
      <c r="C102">
        <f>MAX((Results!C102)/('Result Targets'!C31),0)*100</f>
        <v>41.666666666666671</v>
      </c>
      <c r="D102">
        <f>MAX((Results!D102)/('Result Targets'!D31),0)*100</f>
        <v>41.666666666666671</v>
      </c>
      <c r="E102">
        <f>MAX((Results!E102)/('Result Targets'!E31),0)*100</f>
        <v>41.666666666666671</v>
      </c>
      <c r="F102">
        <f>MAX((Results!F102)/('Result Targets'!F31),0)*100</f>
        <v>40.333333333333329</v>
      </c>
      <c r="G102">
        <f>MAX((Results!G102)/('Result Targets'!G31),0)*100</f>
        <v>40.333333333333329</v>
      </c>
      <c r="H102">
        <f>MAX((Results!H102)/('Result Targets'!H31),0)*100</f>
        <v>40.333333333333329</v>
      </c>
      <c r="I102">
        <f>MAX((Results!I102)/('Result Targets'!I31),0)*100</f>
        <v>40.333333333333329</v>
      </c>
      <c r="J102">
        <f>MAX((Results!J102)/('Result Targets'!J31),0)*100</f>
        <v>40.333333333333329</v>
      </c>
    </row>
    <row r="103" spans="1:14" x14ac:dyDescent="0.2">
      <c r="A103" t="s">
        <v>1723</v>
      </c>
      <c r="B103">
        <f>MAX((Results!B103)/('Result Targets'!B32),0)*100</f>
        <v>50</v>
      </c>
      <c r="C103">
        <f>MAX((Results!C103)/('Result Targets'!C32),0)*100</f>
        <v>50</v>
      </c>
      <c r="D103">
        <f>MAX((Results!D103)/('Result Targets'!D32),0)*100</f>
        <v>50</v>
      </c>
      <c r="E103">
        <f>MAX((Results!E103)/('Result Targets'!E32),0)*100</f>
        <v>49.333333333333336</v>
      </c>
      <c r="F103">
        <f>MAX((Results!F103)/('Result Targets'!F32),0)*100</f>
        <v>49.333333333333336</v>
      </c>
      <c r="G103">
        <f>MAX((Results!G103)/('Result Targets'!G32),0)*100</f>
        <v>49.333333333333336</v>
      </c>
      <c r="H103">
        <f>MAX((Results!H103)/('Result Targets'!H32),0)*100</f>
        <v>50.166666666666671</v>
      </c>
      <c r="I103">
        <f>MAX((Results!I103)/('Result Targets'!I32),0)*100</f>
        <v>50.166666666666671</v>
      </c>
      <c r="J103">
        <f>MAX((Results!J103)/('Result Targets'!J32),0)*100</f>
        <v>50.166666666666671</v>
      </c>
    </row>
    <row r="104" spans="1:14" x14ac:dyDescent="0.2">
      <c r="A104" t="s">
        <v>1725</v>
      </c>
      <c r="B104">
        <f>MAX((Results!B104)/('Result Targets'!B33),0)*100</f>
        <v>30.76923076923077</v>
      </c>
      <c r="C104">
        <f>MAX((Results!C104)/('Result Targets'!C33),0)*100</f>
        <v>30.76923076923077</v>
      </c>
      <c r="D104">
        <f>MAX((Results!D104)/('Result Targets'!D33),0)*100</f>
        <v>30.76923076923077</v>
      </c>
      <c r="E104">
        <f>MAX((Results!E104)/('Result Targets'!E33),0)*100</f>
        <v>30.76923076923077</v>
      </c>
      <c r="F104">
        <f>MAX((Results!F104)/('Result Targets'!F33),0)*100</f>
        <v>30.76923076923077</v>
      </c>
      <c r="G104">
        <f>MAX((Results!G104)/('Result Targets'!G33),0)*100</f>
        <v>30.76923076923077</v>
      </c>
      <c r="H104">
        <f>MAX((Results!H104)/('Result Targets'!H33),0)*100</f>
        <v>30.76923076923077</v>
      </c>
      <c r="I104">
        <f>MAX((Results!I104)/('Result Targets'!I33),0)*100</f>
        <v>30.76923076923077</v>
      </c>
      <c r="J104">
        <f>MAX((Results!J104)/('Result Targets'!J33),0)*100</f>
        <v>30.76923076923077</v>
      </c>
    </row>
    <row r="105" spans="1:14" x14ac:dyDescent="0.2">
      <c r="A105" t="s">
        <v>1296</v>
      </c>
      <c r="B105">
        <f>AVERAGE(MIN(B102,100),MIN(B103,100),MIN(B104,100))</f>
        <v>40.811965811965813</v>
      </c>
      <c r="C105">
        <f t="shared" ref="C105:J105" si="16">AVERAGE(MIN(C102,100),MIN(C103,100),MIN(C104,100))</f>
        <v>40.811965811965813</v>
      </c>
      <c r="D105">
        <f t="shared" si="16"/>
        <v>40.811965811965813</v>
      </c>
      <c r="E105">
        <f t="shared" si="16"/>
        <v>40.589743589743591</v>
      </c>
      <c r="F105">
        <f t="shared" si="16"/>
        <v>40.145299145299141</v>
      </c>
      <c r="G105">
        <f t="shared" si="16"/>
        <v>40.145299145299141</v>
      </c>
      <c r="H105">
        <f t="shared" si="16"/>
        <v>40.423076923076927</v>
      </c>
      <c r="I105">
        <f t="shared" si="16"/>
        <v>40.423076923076927</v>
      </c>
      <c r="J105">
        <f t="shared" si="16"/>
        <v>40.423076923076927</v>
      </c>
    </row>
    <row r="108" spans="1:14" x14ac:dyDescent="0.2">
      <c r="A108" s="14" t="s">
        <v>64</v>
      </c>
    </row>
    <row r="109" spans="1:14" x14ac:dyDescent="0.2">
      <c r="A109" t="s">
        <v>65</v>
      </c>
      <c r="B109">
        <f t="shared" ref="B109:J109" si="17">EcEnabled*COUNTIF(B73:B77,"&gt;=100")+EnvEnabled*COUNTIF(B84:B88,"&gt;=100")+DefEnabled*COUNTIF(B93:B97,"&gt;=100")+EduEnabled*COUNTIF(B102:B104,"&gt;=100")</f>
        <v>0</v>
      </c>
      <c r="C109">
        <f t="shared" si="17"/>
        <v>0</v>
      </c>
      <c r="D109">
        <f t="shared" si="17"/>
        <v>0</v>
      </c>
      <c r="E109">
        <f t="shared" si="17"/>
        <v>0</v>
      </c>
      <c r="F109">
        <f t="shared" si="17"/>
        <v>0</v>
      </c>
      <c r="G109">
        <f t="shared" si="17"/>
        <v>0</v>
      </c>
      <c r="H109">
        <f t="shared" si="17"/>
        <v>0</v>
      </c>
      <c r="I109">
        <f t="shared" si="17"/>
        <v>0</v>
      </c>
      <c r="J109">
        <f t="shared" si="17"/>
        <v>0</v>
      </c>
    </row>
    <row r="110" spans="1:14" x14ac:dyDescent="0.2">
      <c r="A110" t="s">
        <v>66</v>
      </c>
      <c r="B110">
        <f t="shared" ref="B110:J110" si="18">EcEnabled*COUNTIF(B73:B77,"&gt;=80")+EnvEnabled*COUNTIF(B84:B88,"&gt;=80")+DefEnabled*COUNTIF(B93:B97,"&gt;=80")+EduEnabled*COUNTIF(B102:B104,"&gt;=80")-B109</f>
        <v>0</v>
      </c>
      <c r="C110">
        <f t="shared" si="18"/>
        <v>0</v>
      </c>
      <c r="D110">
        <f t="shared" si="18"/>
        <v>0</v>
      </c>
      <c r="E110">
        <f t="shared" si="18"/>
        <v>0</v>
      </c>
      <c r="F110">
        <f t="shared" si="18"/>
        <v>0</v>
      </c>
      <c r="G110">
        <f t="shared" si="18"/>
        <v>0</v>
      </c>
      <c r="H110">
        <f t="shared" si="18"/>
        <v>0</v>
      </c>
      <c r="I110">
        <f t="shared" si="18"/>
        <v>0</v>
      </c>
      <c r="J110">
        <f t="shared" si="18"/>
        <v>0</v>
      </c>
    </row>
    <row r="111" spans="1:14" x14ac:dyDescent="0.2">
      <c r="A111" t="s">
        <v>67</v>
      </c>
      <c r="B111">
        <f t="shared" ref="B111:J111" si="19">EcEnabled*COUNTIF(B73:B77,"&lt;80")+EnvEnabled*COUNTIF(B84:B88,"&lt;80")+DefEnabled*COUNTIF(B93:B97,"&lt;80")+EduEnabled*COUNTIF(B102:B104,"&lt;80")</f>
        <v>12</v>
      </c>
      <c r="C111">
        <f t="shared" si="19"/>
        <v>12</v>
      </c>
      <c r="D111">
        <f t="shared" si="19"/>
        <v>12</v>
      </c>
      <c r="E111">
        <f t="shared" si="19"/>
        <v>12</v>
      </c>
      <c r="F111">
        <f t="shared" si="19"/>
        <v>12</v>
      </c>
      <c r="G111">
        <f t="shared" si="19"/>
        <v>12</v>
      </c>
      <c r="H111">
        <f t="shared" si="19"/>
        <v>12</v>
      </c>
      <c r="I111">
        <f t="shared" si="19"/>
        <v>12</v>
      </c>
      <c r="J111">
        <f t="shared" si="19"/>
        <v>12</v>
      </c>
    </row>
    <row r="112" spans="1:14" x14ac:dyDescent="0.2">
      <c r="A112" t="s">
        <v>1724</v>
      </c>
      <c r="B112">
        <f t="shared" ref="B112:J112" si="20">(B78*EcEnabled + B90*EnvEnabled + B98*DefEnabled + B105*EduEnabled) / MAX(EcEnabled+EnvEnabled+DefEnabled+EduEnabled, 1)</f>
        <v>34.065170940170944</v>
      </c>
      <c r="C112">
        <f t="shared" si="20"/>
        <v>33.57628205128205</v>
      </c>
      <c r="D112">
        <f t="shared" si="20"/>
        <v>33.487393162393161</v>
      </c>
      <c r="E112">
        <f t="shared" si="20"/>
        <v>33.298504273504278</v>
      </c>
      <c r="F112">
        <f t="shared" si="20"/>
        <v>33.187393162393164</v>
      </c>
      <c r="G112">
        <f t="shared" si="20"/>
        <v>32.920726495726491</v>
      </c>
      <c r="H112">
        <f t="shared" si="20"/>
        <v>33.26794871794872</v>
      </c>
      <c r="I112">
        <f t="shared" si="20"/>
        <v>33.26794871794872</v>
      </c>
      <c r="J112">
        <f t="shared" si="20"/>
        <v>33.26794871794872</v>
      </c>
      <c r="L112" t="s">
        <v>1302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0D5C-AEA0-434D-AAD1-8E3DDACA8DF7}">
  <dimension ref="A1:W104"/>
  <sheetViews>
    <sheetView tabSelected="1" workbookViewId="0">
      <pane xSplit="1" ySplit="62" topLeftCell="N63" activePane="bottomRight" state="frozen"/>
      <selection pane="topRight" activeCell="B1" sqref="B1"/>
      <selection pane="bottomLeft" activeCell="A63" sqref="A63"/>
      <selection pane="bottomRight" activeCell="V75" sqref="V75"/>
    </sheetView>
  </sheetViews>
  <sheetFormatPr baseColWidth="10" defaultColWidth="11.5" defaultRowHeight="15" x14ac:dyDescent="0.2"/>
  <cols>
    <col min="1" max="1" width="32.5" customWidth="1"/>
    <col min="2" max="8" width="15.1640625" customWidth="1"/>
    <col min="11" max="13" width="13.1640625" bestFit="1" customWidth="1"/>
    <col min="14" max="17" width="12.83203125" customWidth="1"/>
  </cols>
  <sheetData>
    <row r="1" spans="2:23" x14ac:dyDescent="0.2">
      <c r="B1" s="15" t="s">
        <v>1445</v>
      </c>
      <c r="K1" s="15" t="s">
        <v>1444</v>
      </c>
      <c r="S1" s="15" t="s">
        <v>1438</v>
      </c>
    </row>
    <row r="2" spans="2:23" x14ac:dyDescent="0.2">
      <c r="B2" t="s">
        <v>1305</v>
      </c>
      <c r="C2" t="s">
        <v>1306</v>
      </c>
      <c r="D2" t="s">
        <v>1304</v>
      </c>
      <c r="E2" t="s">
        <v>1303</v>
      </c>
      <c r="F2" t="s">
        <v>1307</v>
      </c>
      <c r="G2" t="s">
        <v>1309</v>
      </c>
      <c r="H2" t="s">
        <v>1308</v>
      </c>
      <c r="K2" t="s">
        <v>1305</v>
      </c>
      <c r="L2" t="s">
        <v>1306</v>
      </c>
      <c r="M2" t="s">
        <v>1304</v>
      </c>
      <c r="N2" t="s">
        <v>1303</v>
      </c>
      <c r="O2" t="s">
        <v>1307</v>
      </c>
      <c r="P2" t="s">
        <v>1309</v>
      </c>
      <c r="Q2" t="s">
        <v>1308</v>
      </c>
      <c r="S2" s="15" t="s">
        <v>1439</v>
      </c>
      <c r="T2">
        <v>0</v>
      </c>
      <c r="U2">
        <v>1</v>
      </c>
      <c r="V2">
        <v>2</v>
      </c>
      <c r="W2">
        <v>3</v>
      </c>
    </row>
    <row r="3" spans="2:23" hidden="1" x14ac:dyDescent="0.2"/>
    <row r="4" spans="2:23" hidden="1" x14ac:dyDescent="0.2"/>
    <row r="5" spans="2:23" hidden="1" x14ac:dyDescent="0.2"/>
    <row r="6" spans="2:23" hidden="1" x14ac:dyDescent="0.2"/>
    <row r="7" spans="2:23" hidden="1" x14ac:dyDescent="0.2"/>
    <row r="8" spans="2:23" hidden="1" x14ac:dyDescent="0.2"/>
    <row r="9" spans="2:23" hidden="1" x14ac:dyDescent="0.2"/>
    <row r="10" spans="2:23" hidden="1" x14ac:dyDescent="0.2"/>
    <row r="11" spans="2:23" hidden="1" x14ac:dyDescent="0.2"/>
    <row r="12" spans="2:23" hidden="1" x14ac:dyDescent="0.2"/>
    <row r="13" spans="2:23" hidden="1" x14ac:dyDescent="0.2"/>
    <row r="14" spans="2:23" hidden="1" x14ac:dyDescent="0.2"/>
    <row r="15" spans="2:23" hidden="1" x14ac:dyDescent="0.2"/>
    <row r="16" spans="2:23" hidden="1" x14ac:dyDescent="0.2"/>
    <row r="17" spans="8:17" hidden="1" x14ac:dyDescent="0.2"/>
    <row r="18" spans="8:17" hidden="1" x14ac:dyDescent="0.2"/>
    <row r="19" spans="8:17" hidden="1" x14ac:dyDescent="0.2"/>
    <row r="20" spans="8:17" hidden="1" x14ac:dyDescent="0.2"/>
    <row r="21" spans="8:17" hidden="1" x14ac:dyDescent="0.2"/>
    <row r="22" spans="8:17" hidden="1" x14ac:dyDescent="0.2"/>
    <row r="23" spans="8:17" hidden="1" x14ac:dyDescent="0.2"/>
    <row r="24" spans="8:17" hidden="1" x14ac:dyDescent="0.2"/>
    <row r="25" spans="8:17" hidden="1" x14ac:dyDescent="0.2"/>
    <row r="26" spans="8:17" hidden="1" x14ac:dyDescent="0.2"/>
    <row r="27" spans="8:17" hidden="1" x14ac:dyDescent="0.2">
      <c r="H27" s="16"/>
      <c r="K27" s="16"/>
      <c r="Q27" s="16"/>
    </row>
    <row r="28" spans="8:17" hidden="1" x14ac:dyDescent="0.2">
      <c r="H28" s="16"/>
      <c r="K28" s="16"/>
      <c r="Q28" s="16"/>
    </row>
    <row r="29" spans="8:17" hidden="1" x14ac:dyDescent="0.2">
      <c r="H29" s="16"/>
      <c r="K29" s="16"/>
      <c r="Q29" s="16"/>
    </row>
    <row r="30" spans="8:17" hidden="1" x14ac:dyDescent="0.2">
      <c r="H30" s="16"/>
      <c r="K30" s="16"/>
      <c r="Q30" s="16"/>
    </row>
    <row r="31" spans="8:17" hidden="1" x14ac:dyDescent="0.2">
      <c r="H31" s="16"/>
      <c r="K31" s="16"/>
      <c r="Q31" s="16"/>
    </row>
    <row r="32" spans="8:17" hidden="1" x14ac:dyDescent="0.2">
      <c r="H32" s="16"/>
      <c r="K32" s="16"/>
      <c r="Q32" s="16"/>
    </row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23" hidden="1" x14ac:dyDescent="0.2"/>
    <row r="50" spans="1:23" hidden="1" x14ac:dyDescent="0.2"/>
    <row r="51" spans="1:23" hidden="1" x14ac:dyDescent="0.2"/>
    <row r="52" spans="1:23" hidden="1" x14ac:dyDescent="0.2"/>
    <row r="53" spans="1:23" hidden="1" x14ac:dyDescent="0.2"/>
    <row r="54" spans="1:23" hidden="1" x14ac:dyDescent="0.2"/>
    <row r="55" spans="1:23" hidden="1" x14ac:dyDescent="0.2"/>
    <row r="56" spans="1:23" hidden="1" x14ac:dyDescent="0.2"/>
    <row r="57" spans="1:23" hidden="1" x14ac:dyDescent="0.2"/>
    <row r="58" spans="1:23" hidden="1" x14ac:dyDescent="0.2"/>
    <row r="59" spans="1:23" hidden="1" x14ac:dyDescent="0.2"/>
    <row r="60" spans="1:23" hidden="1" x14ac:dyDescent="0.2"/>
    <row r="61" spans="1:23" hidden="1" x14ac:dyDescent="0.2"/>
    <row r="62" spans="1:23" hidden="1" x14ac:dyDescent="0.2"/>
    <row r="63" spans="1:23" x14ac:dyDescent="0.2">
      <c r="A63" s="5" t="s">
        <v>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S63" s="15" t="s">
        <v>1440</v>
      </c>
      <c r="T63">
        <v>0</v>
      </c>
      <c r="U63" s="8">
        <v>10000000</v>
      </c>
      <c r="V63" s="8">
        <v>20000000</v>
      </c>
      <c r="W63" s="8">
        <v>40000000</v>
      </c>
    </row>
    <row r="64" spans="1:23" x14ac:dyDescent="0.2">
      <c r="A64" t="s">
        <v>1291</v>
      </c>
      <c r="B64">
        <f t="shared" ref="B64:B69" si="0">H64*-0.8</f>
        <v>-2.4000000000000004</v>
      </c>
      <c r="C64">
        <f t="shared" ref="C64:C69" si="1">G64*-0.8</f>
        <v>-1.6</v>
      </c>
      <c r="D64">
        <f t="shared" ref="D64:D69" si="2">F64*-0.8</f>
        <v>-0.8</v>
      </c>
      <c r="E64">
        <v>0</v>
      </c>
      <c r="F64">
        <v>1</v>
      </c>
      <c r="G64">
        <v>2</v>
      </c>
      <c r="H64">
        <v>3</v>
      </c>
      <c r="K64">
        <f t="shared" ref="K64:K69" si="3">(Q64*-1)*0.6</f>
        <v>-0.36</v>
      </c>
      <c r="L64">
        <f t="shared" ref="L64:L69" si="4">(P64*-1)*0.6</f>
        <v>-0.26999999999999996</v>
      </c>
      <c r="M64">
        <f t="shared" ref="M64:M69" si="5">(O64*-1)*0.6</f>
        <v>-0.18</v>
      </c>
      <c r="N64">
        <v>0</v>
      </c>
      <c r="O64">
        <v>0.3</v>
      </c>
      <c r="P64">
        <v>0.44999999999999996</v>
      </c>
      <c r="Q64">
        <v>0.6</v>
      </c>
    </row>
    <row r="65" spans="1:17" x14ac:dyDescent="0.2">
      <c r="A65" t="s">
        <v>47</v>
      </c>
      <c r="B65">
        <f t="shared" si="0"/>
        <v>-2.4000000000000004</v>
      </c>
      <c r="C65">
        <f t="shared" si="1"/>
        <v>-1.6</v>
      </c>
      <c r="D65">
        <f t="shared" si="2"/>
        <v>-0.8</v>
      </c>
      <c r="E65">
        <v>0</v>
      </c>
      <c r="F65">
        <v>1</v>
      </c>
      <c r="G65">
        <v>2</v>
      </c>
      <c r="H65">
        <v>3</v>
      </c>
      <c r="K65">
        <f t="shared" si="3"/>
        <v>-0.53999999999999992</v>
      </c>
      <c r="L65">
        <f t="shared" si="4"/>
        <v>-0.36</v>
      </c>
      <c r="M65">
        <f t="shared" si="5"/>
        <v>-0.18</v>
      </c>
      <c r="N65">
        <v>0</v>
      </c>
      <c r="O65">
        <v>0.3</v>
      </c>
      <c r="P65">
        <v>0.6</v>
      </c>
      <c r="Q65">
        <v>0.89999999999999991</v>
      </c>
    </row>
    <row r="66" spans="1:17" x14ac:dyDescent="0.2">
      <c r="A66" t="s">
        <v>1292</v>
      </c>
      <c r="B66">
        <f t="shared" si="0"/>
        <v>-4.8000000000000007</v>
      </c>
      <c r="C66">
        <f t="shared" si="1"/>
        <v>-3.2</v>
      </c>
      <c r="D66">
        <f t="shared" si="2"/>
        <v>-1.6</v>
      </c>
      <c r="E66">
        <v>0</v>
      </c>
      <c r="F66">
        <v>2</v>
      </c>
      <c r="G66">
        <v>4</v>
      </c>
      <c r="H66">
        <v>6</v>
      </c>
      <c r="K66">
        <f t="shared" si="3"/>
        <v>-1.0799999999999998</v>
      </c>
      <c r="L66">
        <f t="shared" si="4"/>
        <v>-0.72</v>
      </c>
      <c r="M66">
        <f t="shared" si="5"/>
        <v>-0.36</v>
      </c>
      <c r="N66">
        <v>0</v>
      </c>
      <c r="O66">
        <v>0.6</v>
      </c>
      <c r="P66">
        <v>1.2</v>
      </c>
      <c r="Q66">
        <v>1.7999999999999998</v>
      </c>
    </row>
    <row r="67" spans="1:17" x14ac:dyDescent="0.2">
      <c r="A67" t="s">
        <v>48</v>
      </c>
      <c r="B67">
        <f t="shared" si="0"/>
        <v>-4.8000000000000007</v>
      </c>
      <c r="C67">
        <f t="shared" si="1"/>
        <v>-3.2</v>
      </c>
      <c r="D67">
        <f t="shared" si="2"/>
        <v>-1.6</v>
      </c>
      <c r="E67">
        <v>0</v>
      </c>
      <c r="F67">
        <v>2</v>
      </c>
      <c r="G67">
        <v>4</v>
      </c>
      <c r="H67">
        <v>6</v>
      </c>
      <c r="K67">
        <f t="shared" si="3"/>
        <v>-1.0799999999999998</v>
      </c>
      <c r="L67">
        <f t="shared" si="4"/>
        <v>-0.72</v>
      </c>
      <c r="M67">
        <f t="shared" si="5"/>
        <v>-0.36</v>
      </c>
      <c r="N67">
        <v>0</v>
      </c>
      <c r="O67">
        <v>0.6</v>
      </c>
      <c r="P67">
        <v>1.2</v>
      </c>
      <c r="Q67">
        <v>1.7999999999999998</v>
      </c>
    </row>
    <row r="68" spans="1:17" x14ac:dyDescent="0.2">
      <c r="A68" t="s">
        <v>49</v>
      </c>
      <c r="B68">
        <f t="shared" si="0"/>
        <v>-4.8000000000000007</v>
      </c>
      <c r="C68">
        <f t="shared" si="1"/>
        <v>-3.2</v>
      </c>
      <c r="D68">
        <f t="shared" si="2"/>
        <v>-1.6</v>
      </c>
      <c r="E68">
        <v>0</v>
      </c>
      <c r="F68">
        <v>2</v>
      </c>
      <c r="G68">
        <v>4</v>
      </c>
      <c r="H68">
        <v>6</v>
      </c>
      <c r="K68">
        <f t="shared" si="3"/>
        <v>-0.72</v>
      </c>
      <c r="L68">
        <f t="shared" si="4"/>
        <v>-0.53999999999999992</v>
      </c>
      <c r="M68">
        <f t="shared" si="5"/>
        <v>-0.36</v>
      </c>
      <c r="N68">
        <v>0</v>
      </c>
      <c r="O68">
        <v>0.6</v>
      </c>
      <c r="P68">
        <v>0.89999999999999991</v>
      </c>
      <c r="Q68">
        <v>1.2</v>
      </c>
    </row>
    <row r="69" spans="1:17" x14ac:dyDescent="0.2">
      <c r="A69" t="s">
        <v>50</v>
      </c>
      <c r="B69">
        <f t="shared" si="0"/>
        <v>-4.8000000000000007</v>
      </c>
      <c r="C69">
        <f t="shared" si="1"/>
        <v>-3.2</v>
      </c>
      <c r="D69">
        <f t="shared" si="2"/>
        <v>-1.6</v>
      </c>
      <c r="E69">
        <v>0</v>
      </c>
      <c r="F69">
        <v>2</v>
      </c>
      <c r="G69">
        <v>4</v>
      </c>
      <c r="H69">
        <v>6</v>
      </c>
      <c r="K69">
        <f t="shared" si="3"/>
        <v>-0.72</v>
      </c>
      <c r="L69">
        <f t="shared" si="4"/>
        <v>-0.53999999999999992</v>
      </c>
      <c r="M69">
        <f t="shared" si="5"/>
        <v>-0.36</v>
      </c>
      <c r="N69">
        <v>0</v>
      </c>
      <c r="O69">
        <v>0.6</v>
      </c>
      <c r="P69">
        <v>0.89999999999999991</v>
      </c>
      <c r="Q69">
        <v>1.2</v>
      </c>
    </row>
    <row r="72" spans="1:17" x14ac:dyDescent="0.2">
      <c r="A72" s="5" t="s">
        <v>44</v>
      </c>
    </row>
    <row r="73" spans="1:17" x14ac:dyDescent="0.2">
      <c r="A73" t="s">
        <v>55</v>
      </c>
      <c r="B73">
        <f>H73*-0.8</f>
        <v>-0.8</v>
      </c>
      <c r="C73">
        <f>G73*-0.8</f>
        <v>-0.60000000000000009</v>
      </c>
      <c r="D73">
        <f>F73*-0.8</f>
        <v>-0.32000000000000006</v>
      </c>
      <c r="E73">
        <v>0</v>
      </c>
      <c r="F73">
        <v>0.4</v>
      </c>
      <c r="G73">
        <v>0.75</v>
      </c>
      <c r="H73">
        <v>1</v>
      </c>
      <c r="K73">
        <f>(Q73*-1)*0.6</f>
        <v>-0.216</v>
      </c>
      <c r="L73">
        <f>(P73*-1)*0.6</f>
        <v>-0.14399999999999999</v>
      </c>
      <c r="M73">
        <f>(O73*-1)*0.6</f>
        <v>-7.1999999999999995E-2</v>
      </c>
      <c r="N73">
        <v>0</v>
      </c>
      <c r="O73">
        <v>0.12</v>
      </c>
      <c r="P73">
        <v>0.24</v>
      </c>
      <c r="Q73">
        <v>0.36</v>
      </c>
    </row>
    <row r="74" spans="1:17" x14ac:dyDescent="0.2">
      <c r="A74" s="9" t="s">
        <v>1928</v>
      </c>
      <c r="B74">
        <f>H74*-0.8</f>
        <v>-4800000000</v>
      </c>
      <c r="C74">
        <f>G74*-0.8</f>
        <v>-3200000000</v>
      </c>
      <c r="D74">
        <f>F74*-0.8</f>
        <v>-1600000000</v>
      </c>
      <c r="E74">
        <v>0</v>
      </c>
      <c r="F74" s="8">
        <v>2000000000</v>
      </c>
      <c r="G74" s="8">
        <v>4000000000</v>
      </c>
      <c r="H74" s="8">
        <v>6000000000</v>
      </c>
      <c r="K74">
        <f>(Q74*-1)*0.6</f>
        <v>-2160000000</v>
      </c>
      <c r="L74">
        <f>(P74*-1)*0.6</f>
        <v>-1440000000</v>
      </c>
      <c r="M74">
        <f>(O74*-1)*0.6</f>
        <v>-720000000</v>
      </c>
      <c r="N74">
        <v>0</v>
      </c>
      <c r="O74">
        <v>1200000000</v>
      </c>
      <c r="P74">
        <v>2400000000</v>
      </c>
      <c r="Q74">
        <v>3600000000</v>
      </c>
    </row>
    <row r="75" spans="1:17" x14ac:dyDescent="0.2">
      <c r="A75" t="s">
        <v>1310</v>
      </c>
      <c r="B75">
        <f>H75*-0.8</f>
        <v>-60000</v>
      </c>
      <c r="C75">
        <f>G75*-0.8</f>
        <v>-40000</v>
      </c>
      <c r="D75">
        <f>F75*-0.8</f>
        <v>-20000</v>
      </c>
      <c r="E75">
        <v>0</v>
      </c>
      <c r="F75" s="8">
        <v>25000</v>
      </c>
      <c r="G75" s="8">
        <v>50000</v>
      </c>
      <c r="H75" s="8">
        <v>75000</v>
      </c>
      <c r="J75" s="15"/>
      <c r="K75">
        <f>(Q75*-1)*0.6</f>
        <v>-54000</v>
      </c>
      <c r="L75">
        <f>(P75*-1)*0.6</f>
        <v>-54000</v>
      </c>
      <c r="M75">
        <f>(O75*-1)*0.6</f>
        <v>-18000</v>
      </c>
      <c r="N75">
        <v>0</v>
      </c>
      <c r="O75">
        <v>30000</v>
      </c>
      <c r="P75">
        <v>90000</v>
      </c>
      <c r="Q75">
        <v>90000</v>
      </c>
    </row>
    <row r="76" spans="1:17" x14ac:dyDescent="0.2">
      <c r="A76" t="s">
        <v>1311</v>
      </c>
      <c r="B76">
        <f>H76*-0.8</f>
        <v>-120000</v>
      </c>
      <c r="C76">
        <f>G76*-0.8</f>
        <v>-80000</v>
      </c>
      <c r="D76">
        <f>F76*-0.8</f>
        <v>-40000</v>
      </c>
      <c r="E76">
        <v>0</v>
      </c>
      <c r="F76" s="8">
        <v>50000</v>
      </c>
      <c r="G76" s="8">
        <v>100000</v>
      </c>
      <c r="H76" s="8">
        <v>150000</v>
      </c>
      <c r="J76" s="15"/>
      <c r="K76">
        <f>(Q76*-1)*0.6</f>
        <v>-54000</v>
      </c>
      <c r="L76">
        <f>(P76*-1)*0.6</f>
        <v>-36000</v>
      </c>
      <c r="M76">
        <f>(O76*-1)*0.6</f>
        <v>-18000</v>
      </c>
      <c r="N76">
        <v>0</v>
      </c>
      <c r="O76">
        <v>30000</v>
      </c>
      <c r="P76">
        <v>60000</v>
      </c>
      <c r="Q76">
        <v>90000</v>
      </c>
    </row>
    <row r="77" spans="1:17" x14ac:dyDescent="0.2">
      <c r="A77" t="s">
        <v>54</v>
      </c>
      <c r="B77" s="18" t="s">
        <v>1318</v>
      </c>
      <c r="C77" s="18" t="s">
        <v>1318</v>
      </c>
      <c r="D77" s="18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J77" s="15"/>
      <c r="K77" s="18" t="s">
        <v>1318</v>
      </c>
      <c r="L77" s="18" t="s">
        <v>1318</v>
      </c>
      <c r="M77" s="18" t="s">
        <v>1318</v>
      </c>
      <c r="N77" s="18" t="s">
        <v>1318</v>
      </c>
      <c r="O77" s="18" t="s">
        <v>1318</v>
      </c>
      <c r="P77" s="18" t="s">
        <v>1318</v>
      </c>
      <c r="Q77" s="18" t="s">
        <v>1318</v>
      </c>
    </row>
    <row r="78" spans="1:17" hidden="1" x14ac:dyDescent="0.2">
      <c r="B78">
        <f t="shared" ref="B78:B98" si="6">H78*-1</f>
        <v>-5</v>
      </c>
      <c r="C78">
        <f t="shared" ref="C78:C98" si="7">G78*-1</f>
        <v>-3</v>
      </c>
      <c r="D78">
        <f t="shared" ref="D78:D98" si="8">F78*-1</f>
        <v>-1</v>
      </c>
      <c r="E78">
        <v>0</v>
      </c>
      <c r="F78">
        <v>1</v>
      </c>
      <c r="G78">
        <v>3</v>
      </c>
      <c r="H78">
        <v>5</v>
      </c>
      <c r="K78">
        <f>(Q78*-1)*0.6</f>
        <v>-1.7999999999999998</v>
      </c>
      <c r="L78">
        <f>(P78*-1)*0.6</f>
        <v>-1.0799999999999998</v>
      </c>
      <c r="M78">
        <f>(O78*-1)*0.6</f>
        <v>-0.36</v>
      </c>
      <c r="N78">
        <v>0</v>
      </c>
      <c r="O78">
        <v>0.6</v>
      </c>
      <c r="P78">
        <v>1.7999999999999998</v>
      </c>
      <c r="Q78">
        <v>3</v>
      </c>
    </row>
    <row r="81" spans="1:17" x14ac:dyDescent="0.2">
      <c r="A81" s="5" t="s">
        <v>51</v>
      </c>
    </row>
    <row r="82" spans="1:17" x14ac:dyDescent="0.2">
      <c r="A82" s="17" t="s">
        <v>1312</v>
      </c>
      <c r="B82" s="18" t="s">
        <v>1318</v>
      </c>
      <c r="C82" s="18" t="s">
        <v>1318</v>
      </c>
      <c r="D82" s="18" t="s">
        <v>1318</v>
      </c>
      <c r="E82" s="18" t="s">
        <v>1318</v>
      </c>
      <c r="F82" s="18" t="s">
        <v>1318</v>
      </c>
      <c r="G82" s="18" t="s">
        <v>1318</v>
      </c>
      <c r="H82" s="18" t="s">
        <v>1318</v>
      </c>
      <c r="K82" s="18" t="s">
        <v>1318</v>
      </c>
      <c r="L82" s="18" t="s">
        <v>1318</v>
      </c>
      <c r="M82" s="18" t="s">
        <v>1318</v>
      </c>
      <c r="N82" s="18" t="s">
        <v>1318</v>
      </c>
      <c r="O82" s="18" t="s">
        <v>1318</v>
      </c>
      <c r="P82" s="18" t="s">
        <v>1318</v>
      </c>
      <c r="Q82" s="18" t="s">
        <v>1318</v>
      </c>
    </row>
    <row r="83" spans="1:17" x14ac:dyDescent="0.2">
      <c r="A83" s="17" t="s">
        <v>1313</v>
      </c>
      <c r="B83" s="18" t="s">
        <v>1318</v>
      </c>
      <c r="C83" s="18" t="s">
        <v>1318</v>
      </c>
      <c r="D83" s="18" t="s">
        <v>1318</v>
      </c>
      <c r="E83" s="18" t="s">
        <v>1318</v>
      </c>
      <c r="F83" s="18" t="s">
        <v>1318</v>
      </c>
      <c r="G83" s="18" t="s">
        <v>1318</v>
      </c>
      <c r="H83" s="18" t="s">
        <v>1318</v>
      </c>
      <c r="K83" s="18" t="s">
        <v>1318</v>
      </c>
      <c r="L83" s="18" t="s">
        <v>1318</v>
      </c>
      <c r="M83" s="18" t="s">
        <v>1318</v>
      </c>
      <c r="N83" s="18" t="s">
        <v>1318</v>
      </c>
      <c r="O83" s="18" t="s">
        <v>1318</v>
      </c>
      <c r="P83" s="18" t="s">
        <v>1318</v>
      </c>
      <c r="Q83" s="18" t="s">
        <v>1318</v>
      </c>
    </row>
    <row r="84" spans="1:17" x14ac:dyDescent="0.2">
      <c r="A84" s="17" t="s">
        <v>1709</v>
      </c>
      <c r="B84">
        <f>H84*-0.8</f>
        <v>-3.2</v>
      </c>
      <c r="C84">
        <f>G84*-0.8</f>
        <v>-1.6</v>
      </c>
      <c r="D84">
        <f>F84*-0.8</f>
        <v>-0.8</v>
      </c>
      <c r="E84">
        <v>0</v>
      </c>
      <c r="F84">
        <v>1</v>
      </c>
      <c r="G84">
        <v>2</v>
      </c>
      <c r="H84">
        <v>4</v>
      </c>
      <c r="K84">
        <f>(Q84*-1)*0.6</f>
        <v>-1.44</v>
      </c>
      <c r="L84">
        <f>(P84*-1)*0.6</f>
        <v>-0.72</v>
      </c>
      <c r="M84">
        <f>(O84*-1)*0.6</f>
        <v>-0.36</v>
      </c>
      <c r="N84">
        <v>0</v>
      </c>
      <c r="O84">
        <v>0.6</v>
      </c>
      <c r="P84">
        <v>1.2</v>
      </c>
      <c r="Q84">
        <v>2.4</v>
      </c>
    </row>
    <row r="85" spans="1:17" x14ac:dyDescent="0.2">
      <c r="A85" s="9" t="s">
        <v>1314</v>
      </c>
      <c r="B85">
        <f>H85*-0.8</f>
        <v>-4.8000000000000007</v>
      </c>
      <c r="C85">
        <f>G85*-0.8</f>
        <v>-3.2</v>
      </c>
      <c r="D85">
        <f>F85*-0.8</f>
        <v>-1.6</v>
      </c>
      <c r="E85">
        <v>0</v>
      </c>
      <c r="F85">
        <v>2</v>
      </c>
      <c r="G85">
        <v>4</v>
      </c>
      <c r="H85">
        <v>6</v>
      </c>
      <c r="K85">
        <f>(Q85*-1)*0.6</f>
        <v>-0.53999999999999992</v>
      </c>
      <c r="L85">
        <f>(P85*-1)*0.6</f>
        <v>-0.44999999999999996</v>
      </c>
      <c r="M85">
        <f>(O85*-1)*0.6</f>
        <v>-0.26999999999999996</v>
      </c>
      <c r="N85">
        <v>0</v>
      </c>
      <c r="O85">
        <v>0.44999999999999996</v>
      </c>
      <c r="P85">
        <v>0.75</v>
      </c>
      <c r="Q85">
        <v>0.89999999999999991</v>
      </c>
    </row>
    <row r="86" spans="1:17" x14ac:dyDescent="0.2">
      <c r="A86" s="9" t="s">
        <v>1315</v>
      </c>
      <c r="B86">
        <f>H86*-0.8</f>
        <v>-4.8000000000000007</v>
      </c>
      <c r="C86">
        <f>G86*-0.8</f>
        <v>-3.2</v>
      </c>
      <c r="D86">
        <f>F86*-0.8</f>
        <v>-1.6</v>
      </c>
      <c r="E86">
        <v>0</v>
      </c>
      <c r="F86">
        <v>2</v>
      </c>
      <c r="G86">
        <v>4</v>
      </c>
      <c r="H86">
        <v>6</v>
      </c>
      <c r="K86">
        <f>(Q86*-1)*0.6</f>
        <v>-0.53999999999999992</v>
      </c>
      <c r="L86">
        <f>(P86*-1)*0.6</f>
        <v>-0.44999999999999996</v>
      </c>
      <c r="M86">
        <f>(O86*-1)*0.6</f>
        <v>-0.26999999999999996</v>
      </c>
      <c r="N86">
        <v>0</v>
      </c>
      <c r="O86">
        <v>0.44999999999999996</v>
      </c>
      <c r="P86">
        <v>0.75</v>
      </c>
      <c r="Q86">
        <v>0.89999999999999991</v>
      </c>
    </row>
    <row r="87" spans="1:17" x14ac:dyDescent="0.2">
      <c r="A87" s="9" t="s">
        <v>1293</v>
      </c>
      <c r="B87" s="18" t="s">
        <v>1318</v>
      </c>
      <c r="C87" s="18" t="s">
        <v>1318</v>
      </c>
      <c r="D87" s="18" t="s">
        <v>1318</v>
      </c>
      <c r="E87" s="18" t="s">
        <v>1318</v>
      </c>
      <c r="F87" s="18" t="s">
        <v>1318</v>
      </c>
      <c r="G87" s="18" t="s">
        <v>1318</v>
      </c>
      <c r="H87" s="18" t="s">
        <v>1318</v>
      </c>
      <c r="K87" s="18" t="s">
        <v>1318</v>
      </c>
      <c r="L87" s="18" t="s">
        <v>1318</v>
      </c>
      <c r="M87" s="18" t="s">
        <v>1318</v>
      </c>
      <c r="N87" s="18" t="s">
        <v>1318</v>
      </c>
      <c r="O87" s="18" t="s">
        <v>1318</v>
      </c>
      <c r="P87" s="18" t="s">
        <v>1318</v>
      </c>
      <c r="Q87" s="18" t="s">
        <v>1318</v>
      </c>
    </row>
    <row r="88" spans="1:17" x14ac:dyDescent="0.2">
      <c r="A88" s="9" t="s">
        <v>1290</v>
      </c>
      <c r="B88">
        <f>H88*-0.8</f>
        <v>-3.2</v>
      </c>
      <c r="C88">
        <f>G88*-0.8</f>
        <v>-1.6</v>
      </c>
      <c r="D88">
        <f>F88*-0.8</f>
        <v>-0.8</v>
      </c>
      <c r="E88">
        <v>0</v>
      </c>
      <c r="F88">
        <v>1</v>
      </c>
      <c r="G88">
        <v>2</v>
      </c>
      <c r="H88">
        <v>4</v>
      </c>
      <c r="K88">
        <f>(Q88*-1)*0.6</f>
        <v>-0.432</v>
      </c>
      <c r="L88">
        <f>(P88*-1)*0.6</f>
        <v>-0.28799999999999998</v>
      </c>
      <c r="M88">
        <f>(O88*-1)*0.6</f>
        <v>-0.14399999999999999</v>
      </c>
      <c r="N88">
        <v>0</v>
      </c>
      <c r="O88">
        <v>0.24</v>
      </c>
      <c r="P88">
        <v>0.48</v>
      </c>
      <c r="Q88">
        <v>0.72</v>
      </c>
    </row>
    <row r="89" spans="1:17" hidden="1" x14ac:dyDescent="0.2">
      <c r="B89">
        <f t="shared" si="6"/>
        <v>-5</v>
      </c>
      <c r="C89">
        <f t="shared" si="7"/>
        <v>-3</v>
      </c>
      <c r="D89">
        <f t="shared" si="8"/>
        <v>-1</v>
      </c>
      <c r="E89">
        <v>0</v>
      </c>
      <c r="F89">
        <v>1</v>
      </c>
      <c r="G89">
        <v>3</v>
      </c>
      <c r="H89">
        <v>5</v>
      </c>
      <c r="K89">
        <f>(Q89*-1)*0.6</f>
        <v>-1.7999999999999998</v>
      </c>
      <c r="L89">
        <f>(P89*-1)*0.6</f>
        <v>-1.0799999999999998</v>
      </c>
      <c r="M89">
        <f>(O89*-1)*0.6</f>
        <v>-0.36</v>
      </c>
      <c r="N89">
        <v>0</v>
      </c>
      <c r="O89">
        <v>0.6</v>
      </c>
      <c r="P89">
        <v>1.7999999999999998</v>
      </c>
      <c r="Q89">
        <v>3</v>
      </c>
    </row>
    <row r="92" spans="1:17" x14ac:dyDescent="0.2">
      <c r="A92" s="5" t="s">
        <v>52</v>
      </c>
    </row>
    <row r="93" spans="1:17" x14ac:dyDescent="0.2">
      <c r="A93" t="s">
        <v>56</v>
      </c>
      <c r="B93">
        <f>H93*-0.8</f>
        <v>-2</v>
      </c>
      <c r="C93">
        <f>G93*-0.8</f>
        <v>-1.2000000000000002</v>
      </c>
      <c r="D93">
        <f>F93*-0.8</f>
        <v>-0.8</v>
      </c>
      <c r="E93">
        <v>0</v>
      </c>
      <c r="F93">
        <v>1</v>
      </c>
      <c r="G93">
        <v>1.5</v>
      </c>
      <c r="H93">
        <v>2.5</v>
      </c>
      <c r="K93">
        <f>(Q93*-1)*0.6</f>
        <v>-0.53999999999999992</v>
      </c>
      <c r="L93">
        <f>(P93*-1)*0.6</f>
        <v>-0.36</v>
      </c>
      <c r="M93">
        <f>(O93*-1)*0.6</f>
        <v>-0.18</v>
      </c>
      <c r="N93">
        <v>0</v>
      </c>
      <c r="O93">
        <v>0.3</v>
      </c>
      <c r="P93">
        <v>0.6</v>
      </c>
      <c r="Q93">
        <v>0.89999999999999991</v>
      </c>
    </row>
    <row r="94" spans="1:17" x14ac:dyDescent="0.2">
      <c r="A94" t="s">
        <v>1711</v>
      </c>
      <c r="B94">
        <f>H94*-0.8</f>
        <v>-2</v>
      </c>
      <c r="C94">
        <f>G94*-0.8</f>
        <v>-1.2000000000000002</v>
      </c>
      <c r="D94">
        <f>F94*-0.8</f>
        <v>-0.8</v>
      </c>
      <c r="E94">
        <v>0</v>
      </c>
      <c r="F94">
        <v>1</v>
      </c>
      <c r="G94">
        <v>1.5</v>
      </c>
      <c r="H94">
        <v>2.5</v>
      </c>
      <c r="K94">
        <f>(Q94*-1)*0.6</f>
        <v>-0.53999999999999992</v>
      </c>
      <c r="L94">
        <f>(P94*-1)*0.6</f>
        <v>-0.36</v>
      </c>
      <c r="M94">
        <f>(O94*-1)*0.6</f>
        <v>-0.18</v>
      </c>
      <c r="N94">
        <v>0</v>
      </c>
      <c r="O94">
        <v>0.3</v>
      </c>
      <c r="P94">
        <v>0.6</v>
      </c>
      <c r="Q94">
        <v>0.89999999999999991</v>
      </c>
    </row>
    <row r="95" spans="1:17" x14ac:dyDescent="0.2">
      <c r="A95" t="s">
        <v>1316</v>
      </c>
      <c r="B95">
        <f>H95*-0.8</f>
        <v>-1200000000</v>
      </c>
      <c r="C95">
        <f>G95*-0.8</f>
        <v>-800000000</v>
      </c>
      <c r="D95">
        <f>F95*-0.8</f>
        <v>-320000000</v>
      </c>
      <c r="E95">
        <v>0</v>
      </c>
      <c r="F95" s="8">
        <v>400000000</v>
      </c>
      <c r="G95" s="8">
        <v>1000000000</v>
      </c>
      <c r="H95" s="8">
        <v>1500000000</v>
      </c>
      <c r="K95">
        <f>(Q95*-1)*0.6</f>
        <v>-270000000</v>
      </c>
      <c r="L95">
        <f>(P95*-1)*0.6</f>
        <v>-144000000</v>
      </c>
      <c r="M95">
        <f>(O95*-1)*0.6</f>
        <v>-54000000</v>
      </c>
      <c r="N95">
        <v>0</v>
      </c>
      <c r="O95">
        <v>90000000</v>
      </c>
      <c r="P95">
        <v>240000000</v>
      </c>
      <c r="Q95">
        <v>450000000</v>
      </c>
    </row>
    <row r="96" spans="1:17" x14ac:dyDescent="0.2">
      <c r="A96" t="s">
        <v>1317</v>
      </c>
      <c r="B96">
        <f>H96*-0.8</f>
        <v>-600000000</v>
      </c>
      <c r="C96">
        <f>G96*-0.8</f>
        <v>-320000000</v>
      </c>
      <c r="D96">
        <f>F96*-0.8</f>
        <v>-120000000</v>
      </c>
      <c r="E96">
        <v>0</v>
      </c>
      <c r="F96" s="8">
        <v>150000000</v>
      </c>
      <c r="G96" s="8">
        <v>400000000</v>
      </c>
      <c r="H96" s="8">
        <v>750000000</v>
      </c>
      <c r="K96">
        <f>(Q96*-1)*0.6</f>
        <v>-270000000</v>
      </c>
      <c r="L96">
        <f>(P96*-1)*0.6</f>
        <v>-144000000</v>
      </c>
      <c r="M96">
        <f>(O96*-1)*0.6</f>
        <v>-54000000</v>
      </c>
      <c r="N96">
        <v>0</v>
      </c>
      <c r="O96">
        <v>90000000</v>
      </c>
      <c r="P96">
        <v>240000000</v>
      </c>
      <c r="Q96">
        <v>450000000</v>
      </c>
    </row>
    <row r="97" spans="1:17" x14ac:dyDescent="0.2">
      <c r="A97" t="s">
        <v>1294</v>
      </c>
      <c r="B97" s="18" t="s">
        <v>1318</v>
      </c>
      <c r="C97" s="18" t="s">
        <v>1318</v>
      </c>
      <c r="D97" s="18" t="s">
        <v>1318</v>
      </c>
      <c r="E97" s="18" t="s">
        <v>1318</v>
      </c>
      <c r="F97" s="18" t="s">
        <v>1318</v>
      </c>
      <c r="G97" s="18" t="s">
        <v>1318</v>
      </c>
      <c r="H97" s="18" t="s">
        <v>1318</v>
      </c>
      <c r="K97" s="18" t="s">
        <v>1318</v>
      </c>
      <c r="L97" s="18" t="s">
        <v>1318</v>
      </c>
      <c r="M97" s="18" t="s">
        <v>1318</v>
      </c>
      <c r="N97" s="18" t="s">
        <v>1318</v>
      </c>
      <c r="O97" s="18" t="s">
        <v>1318</v>
      </c>
      <c r="P97" s="18" t="s">
        <v>1318</v>
      </c>
      <c r="Q97" s="18" t="s">
        <v>1318</v>
      </c>
    </row>
    <row r="98" spans="1:17" hidden="1" x14ac:dyDescent="0.2">
      <c r="B98">
        <f t="shared" si="6"/>
        <v>-5</v>
      </c>
      <c r="C98">
        <f t="shared" si="7"/>
        <v>-3</v>
      </c>
      <c r="D98">
        <f t="shared" si="8"/>
        <v>-1</v>
      </c>
      <c r="E98">
        <v>0</v>
      </c>
      <c r="F98">
        <v>1</v>
      </c>
      <c r="G98">
        <v>3</v>
      </c>
      <c r="H98">
        <v>5</v>
      </c>
      <c r="K98">
        <f>(Q98*-1)*0.6</f>
        <v>-1.7999999999999998</v>
      </c>
      <c r="L98">
        <f>(P98*-1)*0.6</f>
        <v>-1.0799999999999998</v>
      </c>
      <c r="M98">
        <f>(O98*-1)*0.6</f>
        <v>-0.36</v>
      </c>
      <c r="N98">
        <v>0</v>
      </c>
      <c r="O98">
        <v>0.6</v>
      </c>
      <c r="P98">
        <v>1.7999999999999998</v>
      </c>
      <c r="Q98">
        <v>3</v>
      </c>
    </row>
    <row r="101" spans="1:17" x14ac:dyDescent="0.2">
      <c r="A101" s="5" t="s">
        <v>53</v>
      </c>
    </row>
    <row r="102" spans="1:17" x14ac:dyDescent="0.2">
      <c r="A102" t="s">
        <v>57</v>
      </c>
      <c r="B102">
        <f>H102*-0.8</f>
        <v>-3.2</v>
      </c>
      <c r="C102">
        <f>G102*-0.8</f>
        <v>-1.6</v>
      </c>
      <c r="D102">
        <f>F102*-0.8</f>
        <v>-0.8</v>
      </c>
      <c r="E102">
        <v>0</v>
      </c>
      <c r="F102">
        <v>1</v>
      </c>
      <c r="G102">
        <v>2</v>
      </c>
      <c r="H102">
        <v>4</v>
      </c>
      <c r="K102">
        <f>(Q102*-1)*0.6</f>
        <v>-1.0799999999999998</v>
      </c>
      <c r="L102">
        <f>(P102*-1)*0.6</f>
        <v>-0.72</v>
      </c>
      <c r="M102">
        <f>(O102*-1)*0.6</f>
        <v>-0.36</v>
      </c>
      <c r="N102">
        <v>0</v>
      </c>
      <c r="O102">
        <v>0.6</v>
      </c>
      <c r="P102">
        <v>1.2</v>
      </c>
      <c r="Q102">
        <v>1.7999999999999998</v>
      </c>
    </row>
    <row r="103" spans="1:17" x14ac:dyDescent="0.2">
      <c r="A103" t="s">
        <v>58</v>
      </c>
      <c r="B103">
        <f>H103*-0.8</f>
        <v>-1.2000000000000002</v>
      </c>
      <c r="C103">
        <f>G103*-0.8</f>
        <v>-0.8</v>
      </c>
      <c r="D103">
        <f>F103*-0.8</f>
        <v>-0.4</v>
      </c>
      <c r="E103">
        <v>0</v>
      </c>
      <c r="F103">
        <v>0.5</v>
      </c>
      <c r="G103">
        <v>1</v>
      </c>
      <c r="H103">
        <v>1.5</v>
      </c>
      <c r="K103">
        <f>(Q103*-1)*0.6</f>
        <v>-0.53999999999999992</v>
      </c>
      <c r="L103">
        <f>(P103*-1)*0.6</f>
        <v>-0.36</v>
      </c>
      <c r="M103">
        <f>(O103*-1)*0.6</f>
        <v>-0.18</v>
      </c>
      <c r="N103">
        <v>0</v>
      </c>
      <c r="O103">
        <v>0.3</v>
      </c>
      <c r="P103">
        <v>0.6</v>
      </c>
      <c r="Q103">
        <v>0.89999999999999991</v>
      </c>
    </row>
    <row r="104" spans="1:17" x14ac:dyDescent="0.2">
      <c r="A104" t="s">
        <v>1295</v>
      </c>
      <c r="B104">
        <f>H104*-0.8</f>
        <v>-4.8000000000000007</v>
      </c>
      <c r="C104">
        <f>G104*-0.8</f>
        <v>-3.2</v>
      </c>
      <c r="D104">
        <f>F104*-0.8</f>
        <v>-1.6</v>
      </c>
      <c r="E104">
        <v>0</v>
      </c>
      <c r="F104">
        <v>2</v>
      </c>
      <c r="G104">
        <v>4</v>
      </c>
      <c r="H104">
        <v>6</v>
      </c>
      <c r="K104">
        <f>(Q104*-1)*0.6</f>
        <v>-1.44</v>
      </c>
      <c r="L104">
        <f>(P104*-1)*0.6</f>
        <v>-0.72</v>
      </c>
      <c r="M104">
        <f>(O104*-1)*0.6</f>
        <v>-0.36</v>
      </c>
      <c r="N104">
        <v>0</v>
      </c>
      <c r="O104">
        <v>0.6</v>
      </c>
      <c r="P104">
        <v>1.2</v>
      </c>
      <c r="Q104">
        <v>2.4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6169-B5DD-FD40-91AD-E85D60B71EF6}">
  <dimension ref="A1:K119"/>
  <sheetViews>
    <sheetView workbookViewId="0">
      <selection activeCell="M92" sqref="M92"/>
    </sheetView>
  </sheetViews>
  <sheetFormatPr baseColWidth="10" defaultRowHeight="15" x14ac:dyDescent="0.2"/>
  <cols>
    <col min="1" max="1" width="27.33203125" customWidth="1"/>
    <col min="2" max="11" width="13.83203125"/>
  </cols>
  <sheetData>
    <row r="1" spans="1:11" x14ac:dyDescent="0.2">
      <c r="A1" s="9"/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s="9"/>
      <c r="J1" s="34" t="s">
        <v>1956</v>
      </c>
      <c r="K1" s="6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6" t="s">
        <v>1320</v>
      </c>
      <c r="K2" s="6" t="s">
        <v>1319</v>
      </c>
    </row>
    <row r="3" spans="1:11" x14ac:dyDescent="0.2">
      <c r="A3" s="34" t="s">
        <v>1955</v>
      </c>
    </row>
    <row r="4" spans="1:11" x14ac:dyDescent="0.2">
      <c r="A4" t="s">
        <v>1957</v>
      </c>
      <c r="B4" s="12">
        <f>'Economy Ministry'!AQ6*EcEnabled+'Environment Ministry'!AQ6*EnvEnabled+'Defence Ministry'!AQ6*DefEnabled+'Education Ministry'!AQ6*EduEnabled</f>
        <v>0</v>
      </c>
      <c r="C4" s="12">
        <f>B4+'Economy Ministry'!AR6*EcEnabled+'Environment Ministry'!AR6*EnvEnabled+'Defence Ministry'!AR6*DefEnabled+'Education Ministry'!AR6*EduEnabled</f>
        <v>0</v>
      </c>
      <c r="D4" s="12">
        <f>C4+'Economy Ministry'!AS6*EcEnabled+'Environment Ministry'!AS6*EnvEnabled+'Defence Ministry'!AS6*DefEnabled+'Education Ministry'!AS6*EduEnabled</f>
        <v>0</v>
      </c>
      <c r="E4" s="12">
        <f>D4+'Economy Ministry'!AT6*EcEnabled+'Environment Ministry'!AT6*EnvEnabled+'Defence Ministry'!AT6*DefEnabled+'Education Ministry'!AT6*EduEnabled</f>
        <v>0</v>
      </c>
      <c r="F4" s="12">
        <f>E4+'Economy Ministry'!AU6*EcEnabled+'Environment Ministry'!AU6*EnvEnabled+'Defence Ministry'!AU6*DefEnabled+'Education Ministry'!AU6*EduEnabled</f>
        <v>0</v>
      </c>
      <c r="G4" s="12">
        <f>F4+'Economy Ministry'!AV6*EcEnabled+'Environment Ministry'!AV6*EnvEnabled+'Defence Ministry'!AV6*DefEnabled+'Education Ministry'!AV6*EduEnabled</f>
        <v>0</v>
      </c>
      <c r="H4" s="12">
        <f>G4+'Economy Ministry'!AW6*EcEnabled+'Environment Ministry'!AW6*EnvEnabled+'Defence Ministry'!AW6*DefEnabled+'Education Ministry'!AW6*EduEnabled</f>
        <v>0</v>
      </c>
    </row>
    <row r="5" spans="1:11" x14ac:dyDescent="0.2">
      <c r="A5" t="s">
        <v>1958</v>
      </c>
      <c r="B5">
        <f t="shared" ref="B5:H5" si="0">IF(B4&gt;=100000000*(EcEnabled+EnvEnabled+DefEnabled+EduEnabled), 1, 0)</f>
        <v>0</v>
      </c>
      <c r="C5">
        <f t="shared" si="0"/>
        <v>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</row>
    <row r="6" spans="1:11" x14ac:dyDescent="0.2">
      <c r="A6" t="s">
        <v>1959</v>
      </c>
      <c r="B6">
        <f>B5</f>
        <v>0</v>
      </c>
      <c r="C6">
        <f t="shared" ref="C6:H6" si="1">IF(AND(C5=1, B5=0), 1, 0)</f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</row>
    <row r="8" spans="1:11" hidden="1" x14ac:dyDescent="0.2"/>
    <row r="9" spans="1:11" hidden="1" x14ac:dyDescent="0.2"/>
    <row r="10" spans="1:11" hidden="1" x14ac:dyDescent="0.2"/>
    <row r="11" spans="1:11" hidden="1" x14ac:dyDescent="0.2"/>
    <row r="12" spans="1:11" hidden="1" x14ac:dyDescent="0.2"/>
    <row r="13" spans="1:11" hidden="1" x14ac:dyDescent="0.2"/>
    <row r="14" spans="1:11" hidden="1" x14ac:dyDescent="0.2"/>
    <row r="15" spans="1:11" hidden="1" x14ac:dyDescent="0.2"/>
    <row r="16" spans="1:11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1" hidden="1" x14ac:dyDescent="0.2"/>
    <row r="50" spans="1:11" hidden="1" x14ac:dyDescent="0.2"/>
    <row r="51" spans="1:11" hidden="1" x14ac:dyDescent="0.2"/>
    <row r="52" spans="1:11" hidden="1" x14ac:dyDescent="0.2"/>
    <row r="53" spans="1:11" hidden="1" x14ac:dyDescent="0.2"/>
    <row r="54" spans="1:11" hidden="1" x14ac:dyDescent="0.2"/>
    <row r="55" spans="1:11" hidden="1" x14ac:dyDescent="0.2"/>
    <row r="56" spans="1:11" hidden="1" x14ac:dyDescent="0.2"/>
    <row r="57" spans="1:11" hidden="1" x14ac:dyDescent="0.2"/>
    <row r="58" spans="1:11" hidden="1" x14ac:dyDescent="0.2"/>
    <row r="59" spans="1:11" hidden="1" x14ac:dyDescent="0.2"/>
    <row r="60" spans="1:11" hidden="1" x14ac:dyDescent="0.2"/>
    <row r="61" spans="1:11" hidden="1" x14ac:dyDescent="0.2"/>
    <row r="63" spans="1:11" x14ac:dyDescent="0.2">
      <c r="A63" s="5" t="s">
        <v>45</v>
      </c>
    </row>
    <row r="64" spans="1:11" x14ac:dyDescent="0.2">
      <c r="A64" t="s">
        <v>1291</v>
      </c>
      <c r="B64">
        <f t="shared" ref="B64:B69" si="2">B$5*K64</f>
        <v>0</v>
      </c>
      <c r="C64">
        <f t="shared" ref="C64:C69" si="3">C$5*K64</f>
        <v>0</v>
      </c>
      <c r="D64">
        <f t="shared" ref="D64:D69" si="4">D$5*K64</f>
        <v>0</v>
      </c>
      <c r="E64">
        <f t="shared" ref="E64:E69" si="5">E$5*K64</f>
        <v>0</v>
      </c>
      <c r="F64">
        <f t="shared" ref="F64:F69" si="6">F$5*K64</f>
        <v>0</v>
      </c>
      <c r="G64">
        <f t="shared" ref="G64:G69" si="7">G$5*K64</f>
        <v>0</v>
      </c>
      <c r="H64">
        <f t="shared" ref="H64:H69" si="8">H$5*K64</f>
        <v>0</v>
      </c>
      <c r="J64" t="s">
        <v>1309</v>
      </c>
      <c r="K64">
        <f>_xlfn.XLOOKUP(J64,'KPI Impacts'!$B$2:$H$2,'KPI Impacts'!$B64:$H64)</f>
        <v>2</v>
      </c>
    </row>
    <row r="65" spans="1:11" x14ac:dyDescent="0.2">
      <c r="A65" t="s">
        <v>47</v>
      </c>
      <c r="B65">
        <f t="shared" si="2"/>
        <v>0</v>
      </c>
      <c r="C65">
        <f t="shared" si="3"/>
        <v>0</v>
      </c>
      <c r="D65">
        <f t="shared" si="4"/>
        <v>0</v>
      </c>
      <c r="E65">
        <f t="shared" si="5"/>
        <v>0</v>
      </c>
      <c r="F65">
        <f t="shared" si="6"/>
        <v>0</v>
      </c>
      <c r="G65">
        <f t="shared" si="7"/>
        <v>0</v>
      </c>
      <c r="H65">
        <f t="shared" si="8"/>
        <v>0</v>
      </c>
      <c r="J65" t="s">
        <v>1303</v>
      </c>
      <c r="K65">
        <f>_xlfn.XLOOKUP(J65,'KPI Impacts'!$B$2:$H$2,'KPI Impacts'!$B65:$H65)</f>
        <v>0</v>
      </c>
    </row>
    <row r="66" spans="1:11" x14ac:dyDescent="0.2">
      <c r="A66" t="s">
        <v>1292</v>
      </c>
      <c r="B66">
        <f t="shared" si="2"/>
        <v>0</v>
      </c>
      <c r="C66">
        <f t="shared" si="3"/>
        <v>0</v>
      </c>
      <c r="D66">
        <f t="shared" si="4"/>
        <v>0</v>
      </c>
      <c r="E66">
        <f t="shared" si="5"/>
        <v>0</v>
      </c>
      <c r="F66">
        <f t="shared" si="6"/>
        <v>0</v>
      </c>
      <c r="G66">
        <f t="shared" si="7"/>
        <v>0</v>
      </c>
      <c r="H66">
        <f t="shared" si="8"/>
        <v>0</v>
      </c>
      <c r="J66" t="s">
        <v>1306</v>
      </c>
      <c r="K66">
        <f>_xlfn.XLOOKUP(J66,'KPI Impacts'!$B$2:$H$2,'KPI Impacts'!$B66:$H66)</f>
        <v>-3.2</v>
      </c>
    </row>
    <row r="67" spans="1:11" x14ac:dyDescent="0.2">
      <c r="A67" t="s">
        <v>48</v>
      </c>
      <c r="B67">
        <f t="shared" si="2"/>
        <v>0</v>
      </c>
      <c r="C67">
        <f t="shared" si="3"/>
        <v>0</v>
      </c>
      <c r="D67">
        <f t="shared" si="4"/>
        <v>0</v>
      </c>
      <c r="E67">
        <f t="shared" si="5"/>
        <v>0</v>
      </c>
      <c r="F67">
        <f t="shared" si="6"/>
        <v>0</v>
      </c>
      <c r="G67">
        <f t="shared" si="7"/>
        <v>0</v>
      </c>
      <c r="H67">
        <f t="shared" si="8"/>
        <v>0</v>
      </c>
      <c r="J67" t="s">
        <v>1303</v>
      </c>
      <c r="K67">
        <f>_xlfn.XLOOKUP(J67,'KPI Impacts'!$B$2:$H$2,'KPI Impacts'!$B67:$H67)</f>
        <v>0</v>
      </c>
    </row>
    <row r="68" spans="1:11" x14ac:dyDescent="0.2">
      <c r="A68" t="s">
        <v>49</v>
      </c>
      <c r="B68">
        <f t="shared" si="2"/>
        <v>0</v>
      </c>
      <c r="C68">
        <f t="shared" si="3"/>
        <v>0</v>
      </c>
      <c r="D68">
        <f t="shared" si="4"/>
        <v>0</v>
      </c>
      <c r="E68">
        <f t="shared" si="5"/>
        <v>0</v>
      </c>
      <c r="F68">
        <f t="shared" si="6"/>
        <v>0</v>
      </c>
      <c r="G68">
        <f t="shared" si="7"/>
        <v>0</v>
      </c>
      <c r="H68">
        <f t="shared" si="8"/>
        <v>0</v>
      </c>
      <c r="J68" t="s">
        <v>1303</v>
      </c>
      <c r="K68">
        <f>_xlfn.XLOOKUP(J68,'KPI Impacts'!$B$2:$H$2,'KPI Impacts'!$B68:$H68)</f>
        <v>0</v>
      </c>
    </row>
    <row r="69" spans="1:11" x14ac:dyDescent="0.2">
      <c r="A69" t="s">
        <v>50</v>
      </c>
      <c r="B69">
        <f t="shared" si="2"/>
        <v>0</v>
      </c>
      <c r="C69">
        <f t="shared" si="3"/>
        <v>0</v>
      </c>
      <c r="D69">
        <f t="shared" si="4"/>
        <v>0</v>
      </c>
      <c r="E69">
        <f t="shared" si="5"/>
        <v>0</v>
      </c>
      <c r="F69">
        <f t="shared" si="6"/>
        <v>0</v>
      </c>
      <c r="G69">
        <f t="shared" si="7"/>
        <v>0</v>
      </c>
      <c r="H69">
        <f t="shared" si="8"/>
        <v>0</v>
      </c>
      <c r="J69" t="s">
        <v>1303</v>
      </c>
      <c r="K69">
        <f>_xlfn.XLOOKUP(J69,'KPI Impacts'!$B$2:$H$2,'KPI Impacts'!$B69:$H69)</f>
        <v>0</v>
      </c>
    </row>
    <row r="70" spans="1:11" hidden="1" x14ac:dyDescent="0.2"/>
    <row r="72" spans="1:11" x14ac:dyDescent="0.2">
      <c r="A72" s="5" t="s">
        <v>44</v>
      </c>
    </row>
    <row r="73" spans="1:11" x14ac:dyDescent="0.2">
      <c r="A73" t="s">
        <v>55</v>
      </c>
      <c r="B73">
        <f>B$5*K73</f>
        <v>0</v>
      </c>
      <c r="C73">
        <f>C$5*K73</f>
        <v>0</v>
      </c>
      <c r="D73">
        <f>D$5*K73</f>
        <v>0</v>
      </c>
      <c r="E73">
        <f>E$5*K73</f>
        <v>0</v>
      </c>
      <c r="F73">
        <f>F$5*K73</f>
        <v>0</v>
      </c>
      <c r="G73">
        <f>G$5*K73</f>
        <v>0</v>
      </c>
      <c r="H73">
        <f>H$5*K73</f>
        <v>0</v>
      </c>
      <c r="J73" t="s">
        <v>1309</v>
      </c>
      <c r="K73">
        <f>_xlfn.XLOOKUP(J73,'KPI Impacts'!$B$2:$H$2,'KPI Impacts'!$B73:$H73)</f>
        <v>0.75</v>
      </c>
    </row>
    <row r="74" spans="1:11" x14ac:dyDescent="0.2">
      <c r="A74" s="9" t="s">
        <v>1928</v>
      </c>
      <c r="B74">
        <f>B$5*K74</f>
        <v>0</v>
      </c>
      <c r="C74">
        <f>C$5*K74</f>
        <v>0</v>
      </c>
      <c r="D74">
        <f>D$5*K74</f>
        <v>0</v>
      </c>
      <c r="E74">
        <f>E$5*K74</f>
        <v>0</v>
      </c>
      <c r="F74">
        <f>F$5*K74</f>
        <v>0</v>
      </c>
      <c r="G74">
        <f>G$5*K74</f>
        <v>0</v>
      </c>
      <c r="H74">
        <f>H$5*K74</f>
        <v>0</v>
      </c>
      <c r="J74" t="s">
        <v>1309</v>
      </c>
      <c r="K74">
        <f>_xlfn.XLOOKUP(J74,'KPI Impacts'!$B$2:$H$2,'KPI Impacts'!$B74:$H74)</f>
        <v>4000000000</v>
      </c>
    </row>
    <row r="75" spans="1:11" x14ac:dyDescent="0.2">
      <c r="A75" t="s">
        <v>1310</v>
      </c>
      <c r="B75">
        <f>B$5*K75</f>
        <v>0</v>
      </c>
      <c r="C75">
        <f>C$5*K75</f>
        <v>0</v>
      </c>
      <c r="D75">
        <f>D$5*K75</f>
        <v>0</v>
      </c>
      <c r="E75">
        <f>E$5*K75</f>
        <v>0</v>
      </c>
      <c r="F75">
        <f>F$5*K75</f>
        <v>0</v>
      </c>
      <c r="G75">
        <f>G$5*K75</f>
        <v>0</v>
      </c>
      <c r="H75">
        <f>H$5*K75</f>
        <v>0</v>
      </c>
      <c r="J75" t="s">
        <v>1303</v>
      </c>
      <c r="K75">
        <f>_xlfn.XLOOKUP(J75,'KPI Impacts'!$B$2:$H$2,'KPI Impacts'!$B75:$H75)</f>
        <v>0</v>
      </c>
    </row>
    <row r="76" spans="1:11" x14ac:dyDescent="0.2">
      <c r="A76" t="s">
        <v>1311</v>
      </c>
      <c r="B76">
        <f>B$5*K76</f>
        <v>0</v>
      </c>
      <c r="C76">
        <f>C$5*K76</f>
        <v>0</v>
      </c>
      <c r="D76">
        <f>D$5*K76</f>
        <v>0</v>
      </c>
      <c r="E76">
        <f>E$5*K76</f>
        <v>0</v>
      </c>
      <c r="F76">
        <f>F$5*K76</f>
        <v>0</v>
      </c>
      <c r="G76">
        <f>G$5*K76</f>
        <v>0</v>
      </c>
      <c r="H76">
        <f>H$5*K76</f>
        <v>0</v>
      </c>
      <c r="J76" t="s">
        <v>1303</v>
      </c>
      <c r="K76">
        <f>_xlfn.XLOOKUP(J76,'KPI Impacts'!$B$2:$H$2,'KPI Impacts'!$B76:$H76)</f>
        <v>0</v>
      </c>
    </row>
    <row r="77" spans="1:11" x14ac:dyDescent="0.2">
      <c r="A77" t="s">
        <v>54</v>
      </c>
    </row>
    <row r="78" spans="1:11" hidden="1" x14ac:dyDescent="0.2"/>
    <row r="79" spans="1:11" hidden="1" x14ac:dyDescent="0.2"/>
    <row r="81" spans="1:11" x14ac:dyDescent="0.2">
      <c r="A81" s="5" t="s">
        <v>51</v>
      </c>
    </row>
    <row r="82" spans="1:11" x14ac:dyDescent="0.2">
      <c r="A82" s="17" t="s">
        <v>1312</v>
      </c>
    </row>
    <row r="83" spans="1:11" x14ac:dyDescent="0.2">
      <c r="A83" s="17" t="s">
        <v>1313</v>
      </c>
    </row>
    <row r="84" spans="1:11" x14ac:dyDescent="0.2">
      <c r="A84" s="17" t="s">
        <v>1709</v>
      </c>
      <c r="B84">
        <f>B$5*K84</f>
        <v>0</v>
      </c>
      <c r="C84">
        <f>C$5*K84</f>
        <v>0</v>
      </c>
      <c r="D84">
        <f>D$5*K84</f>
        <v>0</v>
      </c>
      <c r="E84">
        <f>E$5*K84</f>
        <v>0</v>
      </c>
      <c r="F84">
        <f>F$5*K84</f>
        <v>0</v>
      </c>
      <c r="G84">
        <f>G$5*K84</f>
        <v>0</v>
      </c>
      <c r="H84">
        <f>H$5*K84</f>
        <v>0</v>
      </c>
      <c r="J84" t="s">
        <v>1307</v>
      </c>
      <c r="K84">
        <f>_xlfn.XLOOKUP(J84,'KPI Impacts'!$B$2:$H$2,'KPI Impacts'!$B84:$H84)</f>
        <v>1</v>
      </c>
    </row>
    <row r="85" spans="1:11" x14ac:dyDescent="0.2">
      <c r="A85" s="9" t="s">
        <v>1314</v>
      </c>
      <c r="B85">
        <f>B$5*K85</f>
        <v>0</v>
      </c>
      <c r="C85">
        <f>C$5*K85</f>
        <v>0</v>
      </c>
      <c r="D85">
        <f>D$5*K85</f>
        <v>0</v>
      </c>
      <c r="E85">
        <f>E$5*K85</f>
        <v>0</v>
      </c>
      <c r="F85">
        <f>F$5*K85</f>
        <v>0</v>
      </c>
      <c r="G85">
        <f>G$5*K85</f>
        <v>0</v>
      </c>
      <c r="H85">
        <f>H$5*K85</f>
        <v>0</v>
      </c>
      <c r="J85" t="s">
        <v>1303</v>
      </c>
      <c r="K85">
        <f>_xlfn.XLOOKUP(J85,'KPI Impacts'!$B$2:$H$2,'KPI Impacts'!$B85:$H85)</f>
        <v>0</v>
      </c>
    </row>
    <row r="86" spans="1:11" x14ac:dyDescent="0.2">
      <c r="A86" s="9" t="s">
        <v>1315</v>
      </c>
      <c r="B86">
        <f>B$5*K86</f>
        <v>0</v>
      </c>
      <c r="C86">
        <f>C$5*K86</f>
        <v>0</v>
      </c>
      <c r="D86">
        <f>D$5*K86</f>
        <v>0</v>
      </c>
      <c r="E86">
        <f>E$5*K86</f>
        <v>0</v>
      </c>
      <c r="F86">
        <f>F$5*K86</f>
        <v>0</v>
      </c>
      <c r="G86">
        <f>G$5*K86</f>
        <v>0</v>
      </c>
      <c r="H86">
        <f>H$5*K86</f>
        <v>0</v>
      </c>
      <c r="J86" t="s">
        <v>1309</v>
      </c>
      <c r="K86">
        <f>_xlfn.XLOOKUP(J86,'KPI Impacts'!$B$2:$H$2,'KPI Impacts'!$B86:$H86)</f>
        <v>4</v>
      </c>
    </row>
    <row r="87" spans="1:11" x14ac:dyDescent="0.2">
      <c r="A87" s="9" t="s">
        <v>1293</v>
      </c>
      <c r="K87" s="6"/>
    </row>
    <row r="88" spans="1:11" x14ac:dyDescent="0.2">
      <c r="A88" s="9" t="s">
        <v>1290</v>
      </c>
      <c r="B88">
        <f>B$5*K88</f>
        <v>0</v>
      </c>
      <c r="C88">
        <f>C$5*K88</f>
        <v>0</v>
      </c>
      <c r="D88">
        <f>D$5*K88</f>
        <v>0</v>
      </c>
      <c r="E88">
        <f>E$5*K88</f>
        <v>0</v>
      </c>
      <c r="F88">
        <f>F$5*K88</f>
        <v>0</v>
      </c>
      <c r="G88">
        <f>G$5*K88</f>
        <v>0</v>
      </c>
      <c r="H88">
        <f>H$5*K88</f>
        <v>0</v>
      </c>
      <c r="J88" t="s">
        <v>1307</v>
      </c>
      <c r="K88">
        <f>_xlfn.XLOOKUP(J88,'KPI Impacts'!$B$2:$H$2,'KPI Impacts'!$B88:$H88)</f>
        <v>1</v>
      </c>
    </row>
    <row r="89" spans="1:11" hidden="1" x14ac:dyDescent="0.2">
      <c r="K89" s="6"/>
    </row>
    <row r="90" spans="1:11" hidden="1" x14ac:dyDescent="0.2">
      <c r="K90" s="6"/>
    </row>
    <row r="91" spans="1:11" x14ac:dyDescent="0.2">
      <c r="K91" s="6"/>
    </row>
    <row r="92" spans="1:11" x14ac:dyDescent="0.2">
      <c r="A92" s="5" t="s">
        <v>52</v>
      </c>
      <c r="K92" s="6"/>
    </row>
    <row r="93" spans="1:11" x14ac:dyDescent="0.2">
      <c r="A93" t="s">
        <v>56</v>
      </c>
      <c r="B93">
        <f>B$5*K93</f>
        <v>0</v>
      </c>
      <c r="C93">
        <f>C$5*K93</f>
        <v>0</v>
      </c>
      <c r="D93">
        <f>D$5*K93</f>
        <v>0</v>
      </c>
      <c r="E93">
        <f>E$5*K93</f>
        <v>0</v>
      </c>
      <c r="F93">
        <f>F$5*K93</f>
        <v>0</v>
      </c>
      <c r="G93">
        <f>G$5*K93</f>
        <v>0</v>
      </c>
      <c r="H93">
        <f>H$5*K93</f>
        <v>0</v>
      </c>
      <c r="J93" t="s">
        <v>1307</v>
      </c>
      <c r="K93">
        <f>_xlfn.XLOOKUP(J93,'KPI Impacts'!$B$2:$H$2,'KPI Impacts'!$B93:$H93)</f>
        <v>1</v>
      </c>
    </row>
    <row r="94" spans="1:11" x14ac:dyDescent="0.2">
      <c r="A94" t="s">
        <v>1711</v>
      </c>
      <c r="B94">
        <f>B$5*K94</f>
        <v>0</v>
      </c>
      <c r="C94">
        <f>C$5*K94</f>
        <v>0</v>
      </c>
      <c r="D94">
        <f>D$5*K94</f>
        <v>0</v>
      </c>
      <c r="E94">
        <f>E$5*K94</f>
        <v>0</v>
      </c>
      <c r="F94">
        <f>F$5*K94</f>
        <v>0</v>
      </c>
      <c r="G94">
        <f>G$5*K94</f>
        <v>0</v>
      </c>
      <c r="H94">
        <f>H$5*K94</f>
        <v>0</v>
      </c>
      <c r="J94" t="s">
        <v>1303</v>
      </c>
      <c r="K94">
        <f>_xlfn.XLOOKUP(J94,'KPI Impacts'!$B$2:$H$2,'KPI Impacts'!$B94:$H94)</f>
        <v>0</v>
      </c>
    </row>
    <row r="95" spans="1:11" x14ac:dyDescent="0.2">
      <c r="A95" t="s">
        <v>1316</v>
      </c>
      <c r="B95">
        <f>B$5*K95</f>
        <v>0</v>
      </c>
      <c r="C95">
        <f>C$5*K95</f>
        <v>0</v>
      </c>
      <c r="D95">
        <f>D$5*K95</f>
        <v>0</v>
      </c>
      <c r="E95">
        <f>E$5*K95</f>
        <v>0</v>
      </c>
      <c r="F95">
        <f>F$5*K95</f>
        <v>0</v>
      </c>
      <c r="G95">
        <f>G$5*K95</f>
        <v>0</v>
      </c>
      <c r="H95">
        <f>H$5*K95</f>
        <v>0</v>
      </c>
      <c r="J95" t="s">
        <v>1309</v>
      </c>
      <c r="K95">
        <f>_xlfn.XLOOKUP(J95,'KPI Impacts'!$B$2:$H$2,'KPI Impacts'!$B95:$H95)</f>
        <v>1000000000</v>
      </c>
    </row>
    <row r="96" spans="1:11" x14ac:dyDescent="0.2">
      <c r="A96" t="s">
        <v>1317</v>
      </c>
      <c r="B96">
        <f>B$5*K96</f>
        <v>0</v>
      </c>
      <c r="C96">
        <f>C$5*K96</f>
        <v>0</v>
      </c>
      <c r="D96">
        <f>D$5*K96</f>
        <v>0</v>
      </c>
      <c r="E96">
        <f>E$5*K96</f>
        <v>0</v>
      </c>
      <c r="F96">
        <f>F$5*K96</f>
        <v>0</v>
      </c>
      <c r="G96">
        <f>G$5*K96</f>
        <v>0</v>
      </c>
      <c r="H96">
        <f>H$5*K96</f>
        <v>0</v>
      </c>
      <c r="J96" t="s">
        <v>1303</v>
      </c>
      <c r="K96">
        <f>_xlfn.XLOOKUP(J96,'KPI Impacts'!$B$2:$H$2,'KPI Impacts'!$B96:$H96)</f>
        <v>0</v>
      </c>
    </row>
    <row r="97" spans="1:11" x14ac:dyDescent="0.2">
      <c r="A97" t="s">
        <v>1294</v>
      </c>
      <c r="K97" s="6"/>
    </row>
    <row r="98" spans="1:11" hidden="1" x14ac:dyDescent="0.2"/>
    <row r="99" spans="1:11" hidden="1" x14ac:dyDescent="0.2"/>
    <row r="101" spans="1:11" x14ac:dyDescent="0.2">
      <c r="A101" s="5" t="s">
        <v>53</v>
      </c>
    </row>
    <row r="102" spans="1:11" x14ac:dyDescent="0.2">
      <c r="A102" t="s">
        <v>57</v>
      </c>
      <c r="B102">
        <f>B$5*K102</f>
        <v>0</v>
      </c>
      <c r="C102">
        <f>C$5*K102</f>
        <v>0</v>
      </c>
      <c r="D102">
        <f>D$5*K102</f>
        <v>0</v>
      </c>
      <c r="E102">
        <f>E$5*K102</f>
        <v>0</v>
      </c>
      <c r="F102">
        <f>F$5*K102</f>
        <v>0</v>
      </c>
      <c r="G102">
        <f>G$5*K102</f>
        <v>0</v>
      </c>
      <c r="H102">
        <f>H$5*K102</f>
        <v>0</v>
      </c>
      <c r="J102" t="s">
        <v>1307</v>
      </c>
      <c r="K102">
        <f>_xlfn.XLOOKUP(J102,'KPI Impacts'!$B$2:$H$2,'KPI Impacts'!$B102:$H102)</f>
        <v>1</v>
      </c>
    </row>
    <row r="103" spans="1:11" x14ac:dyDescent="0.2">
      <c r="A103" t="s">
        <v>58</v>
      </c>
      <c r="B103">
        <f>B$5*K103</f>
        <v>0</v>
      </c>
      <c r="C103">
        <f>C$5*K103</f>
        <v>0</v>
      </c>
      <c r="D103">
        <f>D$5*K103</f>
        <v>0</v>
      </c>
      <c r="E103">
        <f>E$5*K103</f>
        <v>0</v>
      </c>
      <c r="F103">
        <f>F$5*K103</f>
        <v>0</v>
      </c>
      <c r="G103">
        <f>G$5*K103</f>
        <v>0</v>
      </c>
      <c r="H103">
        <f>H$5*K103</f>
        <v>0</v>
      </c>
      <c r="J103" t="s">
        <v>1309</v>
      </c>
      <c r="K103">
        <f>_xlfn.XLOOKUP(J103,'KPI Impacts'!$B$2:$H$2,'KPI Impacts'!$B103:$H103)</f>
        <v>1</v>
      </c>
    </row>
    <row r="104" spans="1:11" x14ac:dyDescent="0.2">
      <c r="A104" t="s">
        <v>1295</v>
      </c>
      <c r="B104">
        <f>B$5*K104</f>
        <v>0</v>
      </c>
      <c r="C104">
        <f>C$5*K104</f>
        <v>0</v>
      </c>
      <c r="D104">
        <f>D$5*K104</f>
        <v>0</v>
      </c>
      <c r="E104">
        <f>E$5*K104</f>
        <v>0</v>
      </c>
      <c r="F104">
        <f>F$5*K104</f>
        <v>0</v>
      </c>
      <c r="G104">
        <f>G$5*K104</f>
        <v>0</v>
      </c>
      <c r="H104">
        <f>H$5*K104</f>
        <v>0</v>
      </c>
      <c r="J104" t="s">
        <v>1308</v>
      </c>
      <c r="K104">
        <f>_xlfn.XLOOKUP(J104,'KPI Impacts'!$B$2:$H$2,'KPI Impacts'!$B104:$H104)</f>
        <v>6</v>
      </c>
    </row>
    <row r="108" spans="1:1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3" spans="1:1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2">
      <c r="K115" s="8"/>
    </row>
    <row r="116" spans="1:1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BA2-6063-4B89-B739-A42271CD7FDB}">
  <dimension ref="A1:SW122"/>
  <sheetViews>
    <sheetView zoomScaleNormal="100" workbookViewId="0">
      <pane xSplit="1" ySplit="22" topLeftCell="EP23" activePane="bottomRight" state="frozen"/>
      <selection pane="topRight" activeCell="B1" sqref="B1"/>
      <selection pane="bottomLeft" activeCell="A23" sqref="A23"/>
      <selection pane="bottomRight" activeCell="FL16" sqref="FL16"/>
    </sheetView>
  </sheetViews>
  <sheetFormatPr baseColWidth="10" defaultColWidth="13.83203125" defaultRowHeight="15" x14ac:dyDescent="0.2"/>
  <cols>
    <col min="1" max="1" width="25.83203125" customWidth="1"/>
    <col min="2" max="10" width="15.1640625" customWidth="1"/>
    <col min="12" max="12" width="24.1640625" customWidth="1"/>
    <col min="24" max="24" width="21.83203125" bestFit="1" customWidth="1"/>
    <col min="25" max="33" width="12.6640625" customWidth="1"/>
    <col min="34" max="34" width="10.6640625" customWidth="1"/>
    <col min="35" max="35" width="12.6640625" customWidth="1"/>
    <col min="36" max="40" width="12.5" customWidth="1"/>
    <col min="42" max="42" width="21.83203125" bestFit="1" customWidth="1"/>
    <col min="43" max="51" width="12.6640625" customWidth="1"/>
    <col min="52" max="52" width="10.6640625" customWidth="1"/>
    <col min="53" max="53" width="12.6640625" customWidth="1"/>
    <col min="54" max="58" width="12.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5.5" customWidth="1"/>
    <col min="188" max="188" width="25.5" customWidth="1"/>
    <col min="204" max="204" width="25.5" customWidth="1"/>
    <col min="220" max="220" width="25.5" customWidth="1"/>
    <col min="236" max="236" width="25.5" customWidth="1"/>
    <col min="252" max="252" width="25.5" customWidth="1"/>
    <col min="268" max="268" width="25.5" customWidth="1"/>
    <col min="284" max="284" width="25.5" customWidth="1"/>
    <col min="300" max="300" width="25.5" customWidth="1"/>
    <col min="316" max="316" width="25.5" customWidth="1"/>
    <col min="332" max="332" width="25.5" customWidth="1"/>
    <col min="348" max="348" width="25.5" customWidth="1"/>
    <col min="364" max="364" width="25.5" customWidth="1"/>
    <col min="380" max="380" width="25.5" customWidth="1"/>
    <col min="396" max="396" width="25.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3" t="s">
        <v>1834</v>
      </c>
      <c r="BT1" s="6"/>
      <c r="BU1" s="33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3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3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3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3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3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33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33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33" t="s">
        <v>1835</v>
      </c>
      <c r="GT1" s="6"/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33" t="s">
        <v>1835</v>
      </c>
      <c r="HJ1" s="6"/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33" t="s">
        <v>1835</v>
      </c>
      <c r="HZ1" s="6"/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33" t="s">
        <v>1835</v>
      </c>
      <c r="IP1" s="6"/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33" t="s">
        <v>1835</v>
      </c>
      <c r="JF1" s="6"/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33" t="s">
        <v>1835</v>
      </c>
      <c r="JV1" s="6"/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33" t="s">
        <v>1835</v>
      </c>
      <c r="KL1" s="6"/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33" t="s">
        <v>1835</v>
      </c>
      <c r="LB1" s="6"/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33" t="s">
        <v>1835</v>
      </c>
      <c r="LR1" s="6"/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33" t="s">
        <v>1835</v>
      </c>
      <c r="MH1" s="6"/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33" t="s">
        <v>1835</v>
      </c>
      <c r="MX1" s="6"/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33" t="s">
        <v>1835</v>
      </c>
      <c r="NN1" s="6"/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33" t="s">
        <v>1835</v>
      </c>
      <c r="OD1" s="6"/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33" t="s">
        <v>1835</v>
      </c>
      <c r="OT1" s="6"/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s="6" t="s">
        <v>1320</v>
      </c>
      <c r="FN2" s="6" t="s">
        <v>1319</v>
      </c>
      <c r="GA2" t="s">
        <v>1320</v>
      </c>
      <c r="GB2" s="6" t="s">
        <v>1319</v>
      </c>
      <c r="GC2" s="6" t="s">
        <v>1320</v>
      </c>
      <c r="GD2" s="6" t="s">
        <v>1319</v>
      </c>
      <c r="GQ2" t="s">
        <v>1320</v>
      </c>
      <c r="GR2" t="s">
        <v>1319</v>
      </c>
      <c r="GS2" s="6" t="s">
        <v>1320</v>
      </c>
      <c r="GT2" s="6" t="s">
        <v>1319</v>
      </c>
      <c r="HG2" t="s">
        <v>1320</v>
      </c>
      <c r="HH2" t="s">
        <v>1319</v>
      </c>
      <c r="HI2" s="6" t="s">
        <v>1320</v>
      </c>
      <c r="HJ2" s="6" t="s">
        <v>1319</v>
      </c>
      <c r="HW2" t="s">
        <v>1320</v>
      </c>
      <c r="HX2" t="s">
        <v>1319</v>
      </c>
      <c r="HY2" s="6" t="s">
        <v>1320</v>
      </c>
      <c r="HZ2" s="6" t="s">
        <v>1319</v>
      </c>
      <c r="IM2" t="s">
        <v>1320</v>
      </c>
      <c r="IN2" t="s">
        <v>1319</v>
      </c>
      <c r="IO2" s="6" t="s">
        <v>1320</v>
      </c>
      <c r="IP2" s="6" t="s">
        <v>1319</v>
      </c>
      <c r="JC2" t="s">
        <v>1320</v>
      </c>
      <c r="JD2" t="s">
        <v>1319</v>
      </c>
      <c r="JE2" s="6" t="s">
        <v>1320</v>
      </c>
      <c r="JF2" s="6" t="s">
        <v>1319</v>
      </c>
      <c r="JS2" t="s">
        <v>1320</v>
      </c>
      <c r="JT2" t="s">
        <v>1319</v>
      </c>
      <c r="JU2" s="6" t="s">
        <v>1320</v>
      </c>
      <c r="JV2" s="6" t="s">
        <v>1319</v>
      </c>
      <c r="KI2" t="s">
        <v>1320</v>
      </c>
      <c r="KJ2" t="s">
        <v>1319</v>
      </c>
      <c r="KK2" s="6" t="s">
        <v>1320</v>
      </c>
      <c r="KL2" s="6" t="s">
        <v>1319</v>
      </c>
      <c r="KY2" t="s">
        <v>1320</v>
      </c>
      <c r="KZ2" t="s">
        <v>1319</v>
      </c>
      <c r="LA2" s="6" t="s">
        <v>1320</v>
      </c>
      <c r="LB2" s="6" t="s">
        <v>1319</v>
      </c>
      <c r="LO2" t="s">
        <v>1320</v>
      </c>
      <c r="LP2" t="s">
        <v>1319</v>
      </c>
      <c r="LQ2" s="6" t="s">
        <v>1320</v>
      </c>
      <c r="LR2" s="6" t="s">
        <v>1319</v>
      </c>
      <c r="ME2" t="s">
        <v>1320</v>
      </c>
      <c r="MF2" t="s">
        <v>1319</v>
      </c>
      <c r="MG2" s="6" t="s">
        <v>1320</v>
      </c>
      <c r="MH2" s="6" t="s">
        <v>1319</v>
      </c>
      <c r="MU2" t="s">
        <v>1320</v>
      </c>
      <c r="MV2" t="s">
        <v>1319</v>
      </c>
      <c r="MW2" s="6" t="s">
        <v>1320</v>
      </c>
      <c r="MX2" s="6" t="s">
        <v>1319</v>
      </c>
      <c r="NK2" t="s">
        <v>1320</v>
      </c>
      <c r="NL2" t="s">
        <v>1319</v>
      </c>
      <c r="NM2" s="6" t="s">
        <v>1320</v>
      </c>
      <c r="NN2" s="6" t="s">
        <v>1319</v>
      </c>
      <c r="OA2" t="s">
        <v>1320</v>
      </c>
      <c r="OB2" t="s">
        <v>1319</v>
      </c>
      <c r="OC2" s="6" t="s">
        <v>1320</v>
      </c>
      <c r="OD2" s="6" t="s">
        <v>1319</v>
      </c>
      <c r="OQ2" t="s">
        <v>1320</v>
      </c>
      <c r="OR2" t="s">
        <v>1319</v>
      </c>
      <c r="OS2" s="6" t="s">
        <v>1320</v>
      </c>
      <c r="OT2" s="6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1422</v>
      </c>
      <c r="BU3" s="9"/>
      <c r="BX3" s="5" t="s">
        <v>1423</v>
      </c>
      <c r="CK3" s="9"/>
      <c r="CN3" s="5" t="s">
        <v>1424</v>
      </c>
      <c r="DA3" s="9"/>
      <c r="DD3" s="5" t="s">
        <v>1425</v>
      </c>
      <c r="DQ3" s="9"/>
      <c r="DT3" s="5" t="s">
        <v>1426</v>
      </c>
      <c r="EG3" s="9"/>
      <c r="EJ3" s="5" t="s">
        <v>1427</v>
      </c>
      <c r="EW3" s="9"/>
      <c r="EZ3" s="5" t="s">
        <v>1428</v>
      </c>
      <c r="FM3" s="9"/>
      <c r="FP3" s="5" t="s">
        <v>1933</v>
      </c>
      <c r="GC3" s="9"/>
      <c r="GF3" s="5" t="s">
        <v>1934</v>
      </c>
      <c r="GS3" s="9"/>
      <c r="GV3" s="11" t="s">
        <v>1935</v>
      </c>
      <c r="HI3" s="9"/>
      <c r="HL3" s="11" t="s">
        <v>1936</v>
      </c>
      <c r="HY3" s="9"/>
      <c r="IB3" s="11" t="s">
        <v>380</v>
      </c>
      <c r="IO3" s="9"/>
      <c r="IR3" s="11" t="s">
        <v>381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68</v>
      </c>
      <c r="L4" t="s">
        <v>1943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1435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1441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69</v>
      </c>
      <c r="BI4" s="1">
        <v>0</v>
      </c>
      <c r="BJ4" s="1">
        <f t="shared" ref="BJ4:BQ4" si="1">+BI4</f>
        <v>0</v>
      </c>
      <c r="BK4" s="1">
        <f t="shared" si="1"/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9"/>
      <c r="BX4" s="2" t="s">
        <v>70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9"/>
      <c r="CN4" s="2" t="s">
        <v>71</v>
      </c>
      <c r="CO4" s="1">
        <v>0</v>
      </c>
      <c r="CP4" s="1">
        <f t="shared" ref="CP4:CW4" si="3">+CO4</f>
        <v>0</v>
      </c>
      <c r="CQ4" s="1">
        <f t="shared" si="3"/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9"/>
      <c r="DD4" s="2" t="s">
        <v>72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9"/>
      <c r="DT4" s="2" t="s">
        <v>73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9"/>
      <c r="EJ4" s="2" t="s">
        <v>74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9"/>
      <c r="EZ4" s="2" t="s">
        <v>75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9"/>
      <c r="FP4" s="2" t="s">
        <v>76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9"/>
      <c r="GF4" s="2" t="s">
        <v>77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S4" s="9"/>
      <c r="GV4" s="2" t="s">
        <v>78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9"/>
      <c r="HK4" s="1"/>
      <c r="HL4" s="2" t="s">
        <v>79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9"/>
      <c r="IA4" s="1"/>
      <c r="IB4" s="2" t="s">
        <v>80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O4" s="9"/>
      <c r="IR4" s="2" t="s">
        <v>81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E4" s="9"/>
      <c r="JH4" s="2" t="s">
        <v>82</v>
      </c>
      <c r="JI4" s="1">
        <v>0</v>
      </c>
      <c r="JJ4" s="1">
        <f>+JI4</f>
        <v>0</v>
      </c>
      <c r="JK4" s="1">
        <f t="shared" ref="JK4" si="14">+JJ4</f>
        <v>0</v>
      </c>
      <c r="JL4" s="1">
        <f t="shared" ref="JL4" si="15">+JK4</f>
        <v>0</v>
      </c>
      <c r="JM4" s="1">
        <f t="shared" ref="JM4" si="16">+JL4</f>
        <v>0</v>
      </c>
      <c r="JN4" s="1">
        <f t="shared" ref="JN4" si="17">+JM4</f>
        <v>0</v>
      </c>
      <c r="JO4" s="1">
        <f t="shared" ref="JO4" si="18">+JN4</f>
        <v>0</v>
      </c>
      <c r="JP4" s="1">
        <f t="shared" ref="JP4" si="19">+JO4</f>
        <v>0</v>
      </c>
      <c r="JQ4" s="1">
        <f t="shared" ref="JQ4" si="20">+JP4</f>
        <v>0</v>
      </c>
      <c r="JR4" s="1"/>
      <c r="JS4" s="1"/>
      <c r="JU4" s="9"/>
      <c r="JX4" s="2" t="s">
        <v>83</v>
      </c>
      <c r="JY4" s="1">
        <v>0</v>
      </c>
      <c r="JZ4" s="1">
        <f>+JY4</f>
        <v>0</v>
      </c>
      <c r="KA4" s="1">
        <f t="shared" ref="KA4" si="21">+JZ4</f>
        <v>0</v>
      </c>
      <c r="KB4" s="1">
        <f t="shared" ref="KB4" si="22">+KA4</f>
        <v>0</v>
      </c>
      <c r="KC4" s="1">
        <f t="shared" ref="KC4" si="23">+KB4</f>
        <v>0</v>
      </c>
      <c r="KD4" s="1">
        <f t="shared" ref="KD4" si="24">+KC4</f>
        <v>0</v>
      </c>
      <c r="KE4" s="1">
        <f t="shared" ref="KE4" si="25">+KD4</f>
        <v>0</v>
      </c>
      <c r="KF4" s="1">
        <f t="shared" ref="KF4" si="26">+KE4</f>
        <v>0</v>
      </c>
      <c r="KG4" s="1">
        <f t="shared" ref="KG4" si="27">+KF4</f>
        <v>0</v>
      </c>
      <c r="KH4" s="1"/>
      <c r="KI4" s="1"/>
      <c r="KK4" s="9"/>
      <c r="KN4" s="2" t="s">
        <v>84</v>
      </c>
      <c r="KO4" s="1">
        <v>0</v>
      </c>
      <c r="KP4" s="1">
        <f>+KO4</f>
        <v>0</v>
      </c>
      <c r="KQ4" s="1">
        <f t="shared" ref="KQ4:KW4" si="28">+KP4</f>
        <v>0</v>
      </c>
      <c r="KR4" s="1">
        <f t="shared" si="28"/>
        <v>0</v>
      </c>
      <c r="KS4" s="1">
        <f t="shared" si="28"/>
        <v>0</v>
      </c>
      <c r="KT4" s="1">
        <f t="shared" si="28"/>
        <v>0</v>
      </c>
      <c r="KU4" s="1">
        <f t="shared" si="28"/>
        <v>0</v>
      </c>
      <c r="KV4" s="1">
        <f t="shared" si="28"/>
        <v>0</v>
      </c>
      <c r="KW4" s="1">
        <f t="shared" si="28"/>
        <v>0</v>
      </c>
      <c r="KX4" s="1"/>
      <c r="KY4" s="1"/>
      <c r="LA4" s="9"/>
      <c r="LD4" s="2" t="s">
        <v>85</v>
      </c>
      <c r="LE4" s="1">
        <v>0</v>
      </c>
      <c r="LF4" s="1">
        <f>+LE4</f>
        <v>0</v>
      </c>
      <c r="LG4" s="1">
        <f t="shared" ref="LG4:LM4" si="29">+LF4</f>
        <v>0</v>
      </c>
      <c r="LH4" s="1">
        <f t="shared" si="29"/>
        <v>0</v>
      </c>
      <c r="LI4" s="1">
        <f t="shared" si="29"/>
        <v>0</v>
      </c>
      <c r="LJ4" s="1">
        <f t="shared" si="29"/>
        <v>0</v>
      </c>
      <c r="LK4" s="1">
        <f t="shared" si="29"/>
        <v>0</v>
      </c>
      <c r="LL4" s="1">
        <f t="shared" si="29"/>
        <v>0</v>
      </c>
      <c r="LM4" s="1">
        <f t="shared" si="29"/>
        <v>0</v>
      </c>
      <c r="LN4" s="1"/>
      <c r="LO4" s="1"/>
      <c r="LQ4" s="9"/>
      <c r="LT4" s="2" t="s">
        <v>86</v>
      </c>
      <c r="LU4" s="1">
        <v>0</v>
      </c>
      <c r="LV4" s="1">
        <f>+LU4</f>
        <v>0</v>
      </c>
      <c r="LW4" s="1">
        <f t="shared" ref="LW4:MC4" si="30">+LV4</f>
        <v>0</v>
      </c>
      <c r="LX4" s="1">
        <f t="shared" si="30"/>
        <v>0</v>
      </c>
      <c r="LY4" s="1">
        <f t="shared" si="30"/>
        <v>0</v>
      </c>
      <c r="LZ4" s="1">
        <f t="shared" si="30"/>
        <v>0</v>
      </c>
      <c r="MA4" s="1">
        <f t="shared" si="30"/>
        <v>0</v>
      </c>
      <c r="MB4" s="1">
        <f t="shared" si="30"/>
        <v>0</v>
      </c>
      <c r="MC4" s="1">
        <f t="shared" si="30"/>
        <v>0</v>
      </c>
      <c r="MD4" s="1"/>
      <c r="ME4" s="1"/>
      <c r="MG4" s="9"/>
      <c r="MJ4" s="2" t="s">
        <v>87</v>
      </c>
      <c r="MK4" s="1">
        <v>0</v>
      </c>
      <c r="ML4" s="1">
        <f>+MK4</f>
        <v>0</v>
      </c>
      <c r="MM4" s="1">
        <f t="shared" ref="MM4:MS4" si="31">+ML4</f>
        <v>0</v>
      </c>
      <c r="MN4" s="1">
        <f t="shared" si="31"/>
        <v>0</v>
      </c>
      <c r="MO4" s="1">
        <f t="shared" si="31"/>
        <v>0</v>
      </c>
      <c r="MP4" s="1">
        <f t="shared" si="31"/>
        <v>0</v>
      </c>
      <c r="MQ4" s="1">
        <f t="shared" si="31"/>
        <v>0</v>
      </c>
      <c r="MR4" s="1">
        <f t="shared" si="31"/>
        <v>0</v>
      </c>
      <c r="MS4" s="1">
        <f t="shared" si="31"/>
        <v>0</v>
      </c>
      <c r="MT4" s="1"/>
      <c r="MU4" s="1"/>
      <c r="MW4" s="9"/>
      <c r="MZ4" s="2" t="s">
        <v>88</v>
      </c>
      <c r="NA4" s="1">
        <v>0</v>
      </c>
      <c r="NB4" s="1">
        <f>+NA4</f>
        <v>0</v>
      </c>
      <c r="NC4" s="1">
        <f t="shared" ref="NC4:NI4" si="32">+NB4</f>
        <v>0</v>
      </c>
      <c r="ND4" s="1">
        <f t="shared" si="32"/>
        <v>0</v>
      </c>
      <c r="NE4" s="1">
        <f t="shared" si="32"/>
        <v>0</v>
      </c>
      <c r="NF4" s="1">
        <f t="shared" si="32"/>
        <v>0</v>
      </c>
      <c r="NG4" s="1">
        <f t="shared" si="32"/>
        <v>0</v>
      </c>
      <c r="NH4" s="1">
        <f t="shared" si="32"/>
        <v>0</v>
      </c>
      <c r="NI4" s="1">
        <f t="shared" si="32"/>
        <v>0</v>
      </c>
      <c r="NJ4" s="1"/>
      <c r="NK4" s="1"/>
      <c r="NM4" s="9"/>
      <c r="NP4" s="2" t="s">
        <v>89</v>
      </c>
      <c r="NQ4" s="1">
        <v>0</v>
      </c>
      <c r="NR4" s="1">
        <f>+NQ4</f>
        <v>0</v>
      </c>
      <c r="NS4" s="1">
        <f t="shared" ref="NS4:NY4" si="33">+NR4</f>
        <v>0</v>
      </c>
      <c r="NT4" s="1">
        <f t="shared" si="33"/>
        <v>0</v>
      </c>
      <c r="NU4" s="1">
        <f t="shared" si="33"/>
        <v>0</v>
      </c>
      <c r="NV4" s="1">
        <f t="shared" si="33"/>
        <v>0</v>
      </c>
      <c r="NW4" s="1">
        <f t="shared" si="33"/>
        <v>0</v>
      </c>
      <c r="NX4" s="1">
        <f t="shared" si="33"/>
        <v>0</v>
      </c>
      <c r="NY4" s="1">
        <f t="shared" si="33"/>
        <v>0</v>
      </c>
      <c r="NZ4" s="1"/>
      <c r="OA4" s="1"/>
      <c r="OC4" s="9"/>
      <c r="OF4" s="2" t="s">
        <v>90</v>
      </c>
      <c r="OG4" s="1">
        <v>0</v>
      </c>
      <c r="OH4" s="1">
        <f>+OG4</f>
        <v>0</v>
      </c>
      <c r="OI4" s="1">
        <f t="shared" ref="OI4:OO4" si="34">+OH4</f>
        <v>0</v>
      </c>
      <c r="OJ4" s="1">
        <f t="shared" si="34"/>
        <v>0</v>
      </c>
      <c r="OK4" s="1">
        <f t="shared" si="34"/>
        <v>0</v>
      </c>
      <c r="OL4" s="1">
        <f t="shared" si="34"/>
        <v>0</v>
      </c>
      <c r="OM4" s="1">
        <f t="shared" si="34"/>
        <v>0</v>
      </c>
      <c r="ON4" s="1">
        <f t="shared" si="34"/>
        <v>0</v>
      </c>
      <c r="OO4" s="1">
        <f t="shared" si="34"/>
        <v>0</v>
      </c>
      <c r="OP4" s="1"/>
      <c r="OQ4" s="1"/>
      <c r="OS4" s="9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364</v>
      </c>
      <c r="L5" t="s">
        <v>1944</v>
      </c>
      <c r="M5">
        <f t="shared" ref="M5:S5" si="35">IF(M4&gt;=100000000, 1, 0)</f>
        <v>0</v>
      </c>
      <c r="N5">
        <f t="shared" si="35"/>
        <v>0</v>
      </c>
      <c r="O5">
        <f t="shared" si="35"/>
        <v>0</v>
      </c>
      <c r="P5">
        <f t="shared" si="35"/>
        <v>0</v>
      </c>
      <c r="Q5">
        <f t="shared" si="35"/>
        <v>0</v>
      </c>
      <c r="R5">
        <f t="shared" si="35"/>
        <v>0</v>
      </c>
      <c r="S5">
        <f t="shared" si="35"/>
        <v>0</v>
      </c>
      <c r="X5" s="3" t="s">
        <v>1436</v>
      </c>
      <c r="Y5" s="6">
        <v>0</v>
      </c>
      <c r="Z5" s="6">
        <f t="shared" ref="Z5:AG5" si="36">Y4</f>
        <v>0</v>
      </c>
      <c r="AA5" s="6">
        <f t="shared" si="36"/>
        <v>0</v>
      </c>
      <c r="AB5" s="6">
        <f t="shared" si="36"/>
        <v>0</v>
      </c>
      <c r="AC5" s="6">
        <f t="shared" si="36"/>
        <v>0</v>
      </c>
      <c r="AD5" s="6">
        <f t="shared" si="36"/>
        <v>0</v>
      </c>
      <c r="AE5" s="6">
        <f t="shared" si="36"/>
        <v>0</v>
      </c>
      <c r="AF5" s="6">
        <f t="shared" si="36"/>
        <v>0</v>
      </c>
      <c r="AG5" s="6">
        <f t="shared" si="36"/>
        <v>0</v>
      </c>
      <c r="AH5" s="1"/>
      <c r="AI5" s="1"/>
      <c r="AP5" s="3" t="s">
        <v>1442</v>
      </c>
      <c r="AQ5" s="6">
        <v>0</v>
      </c>
      <c r="AR5" s="6">
        <f t="shared" ref="AR5:AY5" si="37">AQ4</f>
        <v>0</v>
      </c>
      <c r="AS5" s="6">
        <f t="shared" si="37"/>
        <v>0</v>
      </c>
      <c r="AT5" s="6">
        <f t="shared" si="37"/>
        <v>0</v>
      </c>
      <c r="AU5" s="6">
        <f t="shared" si="37"/>
        <v>0</v>
      </c>
      <c r="AV5" s="6">
        <f t="shared" si="37"/>
        <v>0</v>
      </c>
      <c r="AW5" s="6">
        <f t="shared" si="37"/>
        <v>0</v>
      </c>
      <c r="AX5" s="6">
        <f t="shared" si="37"/>
        <v>0</v>
      </c>
      <c r="AY5" s="6">
        <f t="shared" si="37"/>
        <v>0</v>
      </c>
      <c r="AZ5" s="1"/>
      <c r="BA5" s="1"/>
      <c r="BH5" s="3" t="s">
        <v>365</v>
      </c>
      <c r="BI5" s="1">
        <f>BI4</f>
        <v>0</v>
      </c>
      <c r="BJ5" s="1">
        <f>IF(BI5=1,1,BJ4)</f>
        <v>0</v>
      </c>
      <c r="BK5" s="1">
        <f t="shared" ref="BK5" si="38">IF(BJ5=1,1,BK4)</f>
        <v>0</v>
      </c>
      <c r="BL5" s="1">
        <f t="shared" ref="BL5" si="39">IF(BK5=1,1,BL4)</f>
        <v>0</v>
      </c>
      <c r="BM5" s="1">
        <f t="shared" ref="BM5" si="40">IF(BL5=1,1,BM4)</f>
        <v>0</v>
      </c>
      <c r="BN5" s="1">
        <f t="shared" ref="BN5" si="41">IF(BM5=1,1,BN4)</f>
        <v>0</v>
      </c>
      <c r="BO5" s="1">
        <f t="shared" ref="BO5" si="42">IF(BN5=1,1,BO4)</f>
        <v>0</v>
      </c>
      <c r="BP5" s="1">
        <f t="shared" ref="BP5" si="43">IF(BO5=1,1,BP4)</f>
        <v>0</v>
      </c>
      <c r="BQ5" s="1">
        <f t="shared" ref="BQ5" si="44">IF(BP5=1,1,BQ4)</f>
        <v>0</v>
      </c>
      <c r="BR5" s="1"/>
      <c r="BS5" s="1"/>
      <c r="BU5" s="9"/>
      <c r="BX5" s="3" t="s">
        <v>366</v>
      </c>
      <c r="BY5" s="1">
        <f>BY4</f>
        <v>0</v>
      </c>
      <c r="BZ5" s="1">
        <f>IF(BY5=1,1,BZ4)</f>
        <v>0</v>
      </c>
      <c r="CA5" s="1">
        <f t="shared" ref="CA5" si="45">IF(BZ5=1,1,CA4)</f>
        <v>0</v>
      </c>
      <c r="CB5" s="1">
        <f t="shared" ref="CB5" si="46">IF(CA5=1,1,CB4)</f>
        <v>0</v>
      </c>
      <c r="CC5" s="1">
        <f t="shared" ref="CC5" si="47">IF(CB5=1,1,CC4)</f>
        <v>0</v>
      </c>
      <c r="CD5" s="1">
        <f t="shared" ref="CD5" si="48">IF(CC5=1,1,CD4)</f>
        <v>0</v>
      </c>
      <c r="CE5" s="1">
        <f t="shared" ref="CE5" si="49">IF(CD5=1,1,CE4)</f>
        <v>0</v>
      </c>
      <c r="CF5" s="1">
        <f t="shared" ref="CF5" si="50">IF(CE5=1,1,CF4)</f>
        <v>0</v>
      </c>
      <c r="CG5" s="1">
        <f t="shared" ref="CG5" si="51">IF(CF5=1,1,CG4)</f>
        <v>0</v>
      </c>
      <c r="CH5" s="1"/>
      <c r="CI5" s="1"/>
      <c r="CK5" s="9"/>
      <c r="CN5" s="3" t="s">
        <v>367</v>
      </c>
      <c r="CO5" s="1">
        <f>CO4</f>
        <v>0</v>
      </c>
      <c r="CP5" s="1">
        <f>IF(CO5=1,1,CP4)</f>
        <v>0</v>
      </c>
      <c r="CQ5" s="1">
        <f t="shared" ref="CQ5" si="52">IF(CP5=1,1,CQ4)</f>
        <v>0</v>
      </c>
      <c r="CR5" s="1">
        <f t="shared" ref="CR5" si="53">IF(CQ5=1,1,CR4)</f>
        <v>0</v>
      </c>
      <c r="CS5" s="1">
        <f t="shared" ref="CS5" si="54">IF(CR5=1,1,CS4)</f>
        <v>0</v>
      </c>
      <c r="CT5" s="1">
        <f t="shared" ref="CT5" si="55">IF(CS5=1,1,CT4)</f>
        <v>0</v>
      </c>
      <c r="CU5" s="1">
        <f t="shared" ref="CU5" si="56">IF(CT5=1,1,CU4)</f>
        <v>0</v>
      </c>
      <c r="CV5" s="1">
        <f t="shared" ref="CV5" si="57">IF(CU5=1,1,CV4)</f>
        <v>0</v>
      </c>
      <c r="CW5" s="1">
        <f t="shared" ref="CW5" si="58">IF(CV5=1,1,CW4)</f>
        <v>0</v>
      </c>
      <c r="CX5" s="1"/>
      <c r="CY5" s="1"/>
      <c r="DA5" s="9"/>
      <c r="DD5" s="3" t="s">
        <v>368</v>
      </c>
      <c r="DE5" s="1">
        <f>DE4</f>
        <v>0</v>
      </c>
      <c r="DF5" s="1">
        <f>IF(DE5=1,1,DF4)</f>
        <v>0</v>
      </c>
      <c r="DG5" s="1">
        <f t="shared" ref="DG5" si="59">IF(DF5=1,1,DG4)</f>
        <v>0</v>
      </c>
      <c r="DH5" s="1">
        <f t="shared" ref="DH5" si="60">IF(DG5=1,1,DH4)</f>
        <v>0</v>
      </c>
      <c r="DI5" s="1">
        <f t="shared" ref="DI5" si="61">IF(DH5=1,1,DI4)</f>
        <v>0</v>
      </c>
      <c r="DJ5" s="1">
        <f t="shared" ref="DJ5" si="62">IF(DI5=1,1,DJ4)</f>
        <v>0</v>
      </c>
      <c r="DK5" s="1">
        <f t="shared" ref="DK5" si="63">IF(DJ5=1,1,DK4)</f>
        <v>0</v>
      </c>
      <c r="DL5" s="1">
        <f t="shared" ref="DL5" si="64">IF(DK5=1,1,DL4)</f>
        <v>0</v>
      </c>
      <c r="DM5" s="1">
        <f t="shared" ref="DM5" si="65">IF(DL5=1,1,DM4)</f>
        <v>0</v>
      </c>
      <c r="DN5" s="1"/>
      <c r="DO5" s="1"/>
      <c r="DQ5" s="9"/>
      <c r="DT5" s="3" t="s">
        <v>369</v>
      </c>
      <c r="DU5" s="1">
        <f>DU4</f>
        <v>0</v>
      </c>
      <c r="DV5" s="1">
        <f>IF(DU5=1,1,DV4)</f>
        <v>0</v>
      </c>
      <c r="DW5" s="1">
        <f t="shared" ref="DW5" si="66">IF(DV5=1,1,DW4)</f>
        <v>0</v>
      </c>
      <c r="DX5" s="1">
        <f t="shared" ref="DX5" si="67">IF(DW5=1,1,DX4)</f>
        <v>0</v>
      </c>
      <c r="DY5" s="1">
        <f t="shared" ref="DY5" si="68">IF(DX5=1,1,DY4)</f>
        <v>0</v>
      </c>
      <c r="DZ5" s="1">
        <f t="shared" ref="DZ5" si="69">IF(DY5=1,1,DZ4)</f>
        <v>0</v>
      </c>
      <c r="EA5" s="1">
        <f t="shared" ref="EA5" si="70">IF(DZ5=1,1,EA4)</f>
        <v>0</v>
      </c>
      <c r="EB5" s="1">
        <f t="shared" ref="EB5" si="71">IF(EA5=1,1,EB4)</f>
        <v>0</v>
      </c>
      <c r="EC5" s="1">
        <f t="shared" ref="EC5" si="72">IF(EB5=1,1,EC4)</f>
        <v>0</v>
      </c>
      <c r="ED5" s="1"/>
      <c r="EE5" s="1"/>
      <c r="EG5" s="9"/>
      <c r="EJ5" s="3" t="s">
        <v>370</v>
      </c>
      <c r="EK5" s="1">
        <f>EK4</f>
        <v>0</v>
      </c>
      <c r="EL5" s="1">
        <f>IF(EK5=1,1,EL4)</f>
        <v>0</v>
      </c>
      <c r="EM5" s="1">
        <f t="shared" ref="EM5" si="73">IF(EL5=1,1,EM4)</f>
        <v>0</v>
      </c>
      <c r="EN5" s="1">
        <f t="shared" ref="EN5" si="74">IF(EM5=1,1,EN4)</f>
        <v>0</v>
      </c>
      <c r="EO5" s="1">
        <f t="shared" ref="EO5" si="75">IF(EN5=1,1,EO4)</f>
        <v>0</v>
      </c>
      <c r="EP5" s="1">
        <f t="shared" ref="EP5" si="76">IF(EO5=1,1,EP4)</f>
        <v>0</v>
      </c>
      <c r="EQ5" s="1">
        <f t="shared" ref="EQ5" si="77">IF(EP5=1,1,EQ4)</f>
        <v>0</v>
      </c>
      <c r="ER5" s="1">
        <f t="shared" ref="ER5" si="78">IF(EQ5=1,1,ER4)</f>
        <v>0</v>
      </c>
      <c r="ES5" s="1">
        <f t="shared" ref="ES5" si="79">IF(ER5=1,1,ES4)</f>
        <v>0</v>
      </c>
      <c r="ET5" s="1"/>
      <c r="EU5" s="1"/>
      <c r="EW5" s="9"/>
      <c r="EZ5" s="3" t="s">
        <v>371</v>
      </c>
      <c r="FA5" s="1">
        <f>FA4</f>
        <v>0</v>
      </c>
      <c r="FB5" s="1">
        <f>IF(FA5=1,1,FB4)</f>
        <v>0</v>
      </c>
      <c r="FC5" s="1">
        <f t="shared" ref="FC5" si="80">IF(FB5=1,1,FC4)</f>
        <v>0</v>
      </c>
      <c r="FD5" s="1">
        <f t="shared" ref="FD5" si="81">IF(FC5=1,1,FD4)</f>
        <v>0</v>
      </c>
      <c r="FE5" s="1">
        <f t="shared" ref="FE5" si="82">IF(FD5=1,1,FE4)</f>
        <v>0</v>
      </c>
      <c r="FF5" s="1">
        <f t="shared" ref="FF5" si="83">IF(FE5=1,1,FF4)</f>
        <v>0</v>
      </c>
      <c r="FG5" s="1">
        <f t="shared" ref="FG5" si="84">IF(FF5=1,1,FG4)</f>
        <v>0</v>
      </c>
      <c r="FH5" s="1">
        <f t="shared" ref="FH5" si="85">IF(FG5=1,1,FH4)</f>
        <v>0</v>
      </c>
      <c r="FI5" s="1">
        <f t="shared" ref="FI5" si="86">IF(FH5=1,1,FI4)</f>
        <v>0</v>
      </c>
      <c r="FJ5" s="1"/>
      <c r="FK5" s="1"/>
      <c r="FM5" s="9"/>
      <c r="FP5" s="3" t="s">
        <v>372</v>
      </c>
      <c r="FQ5" s="1">
        <f>FQ4</f>
        <v>0</v>
      </c>
      <c r="FR5" s="1">
        <f>IF(FQ5=1,1,FR4)</f>
        <v>0</v>
      </c>
      <c r="FS5" s="1">
        <f t="shared" ref="FS5" si="87">IF(FR5=1,1,FS4)</f>
        <v>0</v>
      </c>
      <c r="FT5" s="1">
        <f t="shared" ref="FT5" si="88">IF(FS5=1,1,FT4)</f>
        <v>0</v>
      </c>
      <c r="FU5" s="1">
        <f t="shared" ref="FU5" si="89">IF(FT5=1,1,FU4)</f>
        <v>0</v>
      </c>
      <c r="FV5" s="1">
        <f t="shared" ref="FV5" si="90">IF(FU5=1,1,FV4)</f>
        <v>0</v>
      </c>
      <c r="FW5" s="1">
        <f t="shared" ref="FW5" si="91">IF(FV5=1,1,FW4)</f>
        <v>0</v>
      </c>
      <c r="FX5" s="1">
        <f t="shared" ref="FX5" si="92">IF(FW5=1,1,FX4)</f>
        <v>0</v>
      </c>
      <c r="FY5" s="1">
        <f t="shared" ref="FY5" si="93">IF(FX5=1,1,FY4)</f>
        <v>0</v>
      </c>
      <c r="FZ5" s="1"/>
      <c r="GA5" s="1"/>
      <c r="GC5" s="9"/>
      <c r="GF5" s="3" t="s">
        <v>373</v>
      </c>
      <c r="GG5" s="1">
        <f>GG4</f>
        <v>0</v>
      </c>
      <c r="GH5" s="1">
        <f>IF(GG5=1,1,GH4)</f>
        <v>0</v>
      </c>
      <c r="GI5" s="1">
        <f t="shared" ref="GI5" si="94">IF(GH5=1,1,GI4)</f>
        <v>0</v>
      </c>
      <c r="GJ5" s="1">
        <f t="shared" ref="GJ5" si="95">IF(GI5=1,1,GJ4)</f>
        <v>0</v>
      </c>
      <c r="GK5" s="1">
        <f t="shared" ref="GK5" si="96">IF(GJ5=1,1,GK4)</f>
        <v>0</v>
      </c>
      <c r="GL5" s="1">
        <f t="shared" ref="GL5" si="97">IF(GK5=1,1,GL4)</f>
        <v>0</v>
      </c>
      <c r="GM5" s="1">
        <f t="shared" ref="GM5" si="98">IF(GL5=1,1,GM4)</f>
        <v>0</v>
      </c>
      <c r="GN5" s="1">
        <f t="shared" ref="GN5" si="99">IF(GM5=1,1,GN4)</f>
        <v>0</v>
      </c>
      <c r="GO5" s="1">
        <f t="shared" ref="GO5" si="100">IF(GN5=1,1,GO4)</f>
        <v>0</v>
      </c>
      <c r="GP5" s="1"/>
      <c r="GQ5" s="1"/>
      <c r="GS5" s="9"/>
      <c r="GV5" s="3" t="s">
        <v>374</v>
      </c>
      <c r="GW5" s="1">
        <f>GW4</f>
        <v>0</v>
      </c>
      <c r="GX5" s="1">
        <f>IF(GW5=1,1,GX4)</f>
        <v>0</v>
      </c>
      <c r="GY5" s="1">
        <f t="shared" ref="GY5" si="101">IF(GX5=1,1,GY4)</f>
        <v>0</v>
      </c>
      <c r="GZ5" s="1">
        <f t="shared" ref="GZ5" si="102">IF(GY5=1,1,GZ4)</f>
        <v>0</v>
      </c>
      <c r="HA5" s="1">
        <f t="shared" ref="HA5" si="103">IF(GZ5=1,1,HA4)</f>
        <v>0</v>
      </c>
      <c r="HB5" s="1">
        <f t="shared" ref="HB5" si="104">IF(HA5=1,1,HB4)</f>
        <v>0</v>
      </c>
      <c r="HC5" s="1">
        <f t="shared" ref="HC5" si="105">IF(HB5=1,1,HC4)</f>
        <v>0</v>
      </c>
      <c r="HD5" s="1">
        <f t="shared" ref="HD5" si="106">IF(HC5=1,1,HD4)</f>
        <v>0</v>
      </c>
      <c r="HE5" s="1">
        <f t="shared" ref="HE5" si="107">IF(HD5=1,1,HE4)</f>
        <v>0</v>
      </c>
      <c r="HF5" s="1"/>
      <c r="HG5" s="1"/>
      <c r="HH5" s="1"/>
      <c r="HI5" s="9"/>
      <c r="HK5" s="1"/>
      <c r="HL5" s="3" t="s">
        <v>375</v>
      </c>
      <c r="HM5" s="1">
        <f>HM4</f>
        <v>0</v>
      </c>
      <c r="HN5" s="1">
        <f>IF(HM5=1,1,HN4)</f>
        <v>0</v>
      </c>
      <c r="HO5" s="1">
        <f t="shared" ref="HO5" si="108">IF(HN5=1,1,HO4)</f>
        <v>0</v>
      </c>
      <c r="HP5" s="1">
        <f t="shared" ref="HP5" si="109">IF(HO5=1,1,HP4)</f>
        <v>0</v>
      </c>
      <c r="HQ5" s="1">
        <f t="shared" ref="HQ5" si="110">IF(HP5=1,1,HQ4)</f>
        <v>0</v>
      </c>
      <c r="HR5" s="1">
        <f t="shared" ref="HR5" si="111">IF(HQ5=1,1,HR4)</f>
        <v>0</v>
      </c>
      <c r="HS5" s="1">
        <f t="shared" ref="HS5" si="112">IF(HR5=1,1,HS4)</f>
        <v>0</v>
      </c>
      <c r="HT5" s="1">
        <f t="shared" ref="HT5" si="113">IF(HS5=1,1,HT4)</f>
        <v>0</v>
      </c>
      <c r="HU5" s="1">
        <f t="shared" ref="HU5" si="114">IF(HT5=1,1,HU4)</f>
        <v>0</v>
      </c>
      <c r="HV5" s="1"/>
      <c r="HW5" s="1"/>
      <c r="HX5" s="1"/>
      <c r="HY5" s="9"/>
      <c r="IA5" s="1"/>
      <c r="IB5" s="3" t="s">
        <v>376</v>
      </c>
      <c r="IC5" s="1">
        <f>IC4</f>
        <v>0</v>
      </c>
      <c r="ID5" s="1">
        <f>IF(IC5=1,1,ID4)</f>
        <v>0</v>
      </c>
      <c r="IE5" s="1">
        <f t="shared" ref="IE5" si="115">IF(ID5=1,1,IE4)</f>
        <v>0</v>
      </c>
      <c r="IF5" s="1">
        <f t="shared" ref="IF5" si="116">IF(IE5=1,1,IF4)</f>
        <v>0</v>
      </c>
      <c r="IG5" s="1">
        <f t="shared" ref="IG5" si="117">IF(IF5=1,1,IG4)</f>
        <v>0</v>
      </c>
      <c r="IH5" s="1">
        <f t="shared" ref="IH5" si="118">IF(IG5=1,1,IH4)</f>
        <v>0</v>
      </c>
      <c r="II5" s="1">
        <f t="shared" ref="II5" si="119">IF(IH5=1,1,II4)</f>
        <v>0</v>
      </c>
      <c r="IJ5" s="1">
        <f t="shared" ref="IJ5" si="120">IF(II5=1,1,IJ4)</f>
        <v>0</v>
      </c>
      <c r="IK5" s="1">
        <f t="shared" ref="IK5" si="121">IF(IJ5=1,1,IK4)</f>
        <v>0</v>
      </c>
      <c r="IL5" s="1"/>
      <c r="IM5" s="1"/>
      <c r="IO5" s="9"/>
      <c r="IR5" s="3" t="s">
        <v>377</v>
      </c>
      <c r="IS5" s="1">
        <f>IS4</f>
        <v>0</v>
      </c>
      <c r="IT5" s="1">
        <f>IF(IS5=1,1,IT4)</f>
        <v>0</v>
      </c>
      <c r="IU5" s="1">
        <f t="shared" ref="IU5" si="122">IF(IT5=1,1,IU4)</f>
        <v>0</v>
      </c>
      <c r="IV5" s="1">
        <f t="shared" ref="IV5" si="123">IF(IU5=1,1,IV4)</f>
        <v>0</v>
      </c>
      <c r="IW5" s="1">
        <f t="shared" ref="IW5" si="124">IF(IV5=1,1,IW4)</f>
        <v>0</v>
      </c>
      <c r="IX5" s="1">
        <f t="shared" ref="IX5" si="125">IF(IW5=1,1,IX4)</f>
        <v>0</v>
      </c>
      <c r="IY5" s="1">
        <f t="shared" ref="IY5" si="126">IF(IX5=1,1,IY4)</f>
        <v>0</v>
      </c>
      <c r="IZ5" s="1">
        <f t="shared" ref="IZ5" si="127">IF(IY5=1,1,IZ4)</f>
        <v>0</v>
      </c>
      <c r="JA5" s="1">
        <f t="shared" ref="JA5" si="128">IF(IZ5=1,1,JA4)</f>
        <v>0</v>
      </c>
      <c r="JB5" s="1"/>
      <c r="JC5" s="1"/>
      <c r="JE5" s="9"/>
      <c r="JH5" s="3" t="s">
        <v>378</v>
      </c>
      <c r="JI5" s="1">
        <f>JI4</f>
        <v>0</v>
      </c>
      <c r="JJ5" s="1">
        <f>IF(JI5=1,1,JJ4)</f>
        <v>0</v>
      </c>
      <c r="JK5" s="1">
        <f t="shared" ref="JK5" si="129">IF(JJ5=1,1,JK4)</f>
        <v>0</v>
      </c>
      <c r="JL5" s="1">
        <f t="shared" ref="JL5" si="130">IF(JK5=1,1,JL4)</f>
        <v>0</v>
      </c>
      <c r="JM5" s="1">
        <f t="shared" ref="JM5" si="131">IF(JL5=1,1,JM4)</f>
        <v>0</v>
      </c>
      <c r="JN5" s="1">
        <f t="shared" ref="JN5" si="132">IF(JM5=1,1,JN4)</f>
        <v>0</v>
      </c>
      <c r="JO5" s="1">
        <f t="shared" ref="JO5" si="133">IF(JN5=1,1,JO4)</f>
        <v>0</v>
      </c>
      <c r="JP5" s="1">
        <f t="shared" ref="JP5" si="134">IF(JO5=1,1,JP4)</f>
        <v>0</v>
      </c>
      <c r="JQ5" s="1">
        <f t="shared" ref="JQ5" si="135">IF(JP5=1,1,JQ4)</f>
        <v>0</v>
      </c>
      <c r="JR5" s="1"/>
      <c r="JS5" s="1"/>
      <c r="JU5" s="9"/>
      <c r="JX5" s="3" t="s">
        <v>379</v>
      </c>
      <c r="JY5" s="1">
        <f>JY4</f>
        <v>0</v>
      </c>
      <c r="JZ5" s="1">
        <f>IF(JY5=1,1,JZ4)</f>
        <v>0</v>
      </c>
      <c r="KA5" s="1">
        <f t="shared" ref="KA5" si="136">IF(JZ5=1,1,KA4)</f>
        <v>0</v>
      </c>
      <c r="KB5" s="1">
        <f t="shared" ref="KB5" si="137">IF(KA5=1,1,KB4)</f>
        <v>0</v>
      </c>
      <c r="KC5" s="1">
        <f t="shared" ref="KC5" si="138">IF(KB5=1,1,KC4)</f>
        <v>0</v>
      </c>
      <c r="KD5" s="1">
        <f t="shared" ref="KD5" si="139">IF(KC5=1,1,KD4)</f>
        <v>0</v>
      </c>
      <c r="KE5" s="1">
        <f t="shared" ref="KE5" si="140">IF(KD5=1,1,KE4)</f>
        <v>0</v>
      </c>
      <c r="KF5" s="1">
        <f t="shared" ref="KF5" si="141">IF(KE5=1,1,KF4)</f>
        <v>0</v>
      </c>
      <c r="KG5" s="1">
        <f t="shared" ref="KG5" si="142">IF(KF5=1,1,KG4)</f>
        <v>0</v>
      </c>
      <c r="KH5" s="1"/>
      <c r="KI5" s="1"/>
      <c r="KK5" s="9"/>
      <c r="KN5" s="3" t="s">
        <v>1602</v>
      </c>
      <c r="KO5" s="1">
        <f>KO4</f>
        <v>0</v>
      </c>
      <c r="KP5" s="1">
        <f>IF(KO5=1,1,KP4)</f>
        <v>0</v>
      </c>
      <c r="KQ5" s="1">
        <f t="shared" ref="KQ5" si="143">IF(KP5=1,1,KQ4)</f>
        <v>0</v>
      </c>
      <c r="KR5" s="1">
        <f t="shared" ref="KR5" si="144">IF(KQ5=1,1,KR4)</f>
        <v>0</v>
      </c>
      <c r="KS5" s="1">
        <f t="shared" ref="KS5" si="145">IF(KR5=1,1,KS4)</f>
        <v>0</v>
      </c>
      <c r="KT5" s="1">
        <f t="shared" ref="KT5" si="146">IF(KS5=1,1,KT4)</f>
        <v>0</v>
      </c>
      <c r="KU5" s="1">
        <f t="shared" ref="KU5" si="147">IF(KT5=1,1,KU4)</f>
        <v>0</v>
      </c>
      <c r="KV5" s="1">
        <f t="shared" ref="KV5" si="148">IF(KU5=1,1,KV4)</f>
        <v>0</v>
      </c>
      <c r="KW5" s="1">
        <f t="shared" ref="KW5" si="149">IF(KV5=1,1,KW4)</f>
        <v>0</v>
      </c>
      <c r="KX5" s="1"/>
      <c r="KY5" s="1"/>
      <c r="LA5" s="9"/>
      <c r="LD5" s="3" t="s">
        <v>1603</v>
      </c>
      <c r="LE5" s="1">
        <f>LE4</f>
        <v>0</v>
      </c>
      <c r="LF5" s="1">
        <f>IF(LE5=1,1,LF4)</f>
        <v>0</v>
      </c>
      <c r="LG5" s="1">
        <f t="shared" ref="LG5" si="150">IF(LF5=1,1,LG4)</f>
        <v>0</v>
      </c>
      <c r="LH5" s="1">
        <f t="shared" ref="LH5" si="151">IF(LG5=1,1,LH4)</f>
        <v>0</v>
      </c>
      <c r="LI5" s="1">
        <f t="shared" ref="LI5" si="152">IF(LH5=1,1,LI4)</f>
        <v>0</v>
      </c>
      <c r="LJ5" s="1">
        <f t="shared" ref="LJ5" si="153">IF(LI5=1,1,LJ4)</f>
        <v>0</v>
      </c>
      <c r="LK5" s="1">
        <f t="shared" ref="LK5" si="154">IF(LJ5=1,1,LK4)</f>
        <v>0</v>
      </c>
      <c r="LL5" s="1">
        <f t="shared" ref="LL5" si="155">IF(LK5=1,1,LL4)</f>
        <v>0</v>
      </c>
      <c r="LM5" s="1">
        <f t="shared" ref="LM5" si="156">IF(LL5=1,1,LM4)</f>
        <v>0</v>
      </c>
      <c r="LN5" s="1"/>
      <c r="LO5" s="1"/>
      <c r="LQ5" s="9"/>
      <c r="LT5" s="3" t="s">
        <v>1604</v>
      </c>
      <c r="LU5" s="1">
        <f>LU4</f>
        <v>0</v>
      </c>
      <c r="LV5" s="1">
        <f>IF(LU5=1,1,LV4)</f>
        <v>0</v>
      </c>
      <c r="LW5" s="1">
        <f t="shared" ref="LW5" si="157">IF(LV5=1,1,LW4)</f>
        <v>0</v>
      </c>
      <c r="LX5" s="1">
        <f t="shared" ref="LX5" si="158">IF(LW5=1,1,LX4)</f>
        <v>0</v>
      </c>
      <c r="LY5" s="1">
        <f t="shared" ref="LY5" si="159">IF(LX5=1,1,LY4)</f>
        <v>0</v>
      </c>
      <c r="LZ5" s="1">
        <f t="shared" ref="LZ5" si="160">IF(LY5=1,1,LZ4)</f>
        <v>0</v>
      </c>
      <c r="MA5" s="1">
        <f t="shared" ref="MA5" si="161">IF(LZ5=1,1,MA4)</f>
        <v>0</v>
      </c>
      <c r="MB5" s="1">
        <f t="shared" ref="MB5" si="162">IF(MA5=1,1,MB4)</f>
        <v>0</v>
      </c>
      <c r="MC5" s="1">
        <f t="shared" ref="MC5" si="163">IF(MB5=1,1,MC4)</f>
        <v>0</v>
      </c>
      <c r="MD5" s="1"/>
      <c r="ME5" s="1"/>
      <c r="MG5" s="9"/>
      <c r="MJ5" s="3" t="s">
        <v>1605</v>
      </c>
      <c r="MK5" s="1">
        <f>MK4</f>
        <v>0</v>
      </c>
      <c r="ML5" s="1">
        <f>IF(MK5=1,1,ML4)</f>
        <v>0</v>
      </c>
      <c r="MM5" s="1">
        <f t="shared" ref="MM5" si="164">IF(ML5=1,1,MM4)</f>
        <v>0</v>
      </c>
      <c r="MN5" s="1">
        <f t="shared" ref="MN5" si="165">IF(MM5=1,1,MN4)</f>
        <v>0</v>
      </c>
      <c r="MO5" s="1">
        <f t="shared" ref="MO5" si="166">IF(MN5=1,1,MO4)</f>
        <v>0</v>
      </c>
      <c r="MP5" s="1">
        <f t="shared" ref="MP5" si="167">IF(MO5=1,1,MP4)</f>
        <v>0</v>
      </c>
      <c r="MQ5" s="1">
        <f t="shared" ref="MQ5" si="168">IF(MP5=1,1,MQ4)</f>
        <v>0</v>
      </c>
      <c r="MR5" s="1">
        <f t="shared" ref="MR5" si="169">IF(MQ5=1,1,MR4)</f>
        <v>0</v>
      </c>
      <c r="MS5" s="1">
        <f t="shared" ref="MS5" si="170">IF(MR5=1,1,MS4)</f>
        <v>0</v>
      </c>
      <c r="MT5" s="1"/>
      <c r="MU5" s="1"/>
      <c r="MW5" s="9"/>
      <c r="MZ5" s="3" t="s">
        <v>1606</v>
      </c>
      <c r="NA5" s="1">
        <f>NA4</f>
        <v>0</v>
      </c>
      <c r="NB5" s="1">
        <f>IF(NA5=1,1,NB4)</f>
        <v>0</v>
      </c>
      <c r="NC5" s="1">
        <f t="shared" ref="NC5" si="171">IF(NB5=1,1,NC4)</f>
        <v>0</v>
      </c>
      <c r="ND5" s="1">
        <f t="shared" ref="ND5" si="172">IF(NC5=1,1,ND4)</f>
        <v>0</v>
      </c>
      <c r="NE5" s="1">
        <f t="shared" ref="NE5" si="173">IF(ND5=1,1,NE4)</f>
        <v>0</v>
      </c>
      <c r="NF5" s="1">
        <f t="shared" ref="NF5" si="174">IF(NE5=1,1,NF4)</f>
        <v>0</v>
      </c>
      <c r="NG5" s="1">
        <f t="shared" ref="NG5" si="175">IF(NF5=1,1,NG4)</f>
        <v>0</v>
      </c>
      <c r="NH5" s="1">
        <f t="shared" ref="NH5" si="176">IF(NG5=1,1,NH4)</f>
        <v>0</v>
      </c>
      <c r="NI5" s="1">
        <f t="shared" ref="NI5" si="177">IF(NH5=1,1,NI4)</f>
        <v>0</v>
      </c>
      <c r="NJ5" s="1"/>
      <c r="NK5" s="1"/>
      <c r="NM5" s="9"/>
      <c r="NP5" s="3" t="s">
        <v>1607</v>
      </c>
      <c r="NQ5" s="1">
        <f>NQ4</f>
        <v>0</v>
      </c>
      <c r="NR5" s="1">
        <f>IF(NQ5=1,1,NR4)</f>
        <v>0</v>
      </c>
      <c r="NS5" s="1">
        <f t="shared" ref="NS5" si="178">IF(NR5=1,1,NS4)</f>
        <v>0</v>
      </c>
      <c r="NT5" s="1">
        <f t="shared" ref="NT5" si="179">IF(NS5=1,1,NT4)</f>
        <v>0</v>
      </c>
      <c r="NU5" s="1">
        <f t="shared" ref="NU5" si="180">IF(NT5=1,1,NU4)</f>
        <v>0</v>
      </c>
      <c r="NV5" s="1">
        <f t="shared" ref="NV5" si="181">IF(NU5=1,1,NV4)</f>
        <v>0</v>
      </c>
      <c r="NW5" s="1">
        <f t="shared" ref="NW5" si="182">IF(NV5=1,1,NW4)</f>
        <v>0</v>
      </c>
      <c r="NX5" s="1">
        <f t="shared" ref="NX5" si="183">IF(NW5=1,1,NX4)</f>
        <v>0</v>
      </c>
      <c r="NY5" s="1">
        <f t="shared" ref="NY5" si="184">IF(NX5=1,1,NY4)</f>
        <v>0</v>
      </c>
      <c r="NZ5" s="1"/>
      <c r="OA5" s="1"/>
      <c r="OC5" s="9"/>
      <c r="OF5" s="3" t="s">
        <v>1601</v>
      </c>
      <c r="OG5" s="1">
        <f>OG4</f>
        <v>0</v>
      </c>
      <c r="OH5" s="1">
        <f>IF(OG5=1,1,OH4)</f>
        <v>0</v>
      </c>
      <c r="OI5" s="1">
        <f t="shared" ref="OI5" si="185">IF(OH5=1,1,OI4)</f>
        <v>0</v>
      </c>
      <c r="OJ5" s="1">
        <f t="shared" ref="OJ5" si="186">IF(OI5=1,1,OJ4)</f>
        <v>0</v>
      </c>
      <c r="OK5" s="1">
        <f t="shared" ref="OK5" si="187">IF(OJ5=1,1,OK4)</f>
        <v>0</v>
      </c>
      <c r="OL5" s="1">
        <f t="shared" ref="OL5" si="188">IF(OK5=1,1,OL4)</f>
        <v>0</v>
      </c>
      <c r="OM5" s="1">
        <f t="shared" ref="OM5" si="189">IF(OL5=1,1,OM4)</f>
        <v>0</v>
      </c>
      <c r="ON5" s="1">
        <f t="shared" ref="ON5" si="190">IF(OM5=1,1,ON4)</f>
        <v>0</v>
      </c>
      <c r="OO5" s="1">
        <f t="shared" ref="OO5" si="191">IF(ON5=1,1,OO4)</f>
        <v>0</v>
      </c>
      <c r="OP5" s="1"/>
      <c r="OQ5" s="1"/>
      <c r="OS5" s="9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91</v>
      </c>
      <c r="L6" t="s">
        <v>1951</v>
      </c>
      <c r="M6">
        <f>M5</f>
        <v>0</v>
      </c>
      <c r="N6">
        <f t="shared" ref="N6:S6" si="192">IF(AND(N5=1, M5=0), 1, 0)</f>
        <v>0</v>
      </c>
      <c r="O6">
        <f t="shared" si="192"/>
        <v>0</v>
      </c>
      <c r="P6">
        <f t="shared" si="192"/>
        <v>0</v>
      </c>
      <c r="Q6">
        <f t="shared" si="192"/>
        <v>0</v>
      </c>
      <c r="R6">
        <f t="shared" si="192"/>
        <v>0</v>
      </c>
      <c r="S6">
        <f t="shared" si="192"/>
        <v>0</v>
      </c>
      <c r="X6" s="3" t="s">
        <v>1437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1443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297</v>
      </c>
      <c r="BI6" s="1">
        <v>0</v>
      </c>
      <c r="BJ6" s="1">
        <f>IF(AND(BI4=1,BI5=1),1,IF(AND(BI4=0,BI5=1),3,0))</f>
        <v>0</v>
      </c>
      <c r="BK6" s="1">
        <f t="shared" ref="BK6:BQ6" si="193">IF(AND(BJ4=1,BJ5=1),1,IF(AND(BJ4=0,BJ5=1),3,0))</f>
        <v>0</v>
      </c>
      <c r="BL6" s="1">
        <f t="shared" si="193"/>
        <v>0</v>
      </c>
      <c r="BM6" s="1">
        <f t="shared" si="193"/>
        <v>0</v>
      </c>
      <c r="BN6" s="1">
        <f t="shared" si="193"/>
        <v>0</v>
      </c>
      <c r="BO6" s="1">
        <f t="shared" si="193"/>
        <v>0</v>
      </c>
      <c r="BP6" s="1">
        <f t="shared" si="193"/>
        <v>0</v>
      </c>
      <c r="BQ6" s="1">
        <f t="shared" si="193"/>
        <v>0</v>
      </c>
      <c r="BR6" s="1"/>
      <c r="BS6" s="1"/>
      <c r="BU6" s="9"/>
      <c r="BX6" s="3" t="s">
        <v>298</v>
      </c>
      <c r="BY6" s="1">
        <v>0</v>
      </c>
      <c r="BZ6" s="1">
        <f>IF(AND(BY4=1,BY5=1),1,IF(AND(BY4=0,BY5=1),3,0))</f>
        <v>0</v>
      </c>
      <c r="CA6" s="1">
        <f t="shared" ref="CA6" si="194">IF(AND(BZ4=1,BZ5=1),1,IF(AND(BZ4=0,BZ5=1),3,0))</f>
        <v>0</v>
      </c>
      <c r="CB6" s="1">
        <f t="shared" ref="CB6" si="195">IF(AND(CA4=1,CA5=1),1,IF(AND(CA4=0,CA5=1),3,0))</f>
        <v>0</v>
      </c>
      <c r="CC6" s="1">
        <f t="shared" ref="CC6" si="196">IF(AND(CB4=1,CB5=1),1,IF(AND(CB4=0,CB5=1),3,0))</f>
        <v>0</v>
      </c>
      <c r="CD6" s="1">
        <f t="shared" ref="CD6" si="197">IF(AND(CC4=1,CC5=1),1,IF(AND(CC4=0,CC5=1),3,0))</f>
        <v>0</v>
      </c>
      <c r="CE6" s="1">
        <f t="shared" ref="CE6" si="198">IF(AND(CD4=1,CD5=1),1,IF(AND(CD4=0,CD5=1),3,0))</f>
        <v>0</v>
      </c>
      <c r="CF6" s="1">
        <f t="shared" ref="CF6" si="199">IF(AND(CE4=1,CE5=1),1,IF(AND(CE4=0,CE5=1),3,0))</f>
        <v>0</v>
      </c>
      <c r="CG6" s="1">
        <f t="shared" ref="CG6" si="200">IF(AND(CF4=1,CF5=1),1,IF(AND(CF4=0,CF5=1),3,0))</f>
        <v>0</v>
      </c>
      <c r="CH6" s="1"/>
      <c r="CI6" s="1"/>
      <c r="CK6" s="9"/>
      <c r="CN6" s="3" t="s">
        <v>299</v>
      </c>
      <c r="CO6" s="1">
        <v>0</v>
      </c>
      <c r="CP6" s="1">
        <f>IF(AND(CO4=1,CO5=1),1,IF(AND(CO4=0,CO5=1),3,0))</f>
        <v>0</v>
      </c>
      <c r="CQ6" s="1">
        <f t="shared" ref="CQ6" si="201">IF(AND(CP4=1,CP5=1),1,IF(AND(CP4=0,CP5=1),3,0))</f>
        <v>0</v>
      </c>
      <c r="CR6" s="1">
        <f t="shared" ref="CR6" si="202">IF(AND(CQ4=1,CQ5=1),1,IF(AND(CQ4=0,CQ5=1),3,0))</f>
        <v>0</v>
      </c>
      <c r="CS6" s="1">
        <f t="shared" ref="CS6" si="203">IF(AND(CR4=1,CR5=1),1,IF(AND(CR4=0,CR5=1),3,0))</f>
        <v>0</v>
      </c>
      <c r="CT6" s="1">
        <f t="shared" ref="CT6" si="204">IF(AND(CS4=1,CS5=1),1,IF(AND(CS4=0,CS5=1),3,0))</f>
        <v>0</v>
      </c>
      <c r="CU6" s="1">
        <f t="shared" ref="CU6" si="205">IF(AND(CT4=1,CT5=1),1,IF(AND(CT4=0,CT5=1),3,0))</f>
        <v>0</v>
      </c>
      <c r="CV6" s="1">
        <f t="shared" ref="CV6" si="206">IF(AND(CU4=1,CU5=1),1,IF(AND(CU4=0,CU5=1),3,0))</f>
        <v>0</v>
      </c>
      <c r="CW6" s="1">
        <f t="shared" ref="CW6" si="207">IF(AND(CV4=1,CV5=1),1,IF(AND(CV4=0,CV5=1),3,0))</f>
        <v>0</v>
      </c>
      <c r="CX6" s="1"/>
      <c r="CY6" s="1"/>
      <c r="DA6" s="9"/>
      <c r="DD6" s="3" t="s">
        <v>300</v>
      </c>
      <c r="DE6" s="1">
        <v>0</v>
      </c>
      <c r="DF6" s="1">
        <f t="shared" ref="DF6:DG6" si="208">IF(AND(DE4=1,DE5=1),1,IF(AND(DE4=0,DE5=1),3,0))</f>
        <v>0</v>
      </c>
      <c r="DG6" s="1">
        <f t="shared" si="208"/>
        <v>0</v>
      </c>
      <c r="DH6" s="1">
        <f t="shared" ref="DH6" si="209">IF(AND(DG4=1,DG5=1),1,IF(AND(DG4=0,DG5=1),3,0))</f>
        <v>0</v>
      </c>
      <c r="DI6" s="1">
        <f t="shared" ref="DI6" si="210">IF(AND(DH4=1,DH5=1),1,IF(AND(DH4=0,DH5=1),3,0))</f>
        <v>0</v>
      </c>
      <c r="DJ6" s="1">
        <f t="shared" ref="DJ6" si="211">IF(AND(DI4=1,DI5=1),1,IF(AND(DI4=0,DI5=1),3,0))</f>
        <v>0</v>
      </c>
      <c r="DK6" s="1">
        <f t="shared" ref="DK6" si="212">IF(AND(DJ4=1,DJ5=1),1,IF(AND(DJ4=0,DJ5=1),3,0))</f>
        <v>0</v>
      </c>
      <c r="DL6" s="1">
        <f t="shared" ref="DL6" si="213">IF(AND(DK4=1,DK5=1),1,IF(AND(DK4=0,DK5=1),3,0))</f>
        <v>0</v>
      </c>
      <c r="DM6" s="1">
        <f t="shared" ref="DM6" si="214">IF(AND(DL4=1,DL5=1),1,IF(AND(DL4=0,DL5=1),3,0))</f>
        <v>0</v>
      </c>
      <c r="DN6" s="1"/>
      <c r="DO6" s="1"/>
      <c r="DQ6" s="9"/>
      <c r="DT6" s="3" t="s">
        <v>301</v>
      </c>
      <c r="DU6" s="1">
        <v>2</v>
      </c>
      <c r="DV6" s="1">
        <v>2</v>
      </c>
      <c r="DW6" s="1">
        <f t="shared" ref="DW6" si="215">IF(AND(DV4=1,DV5=1),1,IF(AND(DV4=0,DV5=1),3,0))</f>
        <v>0</v>
      </c>
      <c r="DX6" s="1">
        <f t="shared" ref="DX6" si="216">IF(AND(DW4=1,DW5=1),1,IF(AND(DW4=0,DW5=1),3,0))</f>
        <v>0</v>
      </c>
      <c r="DY6" s="1">
        <f t="shared" ref="DY6" si="217">IF(AND(DX4=1,DX5=1),1,IF(AND(DX4=0,DX5=1),3,0))</f>
        <v>0</v>
      </c>
      <c r="DZ6" s="1">
        <f t="shared" ref="DZ6" si="218">IF(AND(DY4=1,DY5=1),1,IF(AND(DY4=0,DY5=1),3,0))</f>
        <v>0</v>
      </c>
      <c r="EA6" s="1">
        <f t="shared" ref="EA6" si="219">IF(AND(DZ4=1,DZ5=1),1,IF(AND(DZ4=0,DZ5=1),3,0))</f>
        <v>0</v>
      </c>
      <c r="EB6" s="1">
        <f t="shared" ref="EB6" si="220">IF(AND(EA4=1,EA5=1),1,IF(AND(EA4=0,EA5=1),3,0))</f>
        <v>0</v>
      </c>
      <c r="EC6" s="1">
        <f t="shared" ref="EC6" si="221">IF(AND(EB4=1,EB5=1),1,IF(AND(EB4=0,EB5=1),3,0))</f>
        <v>0</v>
      </c>
      <c r="ED6" s="1"/>
      <c r="EE6" s="1"/>
      <c r="EG6" s="9"/>
      <c r="EJ6" s="3" t="s">
        <v>302</v>
      </c>
      <c r="EK6" s="1">
        <v>2</v>
      </c>
      <c r="EL6" s="1">
        <v>2</v>
      </c>
      <c r="EM6" s="1">
        <f t="shared" ref="EM6:EN6" si="222">IF(AND(EL4=1,EL5=1),1,IF(AND(EL4=0,EL5=1),3,0))</f>
        <v>0</v>
      </c>
      <c r="EN6" s="1">
        <f t="shared" si="222"/>
        <v>0</v>
      </c>
      <c r="EO6" s="1">
        <f t="shared" ref="EO6" si="223">IF(AND(EN4=1,EN5=1),1,IF(AND(EN4=0,EN5=1),3,0))</f>
        <v>0</v>
      </c>
      <c r="EP6" s="1">
        <f t="shared" ref="EP6" si="224">IF(AND(EO4=1,EO5=1),1,IF(AND(EO4=0,EO5=1),3,0))</f>
        <v>0</v>
      </c>
      <c r="EQ6" s="1">
        <f t="shared" ref="EQ6" si="225">IF(AND(EP4=1,EP5=1),1,IF(AND(EP4=0,EP5=1),3,0))</f>
        <v>0</v>
      </c>
      <c r="ER6" s="1">
        <f t="shared" ref="ER6" si="226">IF(AND(EQ4=1,EQ5=1),1,IF(AND(EQ4=0,EQ5=1),3,0))</f>
        <v>0</v>
      </c>
      <c r="ES6" s="1">
        <f t="shared" ref="ES6" si="227">IF(AND(ER4=1,ER5=1),1,IF(AND(ER4=0,ER5=1),3,0))</f>
        <v>0</v>
      </c>
      <c r="ET6" s="1"/>
      <c r="EU6" s="1"/>
      <c r="EW6" s="9"/>
      <c r="EZ6" s="3" t="s">
        <v>303</v>
      </c>
      <c r="FA6" s="1">
        <v>2</v>
      </c>
      <c r="FB6" s="1">
        <v>2</v>
      </c>
      <c r="FC6" s="1">
        <v>2</v>
      </c>
      <c r="FD6" s="1">
        <f t="shared" ref="FD6:FE6" si="228">IF(AND(FC4=1,FC5=1),1,IF(AND(FC4=0,FC5=1),3,0))</f>
        <v>0</v>
      </c>
      <c r="FE6" s="1">
        <f t="shared" si="228"/>
        <v>0</v>
      </c>
      <c r="FF6" s="1">
        <f t="shared" ref="FF6" si="229">IF(AND(FE4=1,FE5=1),1,IF(AND(FE4=0,FE5=1),3,0))</f>
        <v>0</v>
      </c>
      <c r="FG6" s="1">
        <f t="shared" ref="FG6" si="230">IF(AND(FF4=1,FF5=1),1,IF(AND(FF4=0,FF5=1),3,0))</f>
        <v>0</v>
      </c>
      <c r="FH6" s="1">
        <f t="shared" ref="FH6" si="231">IF(AND(FG4=1,FG5=1),1,IF(AND(FG4=0,FG5=1),3,0))</f>
        <v>0</v>
      </c>
      <c r="FI6" s="1">
        <f t="shared" ref="FI6" si="232">IF(AND(FH4=1,FH5=1),1,IF(AND(FH4=0,FH5=1),3,0))</f>
        <v>0</v>
      </c>
      <c r="FJ6" s="1"/>
      <c r="FK6" s="1"/>
      <c r="FM6" s="9"/>
      <c r="FP6" s="3" t="s">
        <v>304</v>
      </c>
      <c r="FQ6" s="1">
        <v>2</v>
      </c>
      <c r="FR6" s="1">
        <v>2</v>
      </c>
      <c r="FS6" s="1">
        <v>2</v>
      </c>
      <c r="FT6" s="1">
        <f t="shared" ref="FT6:FU6" si="233">IF(AND(FS4=1,FS5=1),1,IF(AND(FS4=0,FS5=1),3,0))</f>
        <v>0</v>
      </c>
      <c r="FU6" s="1">
        <f t="shared" si="233"/>
        <v>0</v>
      </c>
      <c r="FV6" s="1">
        <f t="shared" ref="FV6" si="234">IF(AND(FU4=1,FU5=1),1,IF(AND(FU4=0,FU5=1),3,0))</f>
        <v>0</v>
      </c>
      <c r="FW6" s="1">
        <f t="shared" ref="FW6" si="235">IF(AND(FV4=1,FV5=1),1,IF(AND(FV4=0,FV5=1),3,0))</f>
        <v>0</v>
      </c>
      <c r="FX6" s="1">
        <f t="shared" ref="FX6" si="236">IF(AND(FW4=1,FW5=1),1,IF(AND(FW4=0,FW5=1),3,0))</f>
        <v>0</v>
      </c>
      <c r="FY6" s="1">
        <f t="shared" ref="FY6" si="237">IF(AND(FX4=1,FX5=1),1,IF(AND(FX4=0,FX5=1),3,0))</f>
        <v>0</v>
      </c>
      <c r="FZ6" s="1"/>
      <c r="GA6" s="1"/>
      <c r="GC6" s="9"/>
      <c r="GF6" s="3" t="s">
        <v>305</v>
      </c>
      <c r="GG6" s="1">
        <v>2</v>
      </c>
      <c r="GH6" s="1">
        <v>2</v>
      </c>
      <c r="GI6" s="1">
        <v>2</v>
      </c>
      <c r="GJ6" s="1">
        <v>2</v>
      </c>
      <c r="GK6" s="1">
        <f t="shared" ref="GK6" si="238">IF(AND(GJ4=1,GJ5=1),1,IF(AND(GJ4=0,GJ5=1),3,0))</f>
        <v>0</v>
      </c>
      <c r="GL6" s="1">
        <f t="shared" ref="GL6" si="239">IF(AND(GK4=1,GK5=1),1,IF(AND(GK4=0,GK5=1),3,0))</f>
        <v>0</v>
      </c>
      <c r="GM6" s="1">
        <f t="shared" ref="GM6" si="240">IF(AND(GL4=1,GL5=1),1,IF(AND(GL4=0,GL5=1),3,0))</f>
        <v>0</v>
      </c>
      <c r="GN6" s="1">
        <f t="shared" ref="GN6" si="241">IF(AND(GM4=1,GM5=1),1,IF(AND(GM4=0,GM5=1),3,0))</f>
        <v>0</v>
      </c>
      <c r="GO6" s="1">
        <f t="shared" ref="GO6" si="242">IF(AND(GN4=1,GN5=1),1,IF(AND(GN4=0,GN5=1),3,0))</f>
        <v>0</v>
      </c>
      <c r="GP6" s="1"/>
      <c r="GQ6" s="1"/>
      <c r="GS6" s="9"/>
      <c r="GV6" s="3" t="s">
        <v>306</v>
      </c>
      <c r="GW6" s="1">
        <v>2</v>
      </c>
      <c r="GX6" s="1">
        <v>2</v>
      </c>
      <c r="GY6" s="1">
        <v>2</v>
      </c>
      <c r="GZ6" s="1">
        <v>2</v>
      </c>
      <c r="HA6" s="1">
        <f t="shared" ref="HA6" si="243">IF(AND(GZ4=1,GZ5=1),1,IF(AND(GZ4=0,GZ5=1),3,0))</f>
        <v>0</v>
      </c>
      <c r="HB6" s="1">
        <f t="shared" ref="HB6" si="244">IF(AND(HA4=1,HA5=1),1,IF(AND(HA4=0,HA5=1),3,0))</f>
        <v>0</v>
      </c>
      <c r="HC6" s="1">
        <f t="shared" ref="HC6" si="245">IF(AND(HB4=1,HB5=1),1,IF(AND(HB4=0,HB5=1),3,0))</f>
        <v>0</v>
      </c>
      <c r="HD6" s="1">
        <f t="shared" ref="HD6" si="246">IF(AND(HC4=1,HC5=1),1,IF(AND(HC4=0,HC5=1),3,0))</f>
        <v>0</v>
      </c>
      <c r="HE6" s="1">
        <f t="shared" ref="HE6" si="247">IF(AND(HD4=1,HD5=1),1,IF(AND(HD4=0,HD5=1),3,0))</f>
        <v>0</v>
      </c>
      <c r="HF6" s="1"/>
      <c r="HG6" s="1"/>
      <c r="HH6" s="1"/>
      <c r="HI6" s="9"/>
      <c r="HK6" s="1"/>
      <c r="HL6" s="3" t="s">
        <v>307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" si="248">IF(AND(HQ4=1,HQ5=1),1,IF(AND(HQ4=0,HQ5=1),3,0))</f>
        <v>0</v>
      </c>
      <c r="HS6" s="1">
        <f t="shared" ref="HS6" si="249">IF(AND(HR4=1,HR5=1),1,IF(AND(HR4=0,HR5=1),3,0))</f>
        <v>0</v>
      </c>
      <c r="HT6" s="1">
        <f t="shared" ref="HT6" si="250">IF(AND(HS4=1,HS5=1),1,IF(AND(HS4=0,HS5=1),3,0))</f>
        <v>0</v>
      </c>
      <c r="HU6" s="1">
        <f t="shared" ref="HU6" si="251">IF(AND(HT4=1,HT5=1),1,IF(AND(HT4=0,HT5=1),3,0))</f>
        <v>0</v>
      </c>
      <c r="HV6" s="1"/>
      <c r="HW6" s="1"/>
      <c r="HX6" s="1"/>
      <c r="HY6" s="9"/>
      <c r="IA6" s="1"/>
      <c r="IB6" s="3" t="s">
        <v>308</v>
      </c>
      <c r="IC6" s="1">
        <v>2</v>
      </c>
      <c r="ID6" s="1">
        <v>2</v>
      </c>
      <c r="IE6" s="1">
        <v>2</v>
      </c>
      <c r="IF6" s="1">
        <f t="shared" ref="IF6" si="252">IF(AND(IE4=1,IE5=1),1,IF(AND(IE4=0,IE5=1),3,0))</f>
        <v>0</v>
      </c>
      <c r="IG6" s="1">
        <f t="shared" ref="IG6" si="253">IF(AND(IF4=1,IF5=1),1,IF(AND(IF4=0,IF5=1),3,0))</f>
        <v>0</v>
      </c>
      <c r="IH6" s="1">
        <f t="shared" ref="IH6" si="254">IF(AND(IG4=1,IG5=1),1,IF(AND(IG4=0,IG5=1),3,0))</f>
        <v>0</v>
      </c>
      <c r="II6" s="1">
        <f t="shared" ref="II6" si="255">IF(AND(IH4=1,IH5=1),1,IF(AND(IH4=0,IH5=1),3,0))</f>
        <v>0</v>
      </c>
      <c r="IJ6" s="1">
        <f t="shared" ref="IJ6" si="256">IF(AND(II4=1,II5=1),1,IF(AND(II4=0,II5=1),3,0))</f>
        <v>0</v>
      </c>
      <c r="IK6" s="1">
        <f t="shared" ref="IK6" si="257">IF(AND(IJ4=1,IJ5=1),1,IF(AND(IJ4=0,IJ5=1),3,0))</f>
        <v>0</v>
      </c>
      <c r="IL6" s="1"/>
      <c r="IM6" s="1"/>
      <c r="IO6" s="9"/>
      <c r="IR6" s="3" t="s">
        <v>309</v>
      </c>
      <c r="IS6" s="1">
        <v>2</v>
      </c>
      <c r="IT6" s="1">
        <v>2</v>
      </c>
      <c r="IU6" s="1">
        <v>2</v>
      </c>
      <c r="IV6" s="1">
        <f t="shared" ref="IV6" si="258">IF(AND(IU4=1,IU5=1),1,IF(AND(IU4=0,IU5=1),3,0))</f>
        <v>0</v>
      </c>
      <c r="IW6" s="1">
        <f t="shared" ref="IW6" si="259">IF(AND(IV4=1,IV5=1),1,IF(AND(IV4=0,IV5=1),3,0))</f>
        <v>0</v>
      </c>
      <c r="IX6" s="1">
        <f t="shared" ref="IX6" si="260">IF(AND(IW4=1,IW5=1),1,IF(AND(IW4=0,IW5=1),3,0))</f>
        <v>0</v>
      </c>
      <c r="IY6" s="1">
        <f t="shared" ref="IY6" si="261">IF(AND(IX4=1,IX5=1),1,IF(AND(IX4=0,IX5=1),3,0))</f>
        <v>0</v>
      </c>
      <c r="IZ6" s="1">
        <f t="shared" ref="IZ6" si="262">IF(AND(IY4=1,IY5=1),1,IF(AND(IY4=0,IY5=1),3,0))</f>
        <v>0</v>
      </c>
      <c r="JA6" s="1">
        <f t="shared" ref="JA6" si="263">IF(AND(IZ4=1,IZ5=1),1,IF(AND(IZ4=0,IZ5=1),3,0))</f>
        <v>0</v>
      </c>
      <c r="JB6" s="1"/>
      <c r="JC6" s="1"/>
      <c r="JE6" s="9"/>
      <c r="JH6" s="3" t="s">
        <v>310</v>
      </c>
      <c r="JI6" s="1">
        <v>2</v>
      </c>
      <c r="JJ6" s="1">
        <v>2</v>
      </c>
      <c r="JK6" s="1">
        <v>2</v>
      </c>
      <c r="JL6" s="1">
        <v>2</v>
      </c>
      <c r="JM6" s="1">
        <f t="shared" ref="JM6" si="264">IF(AND(JL4=1,JL5=1),1,IF(AND(JL4=0,JL5=1),3,0))</f>
        <v>0</v>
      </c>
      <c r="JN6" s="1">
        <f t="shared" ref="JN6" si="265">IF(AND(JM4=1,JM5=1),1,IF(AND(JM4=0,JM5=1),3,0))</f>
        <v>0</v>
      </c>
      <c r="JO6" s="1">
        <f t="shared" ref="JO6" si="266">IF(AND(JN4=1,JN5=1),1,IF(AND(JN4=0,JN5=1),3,0))</f>
        <v>0</v>
      </c>
      <c r="JP6" s="1">
        <f t="shared" ref="JP6" si="267">IF(AND(JO4=1,JO5=1),1,IF(AND(JO4=0,JO5=1),3,0))</f>
        <v>0</v>
      </c>
      <c r="JQ6" s="1">
        <f t="shared" ref="JQ6" si="268">IF(AND(JP4=1,JP5=1),1,IF(AND(JP4=0,JP5=1),3,0))</f>
        <v>0</v>
      </c>
      <c r="JR6" s="1"/>
      <c r="JS6" s="1"/>
      <c r="JU6" s="9"/>
      <c r="JX6" s="3" t="s">
        <v>311</v>
      </c>
      <c r="JY6" s="1">
        <v>2</v>
      </c>
      <c r="JZ6" s="1">
        <v>2</v>
      </c>
      <c r="KA6" s="1">
        <v>2</v>
      </c>
      <c r="KB6" s="1">
        <v>2</v>
      </c>
      <c r="KC6" s="1">
        <f t="shared" ref="KC6" si="269">IF(AND(KB4=1,KB5=1),1,IF(AND(KB4=0,KB5=1),3,0))</f>
        <v>0</v>
      </c>
      <c r="KD6" s="1">
        <f t="shared" ref="KD6" si="270">IF(AND(KC4=1,KC5=1),1,IF(AND(KC4=0,KC5=1),3,0))</f>
        <v>0</v>
      </c>
      <c r="KE6" s="1">
        <f t="shared" ref="KE6" si="271">IF(AND(KD4=1,KD5=1),1,IF(AND(KD4=0,KD5=1),3,0))</f>
        <v>0</v>
      </c>
      <c r="KF6" s="1">
        <f t="shared" ref="KF6" si="272">IF(AND(KE4=1,KE5=1),1,IF(AND(KE4=0,KE5=1),3,0))</f>
        <v>0</v>
      </c>
      <c r="KG6" s="1">
        <f t="shared" ref="KG6" si="273">IF(AND(KF4=1,KF5=1),1,IF(AND(KF4=0,KF5=1),3,0))</f>
        <v>0</v>
      </c>
      <c r="KH6" s="1"/>
      <c r="KI6" s="1"/>
      <c r="KK6" s="9"/>
      <c r="KN6" s="3" t="s">
        <v>312</v>
      </c>
      <c r="KO6" s="1">
        <v>0</v>
      </c>
      <c r="KP6" s="1">
        <f>IF(AND(KO4=1,KO5=1),1,IF(AND(KO4=0,KO5=1),3,0))</f>
        <v>0</v>
      </c>
      <c r="KQ6" s="1">
        <f t="shared" ref="KQ6" si="274">IF(AND(KP4=1,KP5=1),1,IF(AND(KP4=0,KP5=1),3,0))</f>
        <v>0</v>
      </c>
      <c r="KR6" s="1">
        <f t="shared" ref="KR6" si="275">IF(AND(KQ4=1,KQ5=1),1,IF(AND(KQ4=0,KQ5=1),3,0))</f>
        <v>0</v>
      </c>
      <c r="KS6" s="1">
        <f t="shared" ref="KS6" si="276">IF(AND(KR4=1,KR5=1),1,IF(AND(KR4=0,KR5=1),3,0))</f>
        <v>0</v>
      </c>
      <c r="KT6" s="1">
        <f t="shared" ref="KT6" si="277">IF(AND(KS4=1,KS5=1),1,IF(AND(KS4=0,KS5=1),3,0))</f>
        <v>0</v>
      </c>
      <c r="KU6" s="1">
        <f t="shared" ref="KU6" si="278">IF(AND(KT4=1,KT5=1),1,IF(AND(KT4=0,KT5=1),3,0))</f>
        <v>0</v>
      </c>
      <c r="KV6" s="1">
        <f t="shared" ref="KV6" si="279">IF(AND(KU4=1,KU5=1),1,IF(AND(KU4=0,KU5=1),3,0))</f>
        <v>0</v>
      </c>
      <c r="KW6" s="1">
        <f t="shared" ref="KW6" si="280">IF(AND(KV4=1,KV5=1),1,IF(AND(KV4=0,KV5=1),3,0))</f>
        <v>0</v>
      </c>
      <c r="KX6" s="1"/>
      <c r="KY6" s="1"/>
      <c r="LA6" s="9"/>
      <c r="LD6" s="3" t="s">
        <v>313</v>
      </c>
      <c r="LE6" s="1">
        <v>0</v>
      </c>
      <c r="LF6" s="1">
        <f>IF(AND(LE4=1,LE5=1),1,IF(AND(LE4=0,LE5=1),3,0))</f>
        <v>0</v>
      </c>
      <c r="LG6" s="1">
        <f t="shared" ref="LG6" si="281">IF(AND(LF4=1,LF5=1),1,IF(AND(LF4=0,LF5=1),3,0))</f>
        <v>0</v>
      </c>
      <c r="LH6" s="1">
        <f t="shared" ref="LH6" si="282">IF(AND(LG4=1,LG5=1),1,IF(AND(LG4=0,LG5=1),3,0))</f>
        <v>0</v>
      </c>
      <c r="LI6" s="1">
        <f t="shared" ref="LI6" si="283">IF(AND(LH4=1,LH5=1),1,IF(AND(LH4=0,LH5=1),3,0))</f>
        <v>0</v>
      </c>
      <c r="LJ6" s="1">
        <f t="shared" ref="LJ6" si="284">IF(AND(LI4=1,LI5=1),1,IF(AND(LI4=0,LI5=1),3,0))</f>
        <v>0</v>
      </c>
      <c r="LK6" s="1">
        <f t="shared" ref="LK6" si="285">IF(AND(LJ4=1,LJ5=1),1,IF(AND(LJ4=0,LJ5=1),3,0))</f>
        <v>0</v>
      </c>
      <c r="LL6" s="1">
        <f t="shared" ref="LL6" si="286">IF(AND(LK4=1,LK5=1),1,IF(AND(LK4=0,LK5=1),3,0))</f>
        <v>0</v>
      </c>
      <c r="LM6" s="1">
        <f t="shared" ref="LM6" si="287">IF(AND(LL4=1,LL5=1),1,IF(AND(LL4=0,LL5=1),3,0))</f>
        <v>0</v>
      </c>
      <c r="LN6" s="1"/>
      <c r="LO6" s="1"/>
      <c r="LQ6" s="9"/>
      <c r="LT6" s="3" t="s">
        <v>314</v>
      </c>
      <c r="LU6" s="1">
        <v>0</v>
      </c>
      <c r="LV6" s="1">
        <f>IF(AND(LU4=1,LU5=1),1,IF(AND(LU4=0,LU5=1),3,0))</f>
        <v>0</v>
      </c>
      <c r="LW6" s="1">
        <f t="shared" ref="LW6" si="288">IF(AND(LV4=1,LV5=1),1,IF(AND(LV4=0,LV5=1),3,0))</f>
        <v>0</v>
      </c>
      <c r="LX6" s="1">
        <f t="shared" ref="LX6" si="289">IF(AND(LW4=1,LW5=1),1,IF(AND(LW4=0,LW5=1),3,0))</f>
        <v>0</v>
      </c>
      <c r="LY6" s="1">
        <f t="shared" ref="LY6" si="290">IF(AND(LX4=1,LX5=1),1,IF(AND(LX4=0,LX5=1),3,0))</f>
        <v>0</v>
      </c>
      <c r="LZ6" s="1">
        <f t="shared" ref="LZ6" si="291">IF(AND(LY4=1,LY5=1),1,IF(AND(LY4=0,LY5=1),3,0))</f>
        <v>0</v>
      </c>
      <c r="MA6" s="1">
        <f t="shared" ref="MA6" si="292">IF(AND(LZ4=1,LZ5=1),1,IF(AND(LZ4=0,LZ5=1),3,0))</f>
        <v>0</v>
      </c>
      <c r="MB6" s="1">
        <f t="shared" ref="MB6" si="293">IF(AND(MA4=1,MA5=1),1,IF(AND(MA4=0,MA5=1),3,0))</f>
        <v>0</v>
      </c>
      <c r="MC6" s="1">
        <f t="shared" ref="MC6" si="294">IF(AND(MB4=1,MB5=1),1,IF(AND(MB4=0,MB5=1),3,0))</f>
        <v>0</v>
      </c>
      <c r="MD6" s="1"/>
      <c r="ME6" s="1"/>
      <c r="MG6" s="9"/>
      <c r="MJ6" s="3" t="s">
        <v>315</v>
      </c>
      <c r="MK6" s="1">
        <v>0</v>
      </c>
      <c r="ML6" s="1">
        <f>IF(AND(MK4=1,MK5=1),1,IF(AND(MK4=0,MK5=1),3,0))</f>
        <v>0</v>
      </c>
      <c r="MM6" s="1">
        <f t="shared" ref="MM6" si="295">IF(AND(ML4=1,ML5=1),1,IF(AND(ML4=0,ML5=1),3,0))</f>
        <v>0</v>
      </c>
      <c r="MN6" s="1">
        <f t="shared" ref="MN6" si="296">IF(AND(MM4=1,MM5=1),1,IF(AND(MM4=0,MM5=1),3,0))</f>
        <v>0</v>
      </c>
      <c r="MO6" s="1">
        <f t="shared" ref="MO6" si="297">IF(AND(MN4=1,MN5=1),1,IF(AND(MN4=0,MN5=1),3,0))</f>
        <v>0</v>
      </c>
      <c r="MP6" s="1">
        <f t="shared" ref="MP6" si="298">IF(AND(MO4=1,MO5=1),1,IF(AND(MO4=0,MO5=1),3,0))</f>
        <v>0</v>
      </c>
      <c r="MQ6" s="1">
        <f t="shared" ref="MQ6" si="299">IF(AND(MP4=1,MP5=1),1,IF(AND(MP4=0,MP5=1),3,0))</f>
        <v>0</v>
      </c>
      <c r="MR6" s="1">
        <f t="shared" ref="MR6" si="300">IF(AND(MQ4=1,MQ5=1),1,IF(AND(MQ4=0,MQ5=1),3,0))</f>
        <v>0</v>
      </c>
      <c r="MS6" s="1">
        <f t="shared" ref="MS6" si="301">IF(AND(MR4=1,MR5=1),1,IF(AND(MR4=0,MR5=1),3,0))</f>
        <v>0</v>
      </c>
      <c r="MT6" s="1"/>
      <c r="MU6" s="1"/>
      <c r="MW6" s="9"/>
      <c r="MZ6" s="3" t="s">
        <v>316</v>
      </c>
      <c r="NA6" s="1">
        <v>0</v>
      </c>
      <c r="NB6" s="1">
        <f>IF(AND(NA4=1,NA5=1),1,IF(AND(NA4=0,NA5=1),3,0))</f>
        <v>0</v>
      </c>
      <c r="NC6" s="1">
        <f t="shared" ref="NC6" si="302">IF(AND(NB4=1,NB5=1),1,IF(AND(NB4=0,NB5=1),3,0))</f>
        <v>0</v>
      </c>
      <c r="ND6" s="1">
        <f t="shared" ref="ND6" si="303">IF(AND(NC4=1,NC5=1),1,IF(AND(NC4=0,NC5=1),3,0))</f>
        <v>0</v>
      </c>
      <c r="NE6" s="1">
        <f t="shared" ref="NE6" si="304">IF(AND(ND4=1,ND5=1),1,IF(AND(ND4=0,ND5=1),3,0))</f>
        <v>0</v>
      </c>
      <c r="NF6" s="1">
        <f t="shared" ref="NF6" si="305">IF(AND(NE4=1,NE5=1),1,IF(AND(NE4=0,NE5=1),3,0))</f>
        <v>0</v>
      </c>
      <c r="NG6" s="1">
        <f t="shared" ref="NG6" si="306">IF(AND(NF4=1,NF5=1),1,IF(AND(NF4=0,NF5=1),3,0))</f>
        <v>0</v>
      </c>
      <c r="NH6" s="1">
        <f t="shared" ref="NH6" si="307">IF(AND(NG4=1,NG5=1),1,IF(AND(NG4=0,NG5=1),3,0))</f>
        <v>0</v>
      </c>
      <c r="NI6" s="1">
        <f t="shared" ref="NI6" si="308">IF(AND(NH4=1,NH5=1),1,IF(AND(NH4=0,NH5=1),3,0))</f>
        <v>0</v>
      </c>
      <c r="NJ6" s="1"/>
      <c r="NK6" s="1"/>
      <c r="NM6" s="9"/>
      <c r="NP6" s="3" t="s">
        <v>317</v>
      </c>
      <c r="NQ6" s="1">
        <v>0</v>
      </c>
      <c r="NR6" s="1">
        <f>IF(AND(NQ4=1,NQ5=1),1,IF(AND(NQ4=0,NQ5=1),3,0))</f>
        <v>0</v>
      </c>
      <c r="NS6" s="1">
        <f t="shared" ref="NS6" si="309">IF(AND(NR4=1,NR5=1),1,IF(AND(NR4=0,NR5=1),3,0))</f>
        <v>0</v>
      </c>
      <c r="NT6" s="1">
        <f t="shared" ref="NT6" si="310">IF(AND(NS4=1,NS5=1),1,IF(AND(NS4=0,NS5=1),3,0))</f>
        <v>0</v>
      </c>
      <c r="NU6" s="1">
        <f t="shared" ref="NU6" si="311">IF(AND(NT4=1,NT5=1),1,IF(AND(NT4=0,NT5=1),3,0))</f>
        <v>0</v>
      </c>
      <c r="NV6" s="1">
        <f t="shared" ref="NV6" si="312">IF(AND(NU4=1,NU5=1),1,IF(AND(NU4=0,NU5=1),3,0))</f>
        <v>0</v>
      </c>
      <c r="NW6" s="1">
        <f t="shared" ref="NW6" si="313">IF(AND(NV4=1,NV5=1),1,IF(AND(NV4=0,NV5=1),3,0))</f>
        <v>0</v>
      </c>
      <c r="NX6" s="1">
        <f t="shared" ref="NX6" si="314">IF(AND(NW4=1,NW5=1),1,IF(AND(NW4=0,NW5=1),3,0))</f>
        <v>0</v>
      </c>
      <c r="NY6" s="1">
        <f t="shared" ref="NY6" si="315">IF(AND(NX4=1,NX5=1),1,IF(AND(NX4=0,NX5=1),3,0))</f>
        <v>0</v>
      </c>
      <c r="NZ6" s="1"/>
      <c r="OA6" s="1"/>
      <c r="OC6" s="9"/>
      <c r="OF6" s="3" t="s">
        <v>318</v>
      </c>
      <c r="OG6" s="1">
        <v>0</v>
      </c>
      <c r="OH6" s="1">
        <f>IF(AND(OG4=1,OG5=1),1,IF(AND(OG4=0,OG5=1),3,0))</f>
        <v>0</v>
      </c>
      <c r="OI6" s="1">
        <f t="shared" ref="OI6" si="316">IF(AND(OH4=1,OH5=1),1,IF(AND(OH4=0,OH5=1),3,0))</f>
        <v>0</v>
      </c>
      <c r="OJ6" s="1">
        <f t="shared" ref="OJ6" si="317">IF(AND(OI4=1,OI5=1),1,IF(AND(OI4=0,OI5=1),3,0))</f>
        <v>0</v>
      </c>
      <c r="OK6" s="1">
        <f t="shared" ref="OK6" si="318">IF(AND(OJ4=1,OJ5=1),1,IF(AND(OJ4=0,OJ5=1),3,0))</f>
        <v>0</v>
      </c>
      <c r="OL6" s="1">
        <f t="shared" ref="OL6" si="319">IF(AND(OK4=1,OK5=1),1,IF(AND(OK4=0,OK5=1),3,0))</f>
        <v>0</v>
      </c>
      <c r="OM6" s="1">
        <f t="shared" ref="OM6" si="320">IF(AND(OL4=1,OL5=1),1,IF(AND(OL4=0,OL5=1),3,0))</f>
        <v>0</v>
      </c>
      <c r="ON6" s="1">
        <f t="shared" ref="ON6" si="321">IF(AND(OM4=1,OM5=1),1,IF(AND(OM4=0,OM5=1),3,0))</f>
        <v>0</v>
      </c>
      <c r="OO6" s="1">
        <f t="shared" ref="OO6" si="322">IF(AND(ON4=1,ON5=1),1,IF(AND(ON4=0,ON5=1),3,0))</f>
        <v>0</v>
      </c>
      <c r="OP6" s="1"/>
      <c r="OQ6" s="1"/>
      <c r="OS6" s="9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92</v>
      </c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93</v>
      </c>
      <c r="BI7" s="1">
        <v>0</v>
      </c>
      <c r="BJ7" s="1">
        <f>IF(AND(BI6=2,BJ6&lt;&gt;2),1,0)</f>
        <v>0</v>
      </c>
      <c r="BK7" s="1">
        <f t="shared" ref="BK7:BQ7" si="323">IF(AND(BJ6=2,BK6&lt;&gt;2),1,0)</f>
        <v>0</v>
      </c>
      <c r="BL7" s="1">
        <f t="shared" si="323"/>
        <v>0</v>
      </c>
      <c r="BM7" s="1">
        <f t="shared" si="323"/>
        <v>0</v>
      </c>
      <c r="BN7" s="1">
        <f t="shared" si="323"/>
        <v>0</v>
      </c>
      <c r="BO7" s="1">
        <f t="shared" si="323"/>
        <v>0</v>
      </c>
      <c r="BP7" s="1">
        <f t="shared" si="323"/>
        <v>0</v>
      </c>
      <c r="BQ7" s="1">
        <f t="shared" si="323"/>
        <v>0</v>
      </c>
      <c r="BR7" s="1"/>
      <c r="BS7" s="1"/>
      <c r="BU7" s="9"/>
      <c r="BX7" s="3" t="s">
        <v>94</v>
      </c>
      <c r="BY7" s="1">
        <v>0</v>
      </c>
      <c r="BZ7" s="1">
        <f>IF(AND(BY6=2,BZ6&lt;&gt;2),1,0)</f>
        <v>0</v>
      </c>
      <c r="CA7" s="1">
        <f t="shared" ref="CA7:CG7" si="324">IF(AND(BZ6=2,CA6&lt;&gt;2),1,0)</f>
        <v>0</v>
      </c>
      <c r="CB7" s="1">
        <f t="shared" si="324"/>
        <v>0</v>
      </c>
      <c r="CC7" s="1">
        <f t="shared" si="324"/>
        <v>0</v>
      </c>
      <c r="CD7" s="1">
        <f t="shared" si="324"/>
        <v>0</v>
      </c>
      <c r="CE7" s="1">
        <f t="shared" si="324"/>
        <v>0</v>
      </c>
      <c r="CF7" s="1">
        <f t="shared" si="324"/>
        <v>0</v>
      </c>
      <c r="CG7" s="1">
        <f t="shared" si="324"/>
        <v>0</v>
      </c>
      <c r="CH7" s="1"/>
      <c r="CI7" s="1"/>
      <c r="CK7" s="9"/>
      <c r="CN7" s="3" t="s">
        <v>95</v>
      </c>
      <c r="CO7" s="1">
        <v>0</v>
      </c>
      <c r="CP7" s="1">
        <f>IF(AND(CO6=2,CP6&lt;&gt;2),1,0)</f>
        <v>0</v>
      </c>
      <c r="CQ7" s="1">
        <f t="shared" ref="CQ7:CW7" si="325">IF(AND(CP6=2,CQ6&lt;&gt;2),1,0)</f>
        <v>0</v>
      </c>
      <c r="CR7" s="1">
        <f t="shared" si="325"/>
        <v>0</v>
      </c>
      <c r="CS7" s="1">
        <f t="shared" si="325"/>
        <v>0</v>
      </c>
      <c r="CT7" s="1">
        <f t="shared" si="325"/>
        <v>0</v>
      </c>
      <c r="CU7" s="1">
        <f t="shared" si="325"/>
        <v>0</v>
      </c>
      <c r="CV7" s="1">
        <f t="shared" si="325"/>
        <v>0</v>
      </c>
      <c r="CW7" s="1">
        <f t="shared" si="325"/>
        <v>0</v>
      </c>
      <c r="CX7" s="1"/>
      <c r="CY7" s="1"/>
      <c r="DA7" s="9"/>
      <c r="DD7" s="3" t="s">
        <v>96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326">IF(AND(DG6=2,DH6&lt;&gt;2),1,0)</f>
        <v>0</v>
      </c>
      <c r="DI7" s="1">
        <f t="shared" si="326"/>
        <v>0</v>
      </c>
      <c r="DJ7" s="1">
        <f t="shared" si="326"/>
        <v>0</v>
      </c>
      <c r="DK7" s="1">
        <f t="shared" si="326"/>
        <v>0</v>
      </c>
      <c r="DL7" s="1">
        <f t="shared" si="326"/>
        <v>0</v>
      </c>
      <c r="DM7" s="1">
        <f t="shared" si="326"/>
        <v>0</v>
      </c>
      <c r="DN7" s="1"/>
      <c r="DO7" s="1"/>
      <c r="DQ7" s="9"/>
      <c r="DT7" s="3" t="s">
        <v>97</v>
      </c>
      <c r="DU7" s="1">
        <v>0</v>
      </c>
      <c r="DV7" s="1">
        <f>IF(AND(DU6=2,DV6&lt;&gt;2),1,0)</f>
        <v>0</v>
      </c>
      <c r="DW7" s="1">
        <f t="shared" ref="DW7:EC7" si="327">IF(AND(DV6=2,DW6&lt;&gt;2),1,0)</f>
        <v>1</v>
      </c>
      <c r="DX7" s="1">
        <f t="shared" si="327"/>
        <v>0</v>
      </c>
      <c r="DY7" s="1">
        <f t="shared" si="327"/>
        <v>0</v>
      </c>
      <c r="DZ7" s="1">
        <f t="shared" si="327"/>
        <v>0</v>
      </c>
      <c r="EA7" s="1">
        <f t="shared" si="327"/>
        <v>0</v>
      </c>
      <c r="EB7" s="1">
        <f t="shared" si="327"/>
        <v>0</v>
      </c>
      <c r="EC7" s="1">
        <f t="shared" si="327"/>
        <v>0</v>
      </c>
      <c r="ED7" s="1"/>
      <c r="EE7" s="1"/>
      <c r="EG7" s="9"/>
      <c r="EJ7" s="3" t="s">
        <v>98</v>
      </c>
      <c r="EK7" s="1">
        <v>0</v>
      </c>
      <c r="EL7" s="1">
        <f>IF(AND(EK6=2,EL6&lt;&gt;2),1,0)</f>
        <v>0</v>
      </c>
      <c r="EM7" s="1">
        <f t="shared" ref="EM7:ES7" si="328">IF(AND(EL6=2,EM6&lt;&gt;2),1,0)</f>
        <v>1</v>
      </c>
      <c r="EN7" s="1">
        <f t="shared" si="328"/>
        <v>0</v>
      </c>
      <c r="EO7" s="1">
        <f t="shared" si="328"/>
        <v>0</v>
      </c>
      <c r="EP7" s="1">
        <f t="shared" si="328"/>
        <v>0</v>
      </c>
      <c r="EQ7" s="1">
        <f t="shared" si="328"/>
        <v>0</v>
      </c>
      <c r="ER7" s="1">
        <f t="shared" si="328"/>
        <v>0</v>
      </c>
      <c r="ES7" s="1">
        <f t="shared" si="328"/>
        <v>0</v>
      </c>
      <c r="ET7" s="1"/>
      <c r="EU7" s="1"/>
      <c r="EW7" s="9"/>
      <c r="EZ7" s="3" t="s">
        <v>99</v>
      </c>
      <c r="FA7" s="1">
        <v>0</v>
      </c>
      <c r="FB7" s="1">
        <f>IF(AND(FA6=2,FB6&lt;&gt;2),1,0)</f>
        <v>0</v>
      </c>
      <c r="FC7" s="1">
        <f t="shared" ref="FC7:FI7" si="329">IF(AND(FB6=2,FC6&lt;&gt;2),1,0)</f>
        <v>0</v>
      </c>
      <c r="FD7" s="1">
        <f t="shared" si="329"/>
        <v>1</v>
      </c>
      <c r="FE7" s="1">
        <f t="shared" si="329"/>
        <v>0</v>
      </c>
      <c r="FF7" s="1">
        <f t="shared" si="329"/>
        <v>0</v>
      </c>
      <c r="FG7" s="1">
        <f t="shared" si="329"/>
        <v>0</v>
      </c>
      <c r="FH7" s="1">
        <f t="shared" si="329"/>
        <v>0</v>
      </c>
      <c r="FI7" s="1">
        <f t="shared" si="329"/>
        <v>0</v>
      </c>
      <c r="FJ7" s="1"/>
      <c r="FK7" s="1"/>
      <c r="FM7" s="9"/>
      <c r="FP7" s="3" t="s">
        <v>100</v>
      </c>
      <c r="FQ7" s="1">
        <v>0</v>
      </c>
      <c r="FR7" s="1">
        <f>IF(AND(FQ6=2,FR6&lt;&gt;2),1,0)</f>
        <v>0</v>
      </c>
      <c r="FS7" s="1">
        <f t="shared" ref="FS7:FY7" si="330">IF(AND(FR6=2,FS6&lt;&gt;2),1,0)</f>
        <v>0</v>
      </c>
      <c r="FT7" s="1">
        <f t="shared" si="330"/>
        <v>1</v>
      </c>
      <c r="FU7" s="1">
        <f t="shared" si="330"/>
        <v>0</v>
      </c>
      <c r="FV7" s="1">
        <f t="shared" si="330"/>
        <v>0</v>
      </c>
      <c r="FW7" s="1">
        <f t="shared" si="330"/>
        <v>0</v>
      </c>
      <c r="FX7" s="1">
        <f t="shared" si="330"/>
        <v>0</v>
      </c>
      <c r="FY7" s="1">
        <f t="shared" si="330"/>
        <v>0</v>
      </c>
      <c r="FZ7" s="1"/>
      <c r="GA7" s="1"/>
      <c r="GC7" s="9"/>
      <c r="GF7" s="3" t="s">
        <v>101</v>
      </c>
      <c r="GG7" s="1">
        <v>0</v>
      </c>
      <c r="GH7" s="1">
        <f>IF(AND(GG6=2,GH6&lt;&gt;2),1,0)</f>
        <v>0</v>
      </c>
      <c r="GI7" s="1">
        <f t="shared" ref="GI7:GO7" si="331">IF(AND(GH6=2,GI6&lt;&gt;2),1,0)</f>
        <v>0</v>
      </c>
      <c r="GJ7" s="1">
        <f t="shared" si="331"/>
        <v>0</v>
      </c>
      <c r="GK7" s="1">
        <f t="shared" si="331"/>
        <v>1</v>
      </c>
      <c r="GL7" s="1">
        <f t="shared" si="331"/>
        <v>0</v>
      </c>
      <c r="GM7" s="1">
        <f t="shared" si="331"/>
        <v>0</v>
      </c>
      <c r="GN7" s="1">
        <f t="shared" si="331"/>
        <v>0</v>
      </c>
      <c r="GO7" s="1">
        <f t="shared" si="331"/>
        <v>0</v>
      </c>
      <c r="GP7" s="1"/>
      <c r="GQ7" s="1"/>
      <c r="GS7" s="9"/>
      <c r="GV7" s="3" t="s">
        <v>102</v>
      </c>
      <c r="GW7" s="1">
        <v>0</v>
      </c>
      <c r="GX7" s="1">
        <f>IF(AND(GW6=2,GX6&lt;&gt;2),1,0)</f>
        <v>0</v>
      </c>
      <c r="GY7" s="1">
        <f t="shared" ref="GY7:HE7" si="332">IF(AND(GX6=2,GY6&lt;&gt;2),1,0)</f>
        <v>0</v>
      </c>
      <c r="GZ7" s="1">
        <f t="shared" si="332"/>
        <v>0</v>
      </c>
      <c r="HA7" s="1">
        <f t="shared" si="332"/>
        <v>1</v>
      </c>
      <c r="HB7" s="1">
        <f t="shared" si="332"/>
        <v>0</v>
      </c>
      <c r="HC7" s="1">
        <f t="shared" si="332"/>
        <v>0</v>
      </c>
      <c r="HD7" s="1">
        <f t="shared" si="332"/>
        <v>0</v>
      </c>
      <c r="HE7" s="1">
        <f t="shared" si="332"/>
        <v>0</v>
      </c>
      <c r="HF7" s="1"/>
      <c r="HG7" s="1"/>
      <c r="HH7" s="1"/>
      <c r="HI7" s="9"/>
      <c r="HK7" s="1"/>
      <c r="HL7" s="3" t="s">
        <v>103</v>
      </c>
      <c r="HM7" s="1">
        <v>0</v>
      </c>
      <c r="HN7" s="1">
        <f>IF(AND(HM6=2,HN6&lt;&gt;2),1,0)</f>
        <v>0</v>
      </c>
      <c r="HO7" s="1">
        <f t="shared" ref="HO7:HU7" si="333">IF(AND(HN6=2,HO6&lt;&gt;2),1,0)</f>
        <v>0</v>
      </c>
      <c r="HP7" s="1">
        <f t="shared" si="333"/>
        <v>0</v>
      </c>
      <c r="HQ7" s="1">
        <f t="shared" si="333"/>
        <v>0</v>
      </c>
      <c r="HR7" s="1">
        <f t="shared" si="333"/>
        <v>1</v>
      </c>
      <c r="HS7" s="1">
        <f t="shared" si="333"/>
        <v>0</v>
      </c>
      <c r="HT7" s="1">
        <f t="shared" si="333"/>
        <v>0</v>
      </c>
      <c r="HU7" s="1">
        <f t="shared" si="333"/>
        <v>0</v>
      </c>
      <c r="HV7" s="1"/>
      <c r="HW7" s="1"/>
      <c r="HX7" s="1"/>
      <c r="HY7" s="9"/>
      <c r="IA7" s="1"/>
      <c r="IB7" s="3" t="s">
        <v>104</v>
      </c>
      <c r="IC7" s="1">
        <v>0</v>
      </c>
      <c r="ID7" s="1">
        <f>IF(AND(IC6=2,ID6&lt;&gt;2),1,0)</f>
        <v>0</v>
      </c>
      <c r="IE7" s="1">
        <f t="shared" ref="IE7:IK7" si="334">IF(AND(ID6=2,IE6&lt;&gt;2),1,0)</f>
        <v>0</v>
      </c>
      <c r="IF7" s="1">
        <f t="shared" si="334"/>
        <v>1</v>
      </c>
      <c r="IG7" s="1">
        <f t="shared" si="334"/>
        <v>0</v>
      </c>
      <c r="IH7" s="1">
        <f t="shared" si="334"/>
        <v>0</v>
      </c>
      <c r="II7" s="1">
        <f t="shared" si="334"/>
        <v>0</v>
      </c>
      <c r="IJ7" s="1">
        <f t="shared" si="334"/>
        <v>0</v>
      </c>
      <c r="IK7" s="1">
        <f t="shared" si="334"/>
        <v>0</v>
      </c>
      <c r="IL7" s="1"/>
      <c r="IM7" s="1"/>
      <c r="IO7" s="9"/>
      <c r="IR7" s="3" t="s">
        <v>105</v>
      </c>
      <c r="IS7" s="1">
        <v>0</v>
      </c>
      <c r="IT7" s="1">
        <f>IF(AND(IS6=2,IT6&lt;&gt;2),1,0)</f>
        <v>0</v>
      </c>
      <c r="IU7" s="1">
        <f t="shared" ref="IU7:JA7" si="335">IF(AND(IT6=2,IU6&lt;&gt;2),1,0)</f>
        <v>0</v>
      </c>
      <c r="IV7" s="1">
        <f t="shared" si="335"/>
        <v>1</v>
      </c>
      <c r="IW7" s="1">
        <f t="shared" si="335"/>
        <v>0</v>
      </c>
      <c r="IX7" s="1">
        <f t="shared" si="335"/>
        <v>0</v>
      </c>
      <c r="IY7" s="1">
        <f t="shared" si="335"/>
        <v>0</v>
      </c>
      <c r="IZ7" s="1">
        <f t="shared" si="335"/>
        <v>0</v>
      </c>
      <c r="JA7" s="1">
        <f t="shared" si="335"/>
        <v>0</v>
      </c>
      <c r="JB7" s="1"/>
      <c r="JC7" s="1"/>
      <c r="JE7" s="9"/>
      <c r="JH7" s="3" t="s">
        <v>106</v>
      </c>
      <c r="JI7" s="1">
        <v>0</v>
      </c>
      <c r="JJ7" s="1">
        <f>IF(AND(JI6=2,JJ6&lt;&gt;2),1,0)</f>
        <v>0</v>
      </c>
      <c r="JK7" s="1">
        <f t="shared" ref="JK7" si="336">IF(AND(JJ6=2,JK6&lt;&gt;2),1,0)</f>
        <v>0</v>
      </c>
      <c r="JL7" s="1">
        <f t="shared" ref="JL7" si="337">IF(AND(JK6=2,JL6&lt;&gt;2),1,0)</f>
        <v>0</v>
      </c>
      <c r="JM7" s="1">
        <f t="shared" ref="JM7" si="338">IF(AND(JL6=2,JM6&lt;&gt;2),1,0)</f>
        <v>1</v>
      </c>
      <c r="JN7" s="1">
        <f t="shared" ref="JN7" si="339">IF(AND(JM6=2,JN6&lt;&gt;2),1,0)</f>
        <v>0</v>
      </c>
      <c r="JO7" s="1">
        <f t="shared" ref="JO7" si="340">IF(AND(JN6=2,JO6&lt;&gt;2),1,0)</f>
        <v>0</v>
      </c>
      <c r="JP7" s="1">
        <f t="shared" ref="JP7" si="341">IF(AND(JO6=2,JP6&lt;&gt;2),1,0)</f>
        <v>0</v>
      </c>
      <c r="JQ7" s="1">
        <f t="shared" ref="JQ7" si="342">IF(AND(JP6=2,JQ6&lt;&gt;2),1,0)</f>
        <v>0</v>
      </c>
      <c r="JR7" s="1"/>
      <c r="JS7" s="1"/>
      <c r="JU7" s="9"/>
      <c r="JX7" s="3" t="s">
        <v>107</v>
      </c>
      <c r="JY7" s="1">
        <v>0</v>
      </c>
      <c r="JZ7" s="1">
        <f>IF(AND(JY6=2,JZ6&lt;&gt;2),1,0)</f>
        <v>0</v>
      </c>
      <c r="KA7" s="1">
        <f t="shared" ref="KA7" si="343">IF(AND(JZ6=2,KA6&lt;&gt;2),1,0)</f>
        <v>0</v>
      </c>
      <c r="KB7" s="1">
        <f t="shared" ref="KB7" si="344">IF(AND(KA6=2,KB6&lt;&gt;2),1,0)</f>
        <v>0</v>
      </c>
      <c r="KC7" s="1">
        <f t="shared" ref="KC7" si="345">IF(AND(KB6=2,KC6&lt;&gt;2),1,0)</f>
        <v>1</v>
      </c>
      <c r="KD7" s="1">
        <f t="shared" ref="KD7" si="346">IF(AND(KC6=2,KD6&lt;&gt;2),1,0)</f>
        <v>0</v>
      </c>
      <c r="KE7" s="1">
        <f t="shared" ref="KE7" si="347">IF(AND(KD6=2,KE6&lt;&gt;2),1,0)</f>
        <v>0</v>
      </c>
      <c r="KF7" s="1">
        <f t="shared" ref="KF7" si="348">IF(AND(KE6=2,KF6&lt;&gt;2),1,0)</f>
        <v>0</v>
      </c>
      <c r="KG7" s="1">
        <f t="shared" ref="KG7" si="349">IF(AND(KF6=2,KG6&lt;&gt;2),1,0)</f>
        <v>0</v>
      </c>
      <c r="KH7" s="1"/>
      <c r="KI7" s="1"/>
      <c r="KK7" s="9"/>
      <c r="KN7" s="3" t="s">
        <v>108</v>
      </c>
      <c r="KO7" s="1">
        <v>0</v>
      </c>
      <c r="KP7" s="1">
        <f>IF(AND(KO6=2,KP6&lt;&gt;2),1,0)</f>
        <v>0</v>
      </c>
      <c r="KQ7" s="1">
        <f t="shared" ref="KQ7:KW7" si="350">IF(AND(KP6=2,KQ6&lt;&gt;2),1,0)</f>
        <v>0</v>
      </c>
      <c r="KR7" s="1">
        <f t="shared" si="350"/>
        <v>0</v>
      </c>
      <c r="KS7" s="1">
        <f t="shared" si="350"/>
        <v>0</v>
      </c>
      <c r="KT7" s="1">
        <f t="shared" si="350"/>
        <v>0</v>
      </c>
      <c r="KU7" s="1">
        <f t="shared" si="350"/>
        <v>0</v>
      </c>
      <c r="KV7" s="1">
        <f t="shared" si="350"/>
        <v>0</v>
      </c>
      <c r="KW7" s="1">
        <f t="shared" si="350"/>
        <v>0</v>
      </c>
      <c r="KX7" s="1"/>
      <c r="KY7" s="1"/>
      <c r="LA7" s="9"/>
      <c r="LD7" s="3" t="s">
        <v>109</v>
      </c>
      <c r="LE7" s="1">
        <v>0</v>
      </c>
      <c r="LF7" s="1">
        <f>IF(AND(LE6=2,LF6&lt;&gt;2),1,0)</f>
        <v>0</v>
      </c>
      <c r="LG7" s="1">
        <f t="shared" ref="LG7:LM7" si="351">IF(AND(LF6=2,LG6&lt;&gt;2),1,0)</f>
        <v>0</v>
      </c>
      <c r="LH7" s="1">
        <f t="shared" si="351"/>
        <v>0</v>
      </c>
      <c r="LI7" s="1">
        <f t="shared" si="351"/>
        <v>0</v>
      </c>
      <c r="LJ7" s="1">
        <f t="shared" si="351"/>
        <v>0</v>
      </c>
      <c r="LK7" s="1">
        <f t="shared" si="351"/>
        <v>0</v>
      </c>
      <c r="LL7" s="1">
        <f t="shared" si="351"/>
        <v>0</v>
      </c>
      <c r="LM7" s="1">
        <f t="shared" si="351"/>
        <v>0</v>
      </c>
      <c r="LN7" s="1"/>
      <c r="LO7" s="1"/>
      <c r="LQ7" s="9"/>
      <c r="LT7" s="3" t="s">
        <v>110</v>
      </c>
      <c r="LU7" s="1">
        <v>0</v>
      </c>
      <c r="LV7" s="1">
        <f>IF(AND(LU6=2,LV6&lt;&gt;2),1,0)</f>
        <v>0</v>
      </c>
      <c r="LW7" s="1">
        <f t="shared" ref="LW7:MC7" si="352">IF(AND(LV6=2,LW6&lt;&gt;2),1,0)</f>
        <v>0</v>
      </c>
      <c r="LX7" s="1">
        <f t="shared" si="352"/>
        <v>0</v>
      </c>
      <c r="LY7" s="1">
        <f t="shared" si="352"/>
        <v>0</v>
      </c>
      <c r="LZ7" s="1">
        <f t="shared" si="352"/>
        <v>0</v>
      </c>
      <c r="MA7" s="1">
        <f t="shared" si="352"/>
        <v>0</v>
      </c>
      <c r="MB7" s="1">
        <f t="shared" si="352"/>
        <v>0</v>
      </c>
      <c r="MC7" s="1">
        <f t="shared" si="352"/>
        <v>0</v>
      </c>
      <c r="MD7" s="1"/>
      <c r="ME7" s="1"/>
      <c r="MG7" s="9"/>
      <c r="MJ7" s="3" t="s">
        <v>111</v>
      </c>
      <c r="MK7" s="1">
        <v>0</v>
      </c>
      <c r="ML7" s="1">
        <f>IF(AND(MK6=2,ML6&lt;&gt;2),1,0)</f>
        <v>0</v>
      </c>
      <c r="MM7" s="1">
        <f t="shared" ref="MM7:MS7" si="353">IF(AND(ML6=2,MM6&lt;&gt;2),1,0)</f>
        <v>0</v>
      </c>
      <c r="MN7" s="1">
        <f t="shared" si="353"/>
        <v>0</v>
      </c>
      <c r="MO7" s="1">
        <f t="shared" si="353"/>
        <v>0</v>
      </c>
      <c r="MP7" s="1">
        <f t="shared" si="353"/>
        <v>0</v>
      </c>
      <c r="MQ7" s="1">
        <f t="shared" si="353"/>
        <v>0</v>
      </c>
      <c r="MR7" s="1">
        <f t="shared" si="353"/>
        <v>0</v>
      </c>
      <c r="MS7" s="1">
        <f t="shared" si="353"/>
        <v>0</v>
      </c>
      <c r="MT7" s="1"/>
      <c r="MU7" s="1"/>
      <c r="MW7" s="9"/>
      <c r="MZ7" s="3" t="s">
        <v>112</v>
      </c>
      <c r="NA7" s="1">
        <v>0</v>
      </c>
      <c r="NB7" s="1">
        <f>IF(AND(NA6=2,NB6&lt;&gt;2),1,0)</f>
        <v>0</v>
      </c>
      <c r="NC7" s="1">
        <f t="shared" ref="NC7:NI7" si="354">IF(AND(NB6=2,NC6&lt;&gt;2),1,0)</f>
        <v>0</v>
      </c>
      <c r="ND7" s="1">
        <f t="shared" si="354"/>
        <v>0</v>
      </c>
      <c r="NE7" s="1">
        <f t="shared" si="354"/>
        <v>0</v>
      </c>
      <c r="NF7" s="1">
        <f t="shared" si="354"/>
        <v>0</v>
      </c>
      <c r="NG7" s="1">
        <f t="shared" si="354"/>
        <v>0</v>
      </c>
      <c r="NH7" s="1">
        <f t="shared" si="354"/>
        <v>0</v>
      </c>
      <c r="NI7" s="1">
        <f t="shared" si="354"/>
        <v>0</v>
      </c>
      <c r="NJ7" s="1"/>
      <c r="NK7" s="1"/>
      <c r="NM7" s="9"/>
      <c r="NP7" s="3" t="s">
        <v>113</v>
      </c>
      <c r="NQ7" s="1">
        <v>0</v>
      </c>
      <c r="NR7" s="1">
        <f>IF(AND(NQ6=2,NR6&lt;&gt;2),1,0)</f>
        <v>0</v>
      </c>
      <c r="NS7" s="1">
        <f t="shared" ref="NS7:NY7" si="355">IF(AND(NR6=2,NS6&lt;&gt;2),1,0)</f>
        <v>0</v>
      </c>
      <c r="NT7" s="1">
        <f t="shared" si="355"/>
        <v>0</v>
      </c>
      <c r="NU7" s="1">
        <f t="shared" si="355"/>
        <v>0</v>
      </c>
      <c r="NV7" s="1">
        <f t="shared" si="355"/>
        <v>0</v>
      </c>
      <c r="NW7" s="1">
        <f t="shared" si="355"/>
        <v>0</v>
      </c>
      <c r="NX7" s="1">
        <f t="shared" si="355"/>
        <v>0</v>
      </c>
      <c r="NY7" s="1">
        <f t="shared" si="355"/>
        <v>0</v>
      </c>
      <c r="NZ7" s="1"/>
      <c r="OA7" s="1"/>
      <c r="OC7" s="9"/>
      <c r="OF7" s="3" t="s">
        <v>114</v>
      </c>
      <c r="OG7" s="1">
        <v>0</v>
      </c>
      <c r="OH7" s="1">
        <f>IF(AND(OG6=2,OH6&lt;&gt;2),1,0)</f>
        <v>0</v>
      </c>
      <c r="OI7" s="1">
        <f t="shared" ref="OI7:OO7" si="356">IF(AND(OH6=2,OI6&lt;&gt;2),1,0)</f>
        <v>0</v>
      </c>
      <c r="OJ7" s="1">
        <f t="shared" si="356"/>
        <v>0</v>
      </c>
      <c r="OK7" s="1">
        <f t="shared" si="356"/>
        <v>0</v>
      </c>
      <c r="OL7" s="1">
        <f t="shared" si="356"/>
        <v>0</v>
      </c>
      <c r="OM7" s="1">
        <f t="shared" si="356"/>
        <v>0</v>
      </c>
      <c r="ON7" s="1">
        <f t="shared" si="356"/>
        <v>0</v>
      </c>
      <c r="OO7" s="1">
        <f t="shared" si="356"/>
        <v>0</v>
      </c>
      <c r="OP7" s="1"/>
      <c r="OQ7" s="1"/>
      <c r="OS7" s="9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115</v>
      </c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4"/>
      <c r="AS8" s="4"/>
      <c r="AT8" s="4"/>
      <c r="AU8" s="4"/>
      <c r="AV8" s="4"/>
      <c r="AW8" s="4"/>
      <c r="AX8" s="4"/>
      <c r="AY8" s="4"/>
      <c r="AZ8" s="4"/>
      <c r="BA8" s="4"/>
      <c r="BH8" s="3" t="s">
        <v>116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9"/>
      <c r="BX8" s="3" t="s">
        <v>117</v>
      </c>
      <c r="BY8" s="1">
        <v>0</v>
      </c>
      <c r="BZ8" s="4">
        <f>IF(BZ7=1,Results!C5+1,BY8)</f>
        <v>0</v>
      </c>
      <c r="CA8" s="4">
        <f>IF(CA7=1,Results!D5+1,BZ8)</f>
        <v>0</v>
      </c>
      <c r="CB8" s="4">
        <f>IF(CB7=1,Results!E5+1,CA8)</f>
        <v>0</v>
      </c>
      <c r="CC8" s="4">
        <f>IF(CC7=1,Results!F5+1,CB8)</f>
        <v>0</v>
      </c>
      <c r="CD8" s="4">
        <f>IF(CD7=1,Results!G5+1,CC8)</f>
        <v>0</v>
      </c>
      <c r="CE8" s="4">
        <f>IF(CE7=1,Results!H5+1,CD8)</f>
        <v>0</v>
      </c>
      <c r="CF8" s="4">
        <f>IF(CF7=1,Results!I5+1,CE8)</f>
        <v>0</v>
      </c>
      <c r="CG8" s="4">
        <f>IF(CG7=1,Results!J5+1,CF8)</f>
        <v>0</v>
      </c>
      <c r="CH8" s="4"/>
      <c r="CI8" s="4"/>
      <c r="CK8" s="9"/>
      <c r="CN8" s="3" t="s">
        <v>118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9"/>
      <c r="DD8" s="3" t="s">
        <v>119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9"/>
      <c r="DT8" s="3" t="s">
        <v>120</v>
      </c>
      <c r="DU8" s="1">
        <v>0</v>
      </c>
      <c r="DV8" s="4">
        <f>IF(DV7=1,Results!C5+1,DU8)</f>
        <v>0</v>
      </c>
      <c r="DW8" s="4">
        <f>IF(DW7=1,Results!D5+1,DV8)</f>
        <v>3</v>
      </c>
      <c r="DX8" s="4">
        <f>IF(DX7=1,Results!E5+1,DW8)</f>
        <v>3</v>
      </c>
      <c r="DY8" s="4">
        <f>IF(DY7=1,Results!F5+1,DX8)</f>
        <v>3</v>
      </c>
      <c r="DZ8" s="4">
        <f>IF(DZ7=1,Results!G5+1,DY8)</f>
        <v>3</v>
      </c>
      <c r="EA8" s="4">
        <f>IF(EA7=1,Results!H5+1,DZ8)</f>
        <v>3</v>
      </c>
      <c r="EB8" s="4">
        <f>IF(EB7=1,Results!I5+1,EA8)</f>
        <v>3</v>
      </c>
      <c r="EC8" s="4">
        <f>IF(EC7=1,Results!J5+1,EB8)</f>
        <v>3</v>
      </c>
      <c r="ED8" s="4"/>
      <c r="EE8" s="4"/>
      <c r="EG8" s="9"/>
      <c r="EJ8" s="3" t="s">
        <v>121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9"/>
      <c r="EZ8" s="3" t="s">
        <v>122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9"/>
      <c r="FP8" s="3" t="s">
        <v>123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9"/>
      <c r="GF8" s="3" t="s">
        <v>124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S8" s="9"/>
      <c r="GV8" s="3" t="s">
        <v>125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9"/>
      <c r="HK8" s="1"/>
      <c r="HL8" s="3" t="s">
        <v>126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9"/>
      <c r="IA8" s="1"/>
      <c r="IB8" s="3" t="s">
        <v>127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4</v>
      </c>
      <c r="IG8" s="4">
        <f>IF(IG7=1,Results!F5+1,IF8)</f>
        <v>4</v>
      </c>
      <c r="IH8" s="4">
        <f>IF(IH7=1,Results!G5+1,IG8)</f>
        <v>4</v>
      </c>
      <c r="II8" s="4">
        <f>IF(II7=1,Results!H5+1,IH8)</f>
        <v>4</v>
      </c>
      <c r="IJ8" s="4">
        <f>IF(IJ7=1,Results!I5+1,II8)</f>
        <v>4</v>
      </c>
      <c r="IK8" s="4">
        <f>IF(IK7=1,Results!J5+1,IJ8)</f>
        <v>4</v>
      </c>
      <c r="IL8" s="4"/>
      <c r="IM8" s="4"/>
      <c r="IO8" s="9"/>
      <c r="IR8" s="3" t="s">
        <v>128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4</v>
      </c>
      <c r="IW8" s="4">
        <f>IF(IW7=1,Results!$F5+1,IV8)</f>
        <v>4</v>
      </c>
      <c r="IX8" s="4">
        <f>IF(IX7=1,Results!$G5+1,IW8)</f>
        <v>4</v>
      </c>
      <c r="IY8" s="4">
        <f>IF(IY7=1,Results!$H5+1,IX8)</f>
        <v>4</v>
      </c>
      <c r="IZ8" s="4">
        <f>IF(IZ7=1,Results!$I5+1,IY8)</f>
        <v>4</v>
      </c>
      <c r="JA8" s="4">
        <f>IF(JA7=1,Results!$J5+1,IZ8)</f>
        <v>4</v>
      </c>
      <c r="JB8" s="4"/>
      <c r="JC8" s="4"/>
      <c r="JE8" s="9"/>
      <c r="JH8" s="3" t="s">
        <v>129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U8" s="9"/>
      <c r="JX8" s="3" t="s">
        <v>130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K8" s="9"/>
      <c r="KN8" s="3" t="s">
        <v>131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LA8" s="9"/>
      <c r="LD8" s="3" t="s">
        <v>132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Q8" s="9"/>
      <c r="LT8" s="3" t="s">
        <v>133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G8" s="9"/>
      <c r="MJ8" s="3" t="s">
        <v>134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W8" s="9"/>
      <c r="MZ8" s="3" t="s">
        <v>135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M8" s="9"/>
      <c r="NP8" s="3" t="s">
        <v>136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C8" s="9"/>
      <c r="OF8" s="3" t="s">
        <v>137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9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138</v>
      </c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139</v>
      </c>
      <c r="BI9" s="4">
        <v>0</v>
      </c>
      <c r="BJ9" s="4">
        <f>+BI4</f>
        <v>0</v>
      </c>
      <c r="BK9" s="4">
        <f t="shared" ref="BK9:BQ9" si="357">+BJ4-BI4</f>
        <v>0</v>
      </c>
      <c r="BL9" s="4">
        <f t="shared" si="357"/>
        <v>0</v>
      </c>
      <c r="BM9" s="4">
        <f t="shared" si="357"/>
        <v>0</v>
      </c>
      <c r="BN9" s="4">
        <f t="shared" si="357"/>
        <v>0</v>
      </c>
      <c r="BO9" s="4">
        <f t="shared" si="357"/>
        <v>0</v>
      </c>
      <c r="BP9" s="4">
        <f t="shared" si="357"/>
        <v>0</v>
      </c>
      <c r="BQ9" s="4">
        <f t="shared" si="357"/>
        <v>0</v>
      </c>
      <c r="BR9" s="4"/>
      <c r="BS9" s="4"/>
      <c r="BU9" s="9"/>
      <c r="BX9" s="3" t="s">
        <v>140</v>
      </c>
      <c r="BY9" s="4">
        <v>0</v>
      </c>
      <c r="BZ9" s="4">
        <f>+BY4</f>
        <v>0</v>
      </c>
      <c r="CA9" s="4">
        <f t="shared" ref="CA9:CG9" si="358">+BZ4-BY4</f>
        <v>0</v>
      </c>
      <c r="CB9" s="4">
        <f t="shared" si="358"/>
        <v>0</v>
      </c>
      <c r="CC9" s="4">
        <f t="shared" si="358"/>
        <v>0</v>
      </c>
      <c r="CD9" s="4">
        <f t="shared" si="358"/>
        <v>0</v>
      </c>
      <c r="CE9" s="4">
        <f t="shared" si="358"/>
        <v>0</v>
      </c>
      <c r="CF9" s="4">
        <f t="shared" si="358"/>
        <v>0</v>
      </c>
      <c r="CG9" s="4">
        <f t="shared" si="358"/>
        <v>0</v>
      </c>
      <c r="CH9" s="4"/>
      <c r="CI9" s="4"/>
      <c r="CK9" s="9"/>
      <c r="CN9" s="3" t="s">
        <v>141</v>
      </c>
      <c r="CO9" s="4">
        <v>0</v>
      </c>
      <c r="CP9" s="4">
        <f>+CO4</f>
        <v>0</v>
      </c>
      <c r="CQ9" s="4">
        <f t="shared" ref="CQ9:CW9" si="359">+CP4-CO4</f>
        <v>0</v>
      </c>
      <c r="CR9" s="4">
        <f t="shared" si="359"/>
        <v>0</v>
      </c>
      <c r="CS9" s="4">
        <f t="shared" si="359"/>
        <v>0</v>
      </c>
      <c r="CT9" s="4">
        <f t="shared" si="359"/>
        <v>0</v>
      </c>
      <c r="CU9" s="4">
        <f t="shared" si="359"/>
        <v>0</v>
      </c>
      <c r="CV9" s="4">
        <f t="shared" si="359"/>
        <v>0</v>
      </c>
      <c r="CW9" s="4">
        <f t="shared" si="359"/>
        <v>0</v>
      </c>
      <c r="CX9" s="4"/>
      <c r="CY9" s="4"/>
      <c r="DA9" s="9"/>
      <c r="DD9" s="3" t="s">
        <v>142</v>
      </c>
      <c r="DE9" s="4">
        <v>0</v>
      </c>
      <c r="DF9" s="4">
        <f>+DE4</f>
        <v>0</v>
      </c>
      <c r="DG9" s="4">
        <f t="shared" ref="DG9:DM9" si="360">+DF4-DE4</f>
        <v>0</v>
      </c>
      <c r="DH9" s="4">
        <f t="shared" si="360"/>
        <v>0</v>
      </c>
      <c r="DI9" s="4">
        <f t="shared" si="360"/>
        <v>0</v>
      </c>
      <c r="DJ9" s="4">
        <f t="shared" si="360"/>
        <v>0</v>
      </c>
      <c r="DK9" s="4">
        <f t="shared" si="360"/>
        <v>0</v>
      </c>
      <c r="DL9" s="4">
        <f t="shared" si="360"/>
        <v>0</v>
      </c>
      <c r="DM9" s="4">
        <f t="shared" si="360"/>
        <v>0</v>
      </c>
      <c r="DN9" s="4"/>
      <c r="DO9" s="4"/>
      <c r="DQ9" s="9"/>
      <c r="DT9" s="3" t="s">
        <v>143</v>
      </c>
      <c r="DU9" s="4">
        <v>0</v>
      </c>
      <c r="DV9" s="4">
        <f>+DU4</f>
        <v>0</v>
      </c>
      <c r="DW9" s="4">
        <f t="shared" ref="DW9:EC9" si="361">+DV4-DU4</f>
        <v>0</v>
      </c>
      <c r="DX9" s="4">
        <f t="shared" si="361"/>
        <v>0</v>
      </c>
      <c r="DY9" s="4">
        <f t="shared" si="361"/>
        <v>0</v>
      </c>
      <c r="DZ9" s="4">
        <f t="shared" si="361"/>
        <v>0</v>
      </c>
      <c r="EA9" s="4">
        <f t="shared" si="361"/>
        <v>0</v>
      </c>
      <c r="EB9" s="4">
        <f t="shared" si="361"/>
        <v>0</v>
      </c>
      <c r="EC9" s="4">
        <f t="shared" si="361"/>
        <v>0</v>
      </c>
      <c r="ED9" s="4"/>
      <c r="EE9" s="4"/>
      <c r="EG9" s="9"/>
      <c r="EJ9" s="3" t="s">
        <v>144</v>
      </c>
      <c r="EK9" s="4">
        <v>0</v>
      </c>
      <c r="EL9" s="4">
        <f>+EK4</f>
        <v>0</v>
      </c>
      <c r="EM9" s="4">
        <f t="shared" ref="EM9:ES9" si="362">+EL4-EK4</f>
        <v>0</v>
      </c>
      <c r="EN9" s="4">
        <f t="shared" si="362"/>
        <v>0</v>
      </c>
      <c r="EO9" s="4">
        <f t="shared" si="362"/>
        <v>0</v>
      </c>
      <c r="EP9" s="4">
        <f t="shared" si="362"/>
        <v>0</v>
      </c>
      <c r="EQ9" s="4">
        <f t="shared" si="362"/>
        <v>0</v>
      </c>
      <c r="ER9" s="4">
        <f t="shared" si="362"/>
        <v>0</v>
      </c>
      <c r="ES9" s="4">
        <f t="shared" si="362"/>
        <v>0</v>
      </c>
      <c r="ET9" s="4"/>
      <c r="EU9" s="4"/>
      <c r="EW9" s="9"/>
      <c r="EZ9" s="3" t="s">
        <v>145</v>
      </c>
      <c r="FA9" s="4">
        <v>0</v>
      </c>
      <c r="FB9" s="4">
        <f>+FA4</f>
        <v>0</v>
      </c>
      <c r="FC9" s="4">
        <f t="shared" ref="FC9:FI9" si="363">+FB4-FA4</f>
        <v>0</v>
      </c>
      <c r="FD9" s="4">
        <f t="shared" si="363"/>
        <v>0</v>
      </c>
      <c r="FE9" s="4">
        <f t="shared" si="363"/>
        <v>0</v>
      </c>
      <c r="FF9" s="4">
        <f t="shared" si="363"/>
        <v>0</v>
      </c>
      <c r="FG9" s="4">
        <f t="shared" si="363"/>
        <v>0</v>
      </c>
      <c r="FH9" s="4">
        <f t="shared" si="363"/>
        <v>0</v>
      </c>
      <c r="FI9" s="4">
        <f t="shared" si="363"/>
        <v>0</v>
      </c>
      <c r="FJ9" s="4"/>
      <c r="FK9" s="4"/>
      <c r="FM9" s="9"/>
      <c r="FP9" s="3" t="s">
        <v>146</v>
      </c>
      <c r="FQ9" s="4">
        <v>0</v>
      </c>
      <c r="FR9" s="4">
        <f>+FQ4</f>
        <v>0</v>
      </c>
      <c r="FS9" s="4">
        <f>+FR4-FQ4</f>
        <v>0</v>
      </c>
      <c r="FT9" s="4">
        <f t="shared" ref="FT9:FY9" si="364">+FS4-FR4</f>
        <v>0</v>
      </c>
      <c r="FU9" s="4">
        <f t="shared" si="364"/>
        <v>0</v>
      </c>
      <c r="FV9" s="4">
        <f t="shared" si="364"/>
        <v>0</v>
      </c>
      <c r="FW9" s="4">
        <f t="shared" si="364"/>
        <v>0</v>
      </c>
      <c r="FX9" s="4">
        <f t="shared" si="364"/>
        <v>0</v>
      </c>
      <c r="FY9" s="4">
        <f t="shared" si="364"/>
        <v>0</v>
      </c>
      <c r="FZ9" s="4"/>
      <c r="GA9" s="4"/>
      <c r="GC9" s="9"/>
      <c r="GF9" s="3" t="s">
        <v>147</v>
      </c>
      <c r="GG9" s="4">
        <v>0</v>
      </c>
      <c r="GH9" s="4">
        <f>+GG4</f>
        <v>0</v>
      </c>
      <c r="GI9" s="4">
        <f t="shared" ref="GI9:GO9" si="365">+GH4-GG4</f>
        <v>0</v>
      </c>
      <c r="GJ9" s="4">
        <f t="shared" si="365"/>
        <v>0</v>
      </c>
      <c r="GK9" s="4">
        <f t="shared" si="365"/>
        <v>0</v>
      </c>
      <c r="GL9" s="4">
        <f t="shared" si="365"/>
        <v>0</v>
      </c>
      <c r="GM9" s="4">
        <f t="shared" si="365"/>
        <v>0</v>
      </c>
      <c r="GN9" s="4">
        <f t="shared" si="365"/>
        <v>0</v>
      </c>
      <c r="GO9" s="4">
        <f t="shared" si="365"/>
        <v>0</v>
      </c>
      <c r="GP9" s="4"/>
      <c r="GQ9" s="4"/>
      <c r="GS9" s="9"/>
      <c r="GV9" s="3" t="s">
        <v>148</v>
      </c>
      <c r="GW9" s="4">
        <v>0</v>
      </c>
      <c r="GX9" s="4">
        <f>+GW4</f>
        <v>0</v>
      </c>
      <c r="GY9" s="4">
        <f t="shared" ref="GY9:HE9" si="366">+GX4-GW4</f>
        <v>0</v>
      </c>
      <c r="GZ9" s="4">
        <f t="shared" si="366"/>
        <v>0</v>
      </c>
      <c r="HA9" s="4">
        <f t="shared" si="366"/>
        <v>0</v>
      </c>
      <c r="HB9" s="4">
        <f t="shared" si="366"/>
        <v>0</v>
      </c>
      <c r="HC9" s="4">
        <f t="shared" si="366"/>
        <v>0</v>
      </c>
      <c r="HD9" s="4">
        <f t="shared" si="366"/>
        <v>0</v>
      </c>
      <c r="HE9" s="4">
        <f t="shared" si="366"/>
        <v>0</v>
      </c>
      <c r="HF9" s="4"/>
      <c r="HG9" s="4"/>
      <c r="HH9" s="4"/>
      <c r="HI9" s="9"/>
      <c r="HK9" s="4"/>
      <c r="HL9" s="3" t="s">
        <v>149</v>
      </c>
      <c r="HM9" s="4">
        <v>0</v>
      </c>
      <c r="HN9" s="4">
        <f>+HM4</f>
        <v>0</v>
      </c>
      <c r="HO9" s="4">
        <f t="shared" ref="HO9:HU9" si="367">+HN4-HM4</f>
        <v>0</v>
      </c>
      <c r="HP9" s="4">
        <f t="shared" si="367"/>
        <v>0</v>
      </c>
      <c r="HQ9" s="4">
        <f t="shared" si="367"/>
        <v>0</v>
      </c>
      <c r="HR9" s="4">
        <f t="shared" si="367"/>
        <v>0</v>
      </c>
      <c r="HS9" s="4">
        <f t="shared" si="367"/>
        <v>0</v>
      </c>
      <c r="HT9" s="4">
        <f t="shared" si="367"/>
        <v>0</v>
      </c>
      <c r="HU9" s="4">
        <f t="shared" si="367"/>
        <v>0</v>
      </c>
      <c r="HV9" s="4"/>
      <c r="HW9" s="4"/>
      <c r="HX9" s="4"/>
      <c r="HY9" s="9"/>
      <c r="IA9" s="4"/>
      <c r="IB9" s="3" t="s">
        <v>150</v>
      </c>
      <c r="IC9" s="4">
        <v>0</v>
      </c>
      <c r="ID9" s="4">
        <f>+IC4</f>
        <v>0</v>
      </c>
      <c r="IE9" s="4">
        <f t="shared" ref="IE9:IK9" si="368">+ID4-IC4</f>
        <v>0</v>
      </c>
      <c r="IF9" s="4">
        <f t="shared" si="368"/>
        <v>0</v>
      </c>
      <c r="IG9" s="4">
        <f t="shared" si="368"/>
        <v>0</v>
      </c>
      <c r="IH9" s="4">
        <f t="shared" si="368"/>
        <v>0</v>
      </c>
      <c r="II9" s="4">
        <f t="shared" si="368"/>
        <v>0</v>
      </c>
      <c r="IJ9" s="4">
        <f t="shared" si="368"/>
        <v>0</v>
      </c>
      <c r="IK9" s="4">
        <f t="shared" si="368"/>
        <v>0</v>
      </c>
      <c r="IL9" s="4"/>
      <c r="IM9" s="4"/>
      <c r="IO9" s="9"/>
      <c r="IR9" s="3" t="s">
        <v>151</v>
      </c>
      <c r="IS9" s="4">
        <v>0</v>
      </c>
      <c r="IT9" s="4">
        <f>+IS4</f>
        <v>0</v>
      </c>
      <c r="IU9" s="4">
        <f t="shared" ref="IU9:JA9" si="369">+IT4-IS4</f>
        <v>0</v>
      </c>
      <c r="IV9" s="4">
        <f t="shared" si="369"/>
        <v>0</v>
      </c>
      <c r="IW9" s="4">
        <f t="shared" si="369"/>
        <v>0</v>
      </c>
      <c r="IX9" s="4">
        <f t="shared" si="369"/>
        <v>0</v>
      </c>
      <c r="IY9" s="4">
        <f t="shared" si="369"/>
        <v>0</v>
      </c>
      <c r="IZ9" s="4">
        <f t="shared" si="369"/>
        <v>0</v>
      </c>
      <c r="JA9" s="4">
        <f t="shared" si="369"/>
        <v>0</v>
      </c>
      <c r="JB9" s="4"/>
      <c r="JC9" s="4"/>
      <c r="JE9" s="9"/>
      <c r="JH9" s="3" t="s">
        <v>152</v>
      </c>
      <c r="JI9" s="4">
        <v>0</v>
      </c>
      <c r="JJ9" s="4">
        <f>+JI4</f>
        <v>0</v>
      </c>
      <c r="JK9" s="4">
        <f t="shared" ref="JK9" si="370">+JJ4-JI4</f>
        <v>0</v>
      </c>
      <c r="JL9" s="4">
        <f t="shared" ref="JL9" si="371">+JK4-JJ4</f>
        <v>0</v>
      </c>
      <c r="JM9" s="4">
        <f t="shared" ref="JM9" si="372">+JL4-JK4</f>
        <v>0</v>
      </c>
      <c r="JN9" s="4">
        <f t="shared" ref="JN9" si="373">+JM4-JL4</f>
        <v>0</v>
      </c>
      <c r="JO9" s="4">
        <f t="shared" ref="JO9" si="374">+JN4-JM4</f>
        <v>0</v>
      </c>
      <c r="JP9" s="4">
        <f t="shared" ref="JP9" si="375">+JO4-JN4</f>
        <v>0</v>
      </c>
      <c r="JQ9" s="4">
        <f t="shared" ref="JQ9" si="376">+JP4-JO4</f>
        <v>0</v>
      </c>
      <c r="JR9" s="4"/>
      <c r="JS9" s="4"/>
      <c r="JU9" s="9"/>
      <c r="JX9" s="3" t="s">
        <v>153</v>
      </c>
      <c r="JY9" s="4">
        <v>0</v>
      </c>
      <c r="JZ9" s="4">
        <f>+JY4</f>
        <v>0</v>
      </c>
      <c r="KA9" s="4">
        <f t="shared" ref="KA9" si="377">+JZ4-JY4</f>
        <v>0</v>
      </c>
      <c r="KB9" s="4">
        <f t="shared" ref="KB9" si="378">+KA4-JZ4</f>
        <v>0</v>
      </c>
      <c r="KC9" s="4">
        <f t="shared" ref="KC9" si="379">+KB4-KA4</f>
        <v>0</v>
      </c>
      <c r="KD9" s="4">
        <f t="shared" ref="KD9" si="380">+KC4-KB4</f>
        <v>0</v>
      </c>
      <c r="KE9" s="4">
        <f t="shared" ref="KE9" si="381">+KD4-KC4</f>
        <v>0</v>
      </c>
      <c r="KF9" s="4">
        <f t="shared" ref="KF9" si="382">+KE4-KD4</f>
        <v>0</v>
      </c>
      <c r="KG9" s="4">
        <f t="shared" ref="KG9" si="383">+KF4-KE4</f>
        <v>0</v>
      </c>
      <c r="KH9" s="4"/>
      <c r="KI9" s="4"/>
      <c r="KK9" s="9"/>
      <c r="KN9" s="3" t="s">
        <v>154</v>
      </c>
      <c r="KO9" s="4">
        <v>0</v>
      </c>
      <c r="KP9" s="4">
        <f>+KO4</f>
        <v>0</v>
      </c>
      <c r="KQ9" s="4">
        <f t="shared" ref="KQ9:KW9" si="384">+KP4-KO4</f>
        <v>0</v>
      </c>
      <c r="KR9" s="4">
        <f t="shared" si="384"/>
        <v>0</v>
      </c>
      <c r="KS9" s="4">
        <f t="shared" si="384"/>
        <v>0</v>
      </c>
      <c r="KT9" s="4">
        <f t="shared" si="384"/>
        <v>0</v>
      </c>
      <c r="KU9" s="4">
        <f t="shared" si="384"/>
        <v>0</v>
      </c>
      <c r="KV9" s="4">
        <f t="shared" si="384"/>
        <v>0</v>
      </c>
      <c r="KW9" s="4">
        <f t="shared" si="384"/>
        <v>0</v>
      </c>
      <c r="KX9" s="4"/>
      <c r="KY9" s="4"/>
      <c r="LA9" s="9"/>
      <c r="LD9" s="3" t="s">
        <v>155</v>
      </c>
      <c r="LE9" s="4">
        <v>0</v>
      </c>
      <c r="LF9" s="4">
        <f>+LE4</f>
        <v>0</v>
      </c>
      <c r="LG9" s="4">
        <f t="shared" ref="LG9:LM9" si="385">+LF4-LE4</f>
        <v>0</v>
      </c>
      <c r="LH9" s="4">
        <f t="shared" si="385"/>
        <v>0</v>
      </c>
      <c r="LI9" s="4">
        <f t="shared" si="385"/>
        <v>0</v>
      </c>
      <c r="LJ9" s="4">
        <f t="shared" si="385"/>
        <v>0</v>
      </c>
      <c r="LK9" s="4">
        <f t="shared" si="385"/>
        <v>0</v>
      </c>
      <c r="LL9" s="4">
        <f t="shared" si="385"/>
        <v>0</v>
      </c>
      <c r="LM9" s="4">
        <f t="shared" si="385"/>
        <v>0</v>
      </c>
      <c r="LN9" s="4"/>
      <c r="LO9" s="4"/>
      <c r="LQ9" s="9"/>
      <c r="LT9" s="3" t="s">
        <v>156</v>
      </c>
      <c r="LU9" s="4">
        <v>0</v>
      </c>
      <c r="LV9" s="4">
        <f>+LU4</f>
        <v>0</v>
      </c>
      <c r="LW9" s="4">
        <f t="shared" ref="LW9:MC9" si="386">+LV4-LU4</f>
        <v>0</v>
      </c>
      <c r="LX9" s="4">
        <f t="shared" si="386"/>
        <v>0</v>
      </c>
      <c r="LY9" s="4">
        <f t="shared" si="386"/>
        <v>0</v>
      </c>
      <c r="LZ9" s="4">
        <f t="shared" si="386"/>
        <v>0</v>
      </c>
      <c r="MA9" s="4">
        <f t="shared" si="386"/>
        <v>0</v>
      </c>
      <c r="MB9" s="4">
        <f t="shared" si="386"/>
        <v>0</v>
      </c>
      <c r="MC9" s="4">
        <f t="shared" si="386"/>
        <v>0</v>
      </c>
      <c r="MD9" s="4"/>
      <c r="ME9" s="4"/>
      <c r="MG9" s="9"/>
      <c r="MJ9" s="3" t="s">
        <v>157</v>
      </c>
      <c r="MK9" s="4">
        <v>0</v>
      </c>
      <c r="ML9" s="4">
        <f>+MK4</f>
        <v>0</v>
      </c>
      <c r="MM9" s="4">
        <f t="shared" ref="MM9:MS9" si="387">+ML4-MK4</f>
        <v>0</v>
      </c>
      <c r="MN9" s="4">
        <f t="shared" si="387"/>
        <v>0</v>
      </c>
      <c r="MO9" s="4">
        <f t="shared" si="387"/>
        <v>0</v>
      </c>
      <c r="MP9" s="4">
        <f t="shared" si="387"/>
        <v>0</v>
      </c>
      <c r="MQ9" s="4">
        <f t="shared" si="387"/>
        <v>0</v>
      </c>
      <c r="MR9" s="4">
        <f t="shared" si="387"/>
        <v>0</v>
      </c>
      <c r="MS9" s="4">
        <f t="shared" si="387"/>
        <v>0</v>
      </c>
      <c r="MT9" s="4"/>
      <c r="MU9" s="4"/>
      <c r="MW9" s="9"/>
      <c r="MZ9" s="3" t="s">
        <v>158</v>
      </c>
      <c r="NA9" s="4">
        <v>0</v>
      </c>
      <c r="NB9" s="4">
        <f>+NA4</f>
        <v>0</v>
      </c>
      <c r="NC9" s="4">
        <f t="shared" ref="NC9:NI9" si="388">+NB4-NA4</f>
        <v>0</v>
      </c>
      <c r="ND9" s="4">
        <f t="shared" si="388"/>
        <v>0</v>
      </c>
      <c r="NE9" s="4">
        <f t="shared" si="388"/>
        <v>0</v>
      </c>
      <c r="NF9" s="4">
        <f t="shared" si="388"/>
        <v>0</v>
      </c>
      <c r="NG9" s="4">
        <f t="shared" si="388"/>
        <v>0</v>
      </c>
      <c r="NH9" s="4">
        <f t="shared" si="388"/>
        <v>0</v>
      </c>
      <c r="NI9" s="4">
        <f t="shared" si="388"/>
        <v>0</v>
      </c>
      <c r="NJ9" s="4"/>
      <c r="NK9" s="4"/>
      <c r="NM9" s="9"/>
      <c r="NP9" s="3" t="s">
        <v>159</v>
      </c>
      <c r="NQ9" s="4">
        <v>0</v>
      </c>
      <c r="NR9" s="4">
        <f>+NQ4</f>
        <v>0</v>
      </c>
      <c r="NS9" s="4">
        <f t="shared" ref="NS9:NY9" si="389">+NR4-NQ4</f>
        <v>0</v>
      </c>
      <c r="NT9" s="4">
        <f t="shared" si="389"/>
        <v>0</v>
      </c>
      <c r="NU9" s="4">
        <f t="shared" si="389"/>
        <v>0</v>
      </c>
      <c r="NV9" s="4">
        <f t="shared" si="389"/>
        <v>0</v>
      </c>
      <c r="NW9" s="4">
        <f t="shared" si="389"/>
        <v>0</v>
      </c>
      <c r="NX9" s="4">
        <f t="shared" si="389"/>
        <v>0</v>
      </c>
      <c r="NY9" s="4">
        <f t="shared" si="389"/>
        <v>0</v>
      </c>
      <c r="NZ9" s="4"/>
      <c r="OA9" s="4"/>
      <c r="OC9" s="9"/>
      <c r="OF9" s="3" t="s">
        <v>160</v>
      </c>
      <c r="OG9" s="4">
        <v>0</v>
      </c>
      <c r="OH9" s="4">
        <f>+OG4</f>
        <v>0</v>
      </c>
      <c r="OI9" s="4">
        <f t="shared" ref="OI9:OO9" si="390">+OH4-OG4</f>
        <v>0</v>
      </c>
      <c r="OJ9" s="4">
        <f t="shared" si="390"/>
        <v>0</v>
      </c>
      <c r="OK9" s="4">
        <f t="shared" si="390"/>
        <v>0</v>
      </c>
      <c r="OL9" s="4">
        <f t="shared" si="390"/>
        <v>0</v>
      </c>
      <c r="OM9" s="4">
        <f t="shared" si="390"/>
        <v>0</v>
      </c>
      <c r="ON9" s="4">
        <f t="shared" si="390"/>
        <v>0</v>
      </c>
      <c r="OO9" s="4">
        <f t="shared" si="390"/>
        <v>0</v>
      </c>
      <c r="OP9" s="4"/>
      <c r="OQ9" s="4"/>
      <c r="OS9" s="9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161</v>
      </c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162</v>
      </c>
      <c r="BI10" s="4">
        <v>0</v>
      </c>
      <c r="BJ10" s="4">
        <f>BI9</f>
        <v>0</v>
      </c>
      <c r="BK10" s="4">
        <f t="shared" ref="BK10:BQ10" si="391">BJ9</f>
        <v>0</v>
      </c>
      <c r="BL10" s="4">
        <f t="shared" si="391"/>
        <v>0</v>
      </c>
      <c r="BM10" s="4">
        <f t="shared" si="391"/>
        <v>0</v>
      </c>
      <c r="BN10" s="4">
        <f>BM9</f>
        <v>0</v>
      </c>
      <c r="BO10" s="4">
        <f t="shared" si="391"/>
        <v>0</v>
      </c>
      <c r="BP10" s="4">
        <f t="shared" si="391"/>
        <v>0</v>
      </c>
      <c r="BQ10" s="4">
        <f t="shared" si="391"/>
        <v>0</v>
      </c>
      <c r="BR10" s="4"/>
      <c r="BS10" s="4"/>
      <c r="BU10" s="9"/>
      <c r="BX10" s="3" t="s">
        <v>163</v>
      </c>
      <c r="BY10" s="4">
        <v>0</v>
      </c>
      <c r="BZ10" s="4">
        <f>BY9</f>
        <v>0</v>
      </c>
      <c r="CA10" s="4">
        <f t="shared" ref="CA10:CG10" si="392">BZ9</f>
        <v>0</v>
      </c>
      <c r="CB10" s="4">
        <f t="shared" si="392"/>
        <v>0</v>
      </c>
      <c r="CC10" s="4">
        <f t="shared" si="392"/>
        <v>0</v>
      </c>
      <c r="CD10" s="4">
        <f t="shared" si="392"/>
        <v>0</v>
      </c>
      <c r="CE10" s="4">
        <f t="shared" si="392"/>
        <v>0</v>
      </c>
      <c r="CF10" s="4">
        <f t="shared" si="392"/>
        <v>0</v>
      </c>
      <c r="CG10" s="4">
        <f t="shared" si="392"/>
        <v>0</v>
      </c>
      <c r="CH10" s="4"/>
      <c r="CI10" s="4"/>
      <c r="CK10" s="9"/>
      <c r="CN10" s="3" t="s">
        <v>164</v>
      </c>
      <c r="CO10" s="4">
        <v>0</v>
      </c>
      <c r="CP10" s="4">
        <f>CO9</f>
        <v>0</v>
      </c>
      <c r="CQ10" s="4">
        <f t="shared" ref="CQ10:CW10" si="393">CP9</f>
        <v>0</v>
      </c>
      <c r="CR10" s="4">
        <f t="shared" si="393"/>
        <v>0</v>
      </c>
      <c r="CS10" s="4">
        <f t="shared" si="393"/>
        <v>0</v>
      </c>
      <c r="CT10" s="4">
        <f t="shared" si="393"/>
        <v>0</v>
      </c>
      <c r="CU10" s="4">
        <f t="shared" si="393"/>
        <v>0</v>
      </c>
      <c r="CV10" s="4">
        <f t="shared" si="393"/>
        <v>0</v>
      </c>
      <c r="CW10" s="4">
        <f t="shared" si="393"/>
        <v>0</v>
      </c>
      <c r="CX10" s="4"/>
      <c r="CY10" s="4"/>
      <c r="DA10" s="9"/>
      <c r="DD10" s="3" t="s">
        <v>165</v>
      </c>
      <c r="DE10" s="4">
        <v>0</v>
      </c>
      <c r="DF10" s="4">
        <f>DE9</f>
        <v>0</v>
      </c>
      <c r="DG10" s="4">
        <f t="shared" ref="DG10:DM10" si="394">DF9</f>
        <v>0</v>
      </c>
      <c r="DH10" s="4">
        <f t="shared" si="394"/>
        <v>0</v>
      </c>
      <c r="DI10" s="4">
        <f t="shared" si="394"/>
        <v>0</v>
      </c>
      <c r="DJ10" s="4">
        <f t="shared" si="394"/>
        <v>0</v>
      </c>
      <c r="DK10" s="4">
        <f t="shared" si="394"/>
        <v>0</v>
      </c>
      <c r="DL10" s="4">
        <f t="shared" si="394"/>
        <v>0</v>
      </c>
      <c r="DM10" s="4">
        <f t="shared" si="394"/>
        <v>0</v>
      </c>
      <c r="DN10" s="4"/>
      <c r="DO10" s="4"/>
      <c r="DQ10" s="9"/>
      <c r="DT10" s="3" t="s">
        <v>166</v>
      </c>
      <c r="DU10" s="4">
        <v>0</v>
      </c>
      <c r="DV10" s="4">
        <f>DU9</f>
        <v>0</v>
      </c>
      <c r="DW10" s="4">
        <f t="shared" ref="DW10:EC10" si="395">DV9</f>
        <v>0</v>
      </c>
      <c r="DX10" s="4">
        <f t="shared" si="395"/>
        <v>0</v>
      </c>
      <c r="DY10" s="4">
        <f t="shared" si="395"/>
        <v>0</v>
      </c>
      <c r="DZ10" s="4">
        <f t="shared" si="395"/>
        <v>0</v>
      </c>
      <c r="EA10" s="4">
        <f t="shared" si="395"/>
        <v>0</v>
      </c>
      <c r="EB10" s="4">
        <f t="shared" si="395"/>
        <v>0</v>
      </c>
      <c r="EC10" s="4">
        <f t="shared" si="395"/>
        <v>0</v>
      </c>
      <c r="ED10" s="4"/>
      <c r="EE10" s="4"/>
      <c r="EG10" s="9"/>
      <c r="EJ10" s="3" t="s">
        <v>167</v>
      </c>
      <c r="EK10" s="4">
        <v>0</v>
      </c>
      <c r="EL10" s="4">
        <f>EK9</f>
        <v>0</v>
      </c>
      <c r="EM10" s="4">
        <f t="shared" ref="EM10:ES10" si="396">EL9</f>
        <v>0</v>
      </c>
      <c r="EN10" s="4">
        <f t="shared" si="396"/>
        <v>0</v>
      </c>
      <c r="EO10" s="4">
        <f t="shared" si="396"/>
        <v>0</v>
      </c>
      <c r="EP10" s="4">
        <f t="shared" si="396"/>
        <v>0</v>
      </c>
      <c r="EQ10" s="4">
        <f t="shared" si="396"/>
        <v>0</v>
      </c>
      <c r="ER10" s="4">
        <f t="shared" si="396"/>
        <v>0</v>
      </c>
      <c r="ES10" s="4">
        <f t="shared" si="396"/>
        <v>0</v>
      </c>
      <c r="ET10" s="4"/>
      <c r="EU10" s="4"/>
      <c r="EW10" s="9"/>
      <c r="EZ10" s="3" t="s">
        <v>168</v>
      </c>
      <c r="FA10" s="4">
        <v>0</v>
      </c>
      <c r="FB10" s="4">
        <f>FA9</f>
        <v>0</v>
      </c>
      <c r="FC10" s="4">
        <f t="shared" ref="FC10:FI10" si="397">FB9</f>
        <v>0</v>
      </c>
      <c r="FD10" s="4">
        <f t="shared" si="397"/>
        <v>0</v>
      </c>
      <c r="FE10" s="4">
        <f t="shared" si="397"/>
        <v>0</v>
      </c>
      <c r="FF10" s="4">
        <f t="shared" si="397"/>
        <v>0</v>
      </c>
      <c r="FG10" s="4">
        <f t="shared" si="397"/>
        <v>0</v>
      </c>
      <c r="FH10" s="4">
        <f t="shared" si="397"/>
        <v>0</v>
      </c>
      <c r="FI10" s="4">
        <f t="shared" si="397"/>
        <v>0</v>
      </c>
      <c r="FJ10" s="4"/>
      <c r="FK10" s="4"/>
      <c r="FM10" s="9"/>
      <c r="FP10" s="3" t="s">
        <v>169</v>
      </c>
      <c r="FQ10" s="4">
        <v>0</v>
      </c>
      <c r="FR10" s="4">
        <f>FQ9</f>
        <v>0</v>
      </c>
      <c r="FS10" s="4">
        <f t="shared" ref="FS10:FY10" si="398">FR9</f>
        <v>0</v>
      </c>
      <c r="FT10" s="4">
        <f t="shared" si="398"/>
        <v>0</v>
      </c>
      <c r="FU10" s="4">
        <f t="shared" si="398"/>
        <v>0</v>
      </c>
      <c r="FV10" s="4">
        <f t="shared" si="398"/>
        <v>0</v>
      </c>
      <c r="FW10" s="4">
        <f t="shared" si="398"/>
        <v>0</v>
      </c>
      <c r="FX10" s="4">
        <f t="shared" si="398"/>
        <v>0</v>
      </c>
      <c r="FY10" s="4">
        <f t="shared" si="398"/>
        <v>0</v>
      </c>
      <c r="FZ10" s="4"/>
      <c r="GA10" s="4"/>
      <c r="GC10" s="9"/>
      <c r="GF10" s="3" t="s">
        <v>170</v>
      </c>
      <c r="GG10" s="4">
        <v>0</v>
      </c>
      <c r="GH10" s="4">
        <f>GG9</f>
        <v>0</v>
      </c>
      <c r="GI10" s="4">
        <f t="shared" ref="GI10:GO10" si="399">GH9</f>
        <v>0</v>
      </c>
      <c r="GJ10" s="4">
        <f t="shared" si="399"/>
        <v>0</v>
      </c>
      <c r="GK10" s="4">
        <f t="shared" si="399"/>
        <v>0</v>
      </c>
      <c r="GL10" s="4">
        <f t="shared" si="399"/>
        <v>0</v>
      </c>
      <c r="GM10" s="4">
        <f t="shared" si="399"/>
        <v>0</v>
      </c>
      <c r="GN10" s="4">
        <f t="shared" si="399"/>
        <v>0</v>
      </c>
      <c r="GO10" s="4">
        <f t="shared" si="399"/>
        <v>0</v>
      </c>
      <c r="GP10" s="4"/>
      <c r="GQ10" s="4"/>
      <c r="GS10" s="9"/>
      <c r="GV10" s="3" t="s">
        <v>171</v>
      </c>
      <c r="GW10" s="4">
        <v>0</v>
      </c>
      <c r="GX10" s="4">
        <f>GW9</f>
        <v>0</v>
      </c>
      <c r="GY10" s="4">
        <f t="shared" ref="GY10:HE10" si="400">GX9</f>
        <v>0</v>
      </c>
      <c r="GZ10" s="4">
        <f t="shared" si="400"/>
        <v>0</v>
      </c>
      <c r="HA10" s="4">
        <f t="shared" si="400"/>
        <v>0</v>
      </c>
      <c r="HB10" s="4">
        <f t="shared" si="400"/>
        <v>0</v>
      </c>
      <c r="HC10" s="4">
        <f t="shared" si="400"/>
        <v>0</v>
      </c>
      <c r="HD10" s="4">
        <f t="shared" si="400"/>
        <v>0</v>
      </c>
      <c r="HE10" s="4">
        <f t="shared" si="400"/>
        <v>0</v>
      </c>
      <c r="HF10" s="4"/>
      <c r="HG10" s="4"/>
      <c r="HH10" s="4"/>
      <c r="HI10" s="9"/>
      <c r="HK10" s="4"/>
      <c r="HL10" s="3" t="s">
        <v>172</v>
      </c>
      <c r="HM10" s="4">
        <v>0</v>
      </c>
      <c r="HN10" s="4">
        <f>HM9</f>
        <v>0</v>
      </c>
      <c r="HO10" s="4">
        <f t="shared" ref="HO10:HU10" si="401">HN9</f>
        <v>0</v>
      </c>
      <c r="HP10" s="4">
        <f t="shared" si="401"/>
        <v>0</v>
      </c>
      <c r="HQ10" s="4">
        <f t="shared" si="401"/>
        <v>0</v>
      </c>
      <c r="HR10" s="4">
        <f t="shared" si="401"/>
        <v>0</v>
      </c>
      <c r="HS10" s="4">
        <f t="shared" si="401"/>
        <v>0</v>
      </c>
      <c r="HT10" s="4">
        <f t="shared" si="401"/>
        <v>0</v>
      </c>
      <c r="HU10" s="4">
        <f t="shared" si="401"/>
        <v>0</v>
      </c>
      <c r="HV10" s="4"/>
      <c r="HW10" s="4"/>
      <c r="HX10" s="4"/>
      <c r="HY10" s="9"/>
      <c r="IA10" s="4"/>
      <c r="IB10" s="3" t="s">
        <v>173</v>
      </c>
      <c r="IC10" s="4">
        <v>0</v>
      </c>
      <c r="ID10" s="4">
        <f>IC9</f>
        <v>0</v>
      </c>
      <c r="IE10" s="4">
        <f t="shared" ref="IE10:IK10" si="402">ID9</f>
        <v>0</v>
      </c>
      <c r="IF10" s="4">
        <f t="shared" si="402"/>
        <v>0</v>
      </c>
      <c r="IG10" s="4">
        <f t="shared" si="402"/>
        <v>0</v>
      </c>
      <c r="IH10" s="4">
        <f t="shared" si="402"/>
        <v>0</v>
      </c>
      <c r="II10" s="4">
        <f t="shared" si="402"/>
        <v>0</v>
      </c>
      <c r="IJ10" s="4">
        <f t="shared" si="402"/>
        <v>0</v>
      </c>
      <c r="IK10" s="4">
        <f t="shared" si="402"/>
        <v>0</v>
      </c>
      <c r="IL10" s="4"/>
      <c r="IM10" s="4"/>
      <c r="IO10" s="9"/>
      <c r="IR10" s="3" t="s">
        <v>174</v>
      </c>
      <c r="IS10" s="4">
        <v>0</v>
      </c>
      <c r="IT10" s="4">
        <f>IS9</f>
        <v>0</v>
      </c>
      <c r="IU10" s="4">
        <f t="shared" ref="IU10:JA10" si="403">IT9</f>
        <v>0</v>
      </c>
      <c r="IV10" s="4">
        <f t="shared" si="403"/>
        <v>0</v>
      </c>
      <c r="IW10" s="4">
        <f t="shared" si="403"/>
        <v>0</v>
      </c>
      <c r="IX10" s="4">
        <f t="shared" si="403"/>
        <v>0</v>
      </c>
      <c r="IY10" s="4">
        <f t="shared" si="403"/>
        <v>0</v>
      </c>
      <c r="IZ10" s="4">
        <f t="shared" si="403"/>
        <v>0</v>
      </c>
      <c r="JA10" s="4">
        <f t="shared" si="403"/>
        <v>0</v>
      </c>
      <c r="JB10" s="4"/>
      <c r="JC10" s="4"/>
      <c r="JE10" s="9"/>
      <c r="JH10" s="3" t="s">
        <v>175</v>
      </c>
      <c r="JI10" s="4">
        <v>0</v>
      </c>
      <c r="JJ10" s="4">
        <f>JI9</f>
        <v>0</v>
      </c>
      <c r="JK10" s="4">
        <f t="shared" ref="JK10:JQ10" si="404">JJ9</f>
        <v>0</v>
      </c>
      <c r="JL10" s="4">
        <f t="shared" si="404"/>
        <v>0</v>
      </c>
      <c r="JM10" s="4">
        <f t="shared" si="404"/>
        <v>0</v>
      </c>
      <c r="JN10" s="4">
        <f t="shared" si="404"/>
        <v>0</v>
      </c>
      <c r="JO10" s="4">
        <f t="shared" si="404"/>
        <v>0</v>
      </c>
      <c r="JP10" s="4">
        <f t="shared" si="404"/>
        <v>0</v>
      </c>
      <c r="JQ10" s="4">
        <f t="shared" si="404"/>
        <v>0</v>
      </c>
      <c r="JR10" s="4"/>
      <c r="JS10" s="4"/>
      <c r="JU10" s="9"/>
      <c r="JX10" s="3" t="s">
        <v>176</v>
      </c>
      <c r="JY10" s="4">
        <v>0</v>
      </c>
      <c r="JZ10" s="4">
        <f>JY9</f>
        <v>0</v>
      </c>
      <c r="KA10" s="4">
        <f t="shared" ref="KA10:KG10" si="405">JZ9</f>
        <v>0</v>
      </c>
      <c r="KB10" s="4">
        <f t="shared" si="405"/>
        <v>0</v>
      </c>
      <c r="KC10" s="4">
        <f t="shared" si="405"/>
        <v>0</v>
      </c>
      <c r="KD10" s="4">
        <f t="shared" si="405"/>
        <v>0</v>
      </c>
      <c r="KE10" s="4">
        <f t="shared" si="405"/>
        <v>0</v>
      </c>
      <c r="KF10" s="4">
        <f t="shared" si="405"/>
        <v>0</v>
      </c>
      <c r="KG10" s="4">
        <f t="shared" si="405"/>
        <v>0</v>
      </c>
      <c r="KH10" s="4"/>
      <c r="KI10" s="4"/>
      <c r="KK10" s="9"/>
      <c r="KN10" s="3" t="s">
        <v>177</v>
      </c>
      <c r="KO10" s="4">
        <v>0</v>
      </c>
      <c r="KP10" s="4">
        <f>KO9</f>
        <v>0</v>
      </c>
      <c r="KQ10" s="4">
        <f t="shared" ref="KQ10:KW10" si="406">KP9</f>
        <v>0</v>
      </c>
      <c r="KR10" s="4">
        <f t="shared" si="406"/>
        <v>0</v>
      </c>
      <c r="KS10" s="4">
        <f t="shared" si="406"/>
        <v>0</v>
      </c>
      <c r="KT10" s="4">
        <f t="shared" si="406"/>
        <v>0</v>
      </c>
      <c r="KU10" s="4">
        <f t="shared" si="406"/>
        <v>0</v>
      </c>
      <c r="KV10" s="4">
        <f t="shared" si="406"/>
        <v>0</v>
      </c>
      <c r="KW10" s="4">
        <f t="shared" si="406"/>
        <v>0</v>
      </c>
      <c r="KX10" s="4"/>
      <c r="KY10" s="4"/>
      <c r="LA10" s="9"/>
      <c r="LD10" s="3" t="s">
        <v>178</v>
      </c>
      <c r="LE10" s="4">
        <v>0</v>
      </c>
      <c r="LF10" s="4">
        <f>LE9</f>
        <v>0</v>
      </c>
      <c r="LG10" s="4">
        <f t="shared" ref="LG10:LM10" si="407">LF9</f>
        <v>0</v>
      </c>
      <c r="LH10" s="4">
        <f t="shared" si="407"/>
        <v>0</v>
      </c>
      <c r="LI10" s="4">
        <f t="shared" si="407"/>
        <v>0</v>
      </c>
      <c r="LJ10" s="4">
        <f t="shared" si="407"/>
        <v>0</v>
      </c>
      <c r="LK10" s="4">
        <f t="shared" si="407"/>
        <v>0</v>
      </c>
      <c r="LL10" s="4">
        <f t="shared" si="407"/>
        <v>0</v>
      </c>
      <c r="LM10" s="4">
        <f t="shared" si="407"/>
        <v>0</v>
      </c>
      <c r="LN10" s="4"/>
      <c r="LO10" s="4"/>
      <c r="LQ10" s="9"/>
      <c r="LT10" s="3" t="s">
        <v>179</v>
      </c>
      <c r="LU10" s="4">
        <v>0</v>
      </c>
      <c r="LV10" s="4">
        <f>LU9</f>
        <v>0</v>
      </c>
      <c r="LW10" s="4">
        <f t="shared" ref="LW10:MC10" si="408">LV9</f>
        <v>0</v>
      </c>
      <c r="LX10" s="4">
        <f t="shared" si="408"/>
        <v>0</v>
      </c>
      <c r="LY10" s="4">
        <f t="shared" si="408"/>
        <v>0</v>
      </c>
      <c r="LZ10" s="4">
        <f t="shared" si="408"/>
        <v>0</v>
      </c>
      <c r="MA10" s="4">
        <f t="shared" si="408"/>
        <v>0</v>
      </c>
      <c r="MB10" s="4">
        <f t="shared" si="408"/>
        <v>0</v>
      </c>
      <c r="MC10" s="4">
        <f t="shared" si="408"/>
        <v>0</v>
      </c>
      <c r="MD10" s="4"/>
      <c r="ME10" s="4"/>
      <c r="MG10" s="9"/>
      <c r="MJ10" s="3" t="s">
        <v>180</v>
      </c>
      <c r="MK10" s="4">
        <v>0</v>
      </c>
      <c r="ML10" s="4">
        <f>MK9</f>
        <v>0</v>
      </c>
      <c r="MM10" s="4">
        <f t="shared" ref="MM10:MS10" si="409">ML9</f>
        <v>0</v>
      </c>
      <c r="MN10" s="4">
        <f t="shared" si="409"/>
        <v>0</v>
      </c>
      <c r="MO10" s="4">
        <f t="shared" si="409"/>
        <v>0</v>
      </c>
      <c r="MP10" s="4">
        <f t="shared" si="409"/>
        <v>0</v>
      </c>
      <c r="MQ10" s="4">
        <f t="shared" si="409"/>
        <v>0</v>
      </c>
      <c r="MR10" s="4">
        <f t="shared" si="409"/>
        <v>0</v>
      </c>
      <c r="MS10" s="4">
        <f t="shared" si="409"/>
        <v>0</v>
      </c>
      <c r="MT10" s="4"/>
      <c r="MU10" s="4"/>
      <c r="MW10" s="9"/>
      <c r="MZ10" s="3" t="s">
        <v>181</v>
      </c>
      <c r="NA10" s="4">
        <v>0</v>
      </c>
      <c r="NB10" s="4">
        <f>NA9</f>
        <v>0</v>
      </c>
      <c r="NC10" s="4">
        <f t="shared" ref="NC10:NI10" si="410">NB9</f>
        <v>0</v>
      </c>
      <c r="ND10" s="4">
        <f t="shared" si="410"/>
        <v>0</v>
      </c>
      <c r="NE10" s="4">
        <f t="shared" si="410"/>
        <v>0</v>
      </c>
      <c r="NF10" s="4">
        <f t="shared" si="410"/>
        <v>0</v>
      </c>
      <c r="NG10" s="4">
        <f t="shared" si="410"/>
        <v>0</v>
      </c>
      <c r="NH10" s="4">
        <f t="shared" si="410"/>
        <v>0</v>
      </c>
      <c r="NI10" s="4">
        <f t="shared" si="410"/>
        <v>0</v>
      </c>
      <c r="NJ10" s="4"/>
      <c r="NK10" s="4"/>
      <c r="NM10" s="9"/>
      <c r="NP10" s="3" t="s">
        <v>182</v>
      </c>
      <c r="NQ10" s="4">
        <v>0</v>
      </c>
      <c r="NR10" s="4">
        <f>NQ9</f>
        <v>0</v>
      </c>
      <c r="NS10" s="4">
        <f t="shared" ref="NS10:NY10" si="411">NR9</f>
        <v>0</v>
      </c>
      <c r="NT10" s="4">
        <f t="shared" si="411"/>
        <v>0</v>
      </c>
      <c r="NU10" s="4">
        <f t="shared" si="411"/>
        <v>0</v>
      </c>
      <c r="NV10" s="4">
        <f t="shared" si="411"/>
        <v>0</v>
      </c>
      <c r="NW10" s="4">
        <f t="shared" si="411"/>
        <v>0</v>
      </c>
      <c r="NX10" s="4">
        <f t="shared" si="411"/>
        <v>0</v>
      </c>
      <c r="NY10" s="4">
        <f t="shared" si="411"/>
        <v>0</v>
      </c>
      <c r="NZ10" s="4"/>
      <c r="OA10" s="4"/>
      <c r="OC10" s="9"/>
      <c r="OF10" s="3" t="s">
        <v>183</v>
      </c>
      <c r="OG10" s="4">
        <v>0</v>
      </c>
      <c r="OH10" s="4">
        <f>OG9</f>
        <v>0</v>
      </c>
      <c r="OI10" s="4">
        <f t="shared" ref="OI10:OO10" si="412">OH9</f>
        <v>0</v>
      </c>
      <c r="OJ10" s="4">
        <f t="shared" si="412"/>
        <v>0</v>
      </c>
      <c r="OK10" s="4">
        <f t="shared" si="412"/>
        <v>0</v>
      </c>
      <c r="OL10" s="4">
        <f t="shared" si="412"/>
        <v>0</v>
      </c>
      <c r="OM10" s="4">
        <f t="shared" si="412"/>
        <v>0</v>
      </c>
      <c r="ON10" s="4">
        <f t="shared" si="412"/>
        <v>0</v>
      </c>
      <c r="OO10" s="4">
        <f t="shared" si="412"/>
        <v>0</v>
      </c>
      <c r="OP10" s="4"/>
      <c r="OQ10" s="4"/>
      <c r="OR10" s="4"/>
      <c r="OS10" s="9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1450</v>
      </c>
      <c r="BH11" s="3" t="s">
        <v>184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185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186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187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188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189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190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191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192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193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194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195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196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197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198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199</v>
      </c>
      <c r="KO11">
        <f t="shared" ref="KO11:KW11" si="413">+MAX((KO4-KO6)*$KO12,0)</f>
        <v>0</v>
      </c>
      <c r="KP11">
        <f t="shared" si="413"/>
        <v>0</v>
      </c>
      <c r="KQ11">
        <f t="shared" si="413"/>
        <v>0</v>
      </c>
      <c r="KR11">
        <f t="shared" si="413"/>
        <v>0</v>
      </c>
      <c r="KS11">
        <f t="shared" si="413"/>
        <v>0</v>
      </c>
      <c r="KT11">
        <f t="shared" si="413"/>
        <v>0</v>
      </c>
      <c r="KU11">
        <f t="shared" si="413"/>
        <v>0</v>
      </c>
      <c r="KV11">
        <f t="shared" si="413"/>
        <v>0</v>
      </c>
      <c r="KW11">
        <f t="shared" si="413"/>
        <v>0</v>
      </c>
      <c r="LA11" s="9"/>
      <c r="LD11" s="3" t="s">
        <v>200</v>
      </c>
      <c r="LE11">
        <f t="shared" ref="LE11:LM11" si="414">+MAX((LE4-LE6)*$LE12,0)</f>
        <v>0</v>
      </c>
      <c r="LF11">
        <f t="shared" si="414"/>
        <v>0</v>
      </c>
      <c r="LG11">
        <f t="shared" si="414"/>
        <v>0</v>
      </c>
      <c r="LH11">
        <f t="shared" si="414"/>
        <v>0</v>
      </c>
      <c r="LI11">
        <f t="shared" si="414"/>
        <v>0</v>
      </c>
      <c r="LJ11">
        <f t="shared" si="414"/>
        <v>0</v>
      </c>
      <c r="LK11">
        <f t="shared" si="414"/>
        <v>0</v>
      </c>
      <c r="LL11">
        <f t="shared" si="414"/>
        <v>0</v>
      </c>
      <c r="LM11">
        <f t="shared" si="414"/>
        <v>0</v>
      </c>
      <c r="LQ11" s="9"/>
      <c r="LT11" s="3" t="s">
        <v>201</v>
      </c>
      <c r="LU11">
        <f t="shared" ref="LU11:MC11" si="415">+MAX((LU4-LU6)*$LU12,0)</f>
        <v>0</v>
      </c>
      <c r="LV11">
        <f t="shared" si="415"/>
        <v>0</v>
      </c>
      <c r="LW11">
        <f t="shared" si="415"/>
        <v>0</v>
      </c>
      <c r="LX11">
        <f t="shared" si="415"/>
        <v>0</v>
      </c>
      <c r="LY11">
        <f t="shared" si="415"/>
        <v>0</v>
      </c>
      <c r="LZ11">
        <f t="shared" si="415"/>
        <v>0</v>
      </c>
      <c r="MA11">
        <f t="shared" si="415"/>
        <v>0</v>
      </c>
      <c r="MB11">
        <f t="shared" si="415"/>
        <v>0</v>
      </c>
      <c r="MC11">
        <f t="shared" si="415"/>
        <v>0</v>
      </c>
      <c r="MG11" s="9"/>
      <c r="MJ11" s="3" t="s">
        <v>202</v>
      </c>
      <c r="MK11">
        <f t="shared" ref="MK11:MS11" si="416">+MAX((MK4-MK6)*$MK12,0)</f>
        <v>0</v>
      </c>
      <c r="ML11">
        <f t="shared" si="416"/>
        <v>0</v>
      </c>
      <c r="MM11">
        <f t="shared" si="416"/>
        <v>0</v>
      </c>
      <c r="MN11">
        <f t="shared" si="416"/>
        <v>0</v>
      </c>
      <c r="MO11">
        <f t="shared" si="416"/>
        <v>0</v>
      </c>
      <c r="MP11">
        <f t="shared" si="416"/>
        <v>0</v>
      </c>
      <c r="MQ11">
        <f t="shared" si="416"/>
        <v>0</v>
      </c>
      <c r="MR11">
        <f t="shared" si="416"/>
        <v>0</v>
      </c>
      <c r="MS11">
        <f t="shared" si="416"/>
        <v>0</v>
      </c>
      <c r="MW11" s="9"/>
      <c r="MZ11" s="3" t="s">
        <v>203</v>
      </c>
      <c r="NA11">
        <f t="shared" ref="NA11:NI11" si="417">+MAX((NA4-NA6)*$NA12,0)</f>
        <v>0</v>
      </c>
      <c r="NB11">
        <f t="shared" si="417"/>
        <v>0</v>
      </c>
      <c r="NC11">
        <f t="shared" si="417"/>
        <v>0</v>
      </c>
      <c r="ND11">
        <f t="shared" si="417"/>
        <v>0</v>
      </c>
      <c r="NE11">
        <f t="shared" si="417"/>
        <v>0</v>
      </c>
      <c r="NF11">
        <f t="shared" si="417"/>
        <v>0</v>
      </c>
      <c r="NG11">
        <f t="shared" si="417"/>
        <v>0</v>
      </c>
      <c r="NH11">
        <f t="shared" si="417"/>
        <v>0</v>
      </c>
      <c r="NI11">
        <f t="shared" si="417"/>
        <v>0</v>
      </c>
      <c r="NM11" s="9"/>
      <c r="NP11" s="3" t="s">
        <v>204</v>
      </c>
      <c r="NQ11">
        <f t="shared" ref="NQ11:NY11" si="418">+MAX((NQ4-NQ6)*$NQ12,0)</f>
        <v>0</v>
      </c>
      <c r="NR11">
        <f t="shared" si="418"/>
        <v>0</v>
      </c>
      <c r="NS11">
        <f t="shared" si="418"/>
        <v>0</v>
      </c>
      <c r="NT11">
        <f t="shared" si="418"/>
        <v>0</v>
      </c>
      <c r="NU11">
        <f t="shared" si="418"/>
        <v>0</v>
      </c>
      <c r="NV11">
        <f t="shared" si="418"/>
        <v>0</v>
      </c>
      <c r="NW11">
        <f t="shared" si="418"/>
        <v>0</v>
      </c>
      <c r="NX11">
        <f t="shared" si="418"/>
        <v>0</v>
      </c>
      <c r="NY11">
        <f t="shared" si="418"/>
        <v>0</v>
      </c>
      <c r="OC11" s="9"/>
      <c r="OF11" s="3" t="s">
        <v>205</v>
      </c>
      <c r="OG11">
        <f t="shared" ref="OG11:OO11" si="419">+MAX((OG4-OG6)*$OG12,0)</f>
        <v>0</v>
      </c>
      <c r="OH11">
        <f t="shared" si="419"/>
        <v>0</v>
      </c>
      <c r="OI11">
        <f t="shared" si="419"/>
        <v>0</v>
      </c>
      <c r="OJ11">
        <f t="shared" si="419"/>
        <v>0</v>
      </c>
      <c r="OK11">
        <f t="shared" si="419"/>
        <v>0</v>
      </c>
      <c r="OL11">
        <f t="shared" si="419"/>
        <v>0</v>
      </c>
      <c r="OM11">
        <f t="shared" si="419"/>
        <v>0</v>
      </c>
      <c r="ON11">
        <f t="shared" si="419"/>
        <v>0</v>
      </c>
      <c r="OO11">
        <f t="shared" si="419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1334</v>
      </c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4"/>
      <c r="AS12" s="4"/>
      <c r="AT12" s="4"/>
      <c r="AU12" s="4"/>
      <c r="AV12" s="4"/>
      <c r="AW12" s="4"/>
      <c r="AX12" s="4"/>
      <c r="AY12" s="4"/>
      <c r="AZ12" s="4"/>
      <c r="BA12" s="4"/>
      <c r="BH12" s="3" t="s">
        <v>206</v>
      </c>
      <c r="BI12" s="6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9"/>
      <c r="BX12" s="3" t="s">
        <v>207</v>
      </c>
      <c r="BY12" s="31">
        <v>10000000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9"/>
      <c r="CN12" s="3" t="s">
        <v>208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9"/>
      <c r="DD12" s="3" t="s">
        <v>209</v>
      </c>
      <c r="DE12" s="31">
        <v>40000000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9"/>
      <c r="DT12" s="3" t="s">
        <v>210</v>
      </c>
      <c r="DU12" s="3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9"/>
      <c r="EJ12" s="3" t="s">
        <v>211</v>
      </c>
      <c r="EK12" s="31">
        <v>20000000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9"/>
      <c r="EZ12" s="3" t="s">
        <v>212</v>
      </c>
      <c r="FA12" s="3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9"/>
      <c r="FP12" s="3" t="s">
        <v>213</v>
      </c>
      <c r="FQ12" s="31">
        <v>10000000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9"/>
      <c r="GF12" s="3" t="s">
        <v>214</v>
      </c>
      <c r="GG12" s="31">
        <v>10000000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S12" s="9"/>
      <c r="GV12" s="3" t="s">
        <v>215</v>
      </c>
      <c r="GW12" s="31">
        <v>40000000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9"/>
      <c r="HK12" s="6"/>
      <c r="HL12" s="3" t="s">
        <v>216</v>
      </c>
      <c r="HM12" s="31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9"/>
      <c r="IA12" s="6"/>
      <c r="IB12" s="3" t="s">
        <v>217</v>
      </c>
      <c r="IC12" s="6">
        <v>20000000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O12" s="9"/>
      <c r="IR12" s="3" t="s">
        <v>218</v>
      </c>
      <c r="IS12" s="6">
        <v>20000000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E12" s="9"/>
      <c r="JH12" s="3" t="s">
        <v>219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U12" s="9"/>
      <c r="JX12" s="3" t="s">
        <v>220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K12" s="9"/>
      <c r="KN12" s="3" t="s">
        <v>221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LA12" s="9"/>
      <c r="LD12" s="3" t="s">
        <v>222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Q12" s="9"/>
      <c r="LT12" s="3" t="s">
        <v>223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G12" s="9"/>
      <c r="MJ12" s="3" t="s">
        <v>224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W12" s="9"/>
      <c r="MZ12" s="3" t="s">
        <v>225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M12" s="9"/>
      <c r="NP12" s="3" t="s">
        <v>226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C12" s="9"/>
      <c r="OF12" s="3" t="s">
        <v>227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9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1335</v>
      </c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4"/>
      <c r="AS13" s="4"/>
      <c r="AT13" s="4"/>
      <c r="AU13" s="4"/>
      <c r="AV13" s="4"/>
      <c r="AW13" s="4"/>
      <c r="AX13" s="4"/>
      <c r="AY13" s="4"/>
      <c r="AZ13" s="4"/>
      <c r="BA13" s="4"/>
      <c r="BH13" s="3" t="s">
        <v>1337</v>
      </c>
      <c r="BI13" s="6">
        <f>IF(AND(BI6=1,BI4=1),$BI$14,0)</f>
        <v>0</v>
      </c>
      <c r="BJ13" s="6">
        <f t="shared" ref="BJ13:BQ13" si="420">IF(AND(BJ6=1,BJ4=1),$BI$14,0)</f>
        <v>0</v>
      </c>
      <c r="BK13" s="6">
        <f t="shared" si="420"/>
        <v>0</v>
      </c>
      <c r="BL13" s="6">
        <f t="shared" si="420"/>
        <v>0</v>
      </c>
      <c r="BM13" s="6">
        <f t="shared" si="420"/>
        <v>0</v>
      </c>
      <c r="BN13" s="6">
        <f t="shared" si="420"/>
        <v>0</v>
      </c>
      <c r="BO13" s="6">
        <f t="shared" si="420"/>
        <v>0</v>
      </c>
      <c r="BP13" s="6">
        <f t="shared" si="420"/>
        <v>0</v>
      </c>
      <c r="BQ13" s="6">
        <f t="shared" si="420"/>
        <v>0</v>
      </c>
      <c r="BR13" s="4"/>
      <c r="BS13" s="4"/>
      <c r="BU13" s="9"/>
      <c r="BX13" s="3" t="s">
        <v>1343</v>
      </c>
      <c r="BY13" s="6">
        <f>IF(AND(BY6=1,BY4=1),$BY$14,0)</f>
        <v>0</v>
      </c>
      <c r="BZ13" s="6">
        <f t="shared" ref="BZ13:CG13" si="421">IF(AND(BZ6=1,BZ4=1),$BY$14,0)</f>
        <v>0</v>
      </c>
      <c r="CA13" s="6">
        <f t="shared" si="421"/>
        <v>0</v>
      </c>
      <c r="CB13" s="6">
        <f t="shared" si="421"/>
        <v>0</v>
      </c>
      <c r="CC13" s="6">
        <f t="shared" si="421"/>
        <v>0</v>
      </c>
      <c r="CD13" s="6">
        <f t="shared" si="421"/>
        <v>0</v>
      </c>
      <c r="CE13" s="6">
        <f t="shared" si="421"/>
        <v>0</v>
      </c>
      <c r="CF13" s="6">
        <f t="shared" si="421"/>
        <v>0</v>
      </c>
      <c r="CG13" s="6">
        <f t="shared" si="421"/>
        <v>0</v>
      </c>
      <c r="CH13" s="4"/>
      <c r="CI13" s="4"/>
      <c r="CK13" s="9"/>
      <c r="CN13" s="3" t="s">
        <v>1345</v>
      </c>
      <c r="CO13" s="6">
        <f>IF(AND(CO6=1,CO4=1),$CO$14,0)</f>
        <v>0</v>
      </c>
      <c r="CP13" s="6">
        <f t="shared" ref="CP13:CW13" si="422">IF(AND(CP6=1,CP4=1),$CO$14,0)</f>
        <v>0</v>
      </c>
      <c r="CQ13" s="6">
        <f t="shared" si="422"/>
        <v>0</v>
      </c>
      <c r="CR13" s="6">
        <f t="shared" si="422"/>
        <v>0</v>
      </c>
      <c r="CS13" s="6">
        <f t="shared" si="422"/>
        <v>0</v>
      </c>
      <c r="CT13" s="6">
        <f t="shared" si="422"/>
        <v>0</v>
      </c>
      <c r="CU13" s="6">
        <f t="shared" si="422"/>
        <v>0</v>
      </c>
      <c r="CV13" s="6">
        <f t="shared" si="422"/>
        <v>0</v>
      </c>
      <c r="CW13" s="6">
        <f t="shared" si="422"/>
        <v>0</v>
      </c>
      <c r="CX13" s="4"/>
      <c r="CY13" s="4"/>
      <c r="DA13" s="9"/>
      <c r="DD13" s="3" t="s">
        <v>1347</v>
      </c>
      <c r="DE13" s="6">
        <f>IF(AND(DE6=1,DE4=1),$DE$14,0)</f>
        <v>0</v>
      </c>
      <c r="DF13" s="6">
        <f t="shared" ref="DF13:DM13" si="423">IF(AND(DF6=1,DF4=1),$DE$14,0)</f>
        <v>0</v>
      </c>
      <c r="DG13" s="6">
        <f t="shared" si="423"/>
        <v>0</v>
      </c>
      <c r="DH13" s="6">
        <f t="shared" si="423"/>
        <v>0</v>
      </c>
      <c r="DI13" s="6">
        <f t="shared" si="423"/>
        <v>0</v>
      </c>
      <c r="DJ13" s="6">
        <f t="shared" si="423"/>
        <v>0</v>
      </c>
      <c r="DK13" s="6">
        <f t="shared" si="423"/>
        <v>0</v>
      </c>
      <c r="DL13" s="6">
        <f t="shared" si="423"/>
        <v>0</v>
      </c>
      <c r="DM13" s="6">
        <f t="shared" si="423"/>
        <v>0</v>
      </c>
      <c r="DN13" s="4"/>
      <c r="DO13" s="4"/>
      <c r="DQ13" s="9"/>
      <c r="DT13" s="3" t="s">
        <v>1349</v>
      </c>
      <c r="DU13" s="6">
        <f>IF(AND(DU6=1,DU4=1),$DU$14,0)</f>
        <v>0</v>
      </c>
      <c r="DV13" s="6">
        <f t="shared" ref="DV13:EC13" si="424">IF(AND(DV6=1,DV4=1),$DU$14,0)</f>
        <v>0</v>
      </c>
      <c r="DW13" s="6">
        <f t="shared" si="424"/>
        <v>0</v>
      </c>
      <c r="DX13" s="6">
        <f t="shared" si="424"/>
        <v>0</v>
      </c>
      <c r="DY13" s="6">
        <f t="shared" si="424"/>
        <v>0</v>
      </c>
      <c r="DZ13" s="6">
        <f t="shared" si="424"/>
        <v>0</v>
      </c>
      <c r="EA13" s="6">
        <f t="shared" si="424"/>
        <v>0</v>
      </c>
      <c r="EB13" s="6">
        <f t="shared" si="424"/>
        <v>0</v>
      </c>
      <c r="EC13" s="6">
        <f t="shared" si="424"/>
        <v>0</v>
      </c>
      <c r="ED13" s="4"/>
      <c r="EE13" s="4"/>
      <c r="EG13" s="9"/>
      <c r="EJ13" s="3" t="s">
        <v>1351</v>
      </c>
      <c r="EK13" s="6">
        <f>IF(AND(EK6=1,EK4=1),$EK$14,0)</f>
        <v>0</v>
      </c>
      <c r="EL13" s="6">
        <f t="shared" ref="EL13:ES13" si="425">IF(AND(EL6=1,EL4=1),$EK$14,0)</f>
        <v>0</v>
      </c>
      <c r="EM13" s="6">
        <f t="shared" si="425"/>
        <v>0</v>
      </c>
      <c r="EN13" s="6">
        <f t="shared" si="425"/>
        <v>0</v>
      </c>
      <c r="EO13" s="6">
        <f t="shared" si="425"/>
        <v>0</v>
      </c>
      <c r="EP13" s="6">
        <f t="shared" si="425"/>
        <v>0</v>
      </c>
      <c r="EQ13" s="6">
        <f t="shared" si="425"/>
        <v>0</v>
      </c>
      <c r="ER13" s="6">
        <f t="shared" si="425"/>
        <v>0</v>
      </c>
      <c r="ES13" s="6">
        <f t="shared" si="425"/>
        <v>0</v>
      </c>
      <c r="ET13" s="4"/>
      <c r="EU13" s="4"/>
      <c r="EW13" s="9"/>
      <c r="EZ13" s="3" t="s">
        <v>1353</v>
      </c>
      <c r="FA13" s="6">
        <f>IF(AND(FA6=1,FA4=1),$FA$14,0)</f>
        <v>0</v>
      </c>
      <c r="FB13" s="6">
        <f t="shared" ref="FB13:FI13" si="426">IF(AND(FB6=1,FB4=1),$FA$14,0)</f>
        <v>0</v>
      </c>
      <c r="FC13" s="6">
        <f t="shared" si="426"/>
        <v>0</v>
      </c>
      <c r="FD13" s="6">
        <f t="shared" si="426"/>
        <v>0</v>
      </c>
      <c r="FE13" s="6">
        <f t="shared" si="426"/>
        <v>0</v>
      </c>
      <c r="FF13" s="6">
        <f t="shared" si="426"/>
        <v>0</v>
      </c>
      <c r="FG13" s="6">
        <f t="shared" si="426"/>
        <v>0</v>
      </c>
      <c r="FH13" s="6">
        <f t="shared" si="426"/>
        <v>0</v>
      </c>
      <c r="FI13" s="6">
        <f t="shared" si="426"/>
        <v>0</v>
      </c>
      <c r="FJ13" s="4"/>
      <c r="FK13" s="6"/>
      <c r="FM13" s="9"/>
      <c r="FP13" s="3" t="s">
        <v>1355</v>
      </c>
      <c r="FQ13" s="6">
        <f>IF(AND(FQ6=1,FQ4=1),$FQ$14,0)</f>
        <v>0</v>
      </c>
      <c r="FR13" s="6">
        <f t="shared" ref="FR13:FY13" si="427">IF(AND(FR6=1,FR4=1),$FQ$14,0)</f>
        <v>0</v>
      </c>
      <c r="FS13" s="6">
        <f t="shared" si="427"/>
        <v>0</v>
      </c>
      <c r="FT13" s="6">
        <f t="shared" si="427"/>
        <v>0</v>
      </c>
      <c r="FU13" s="6">
        <f t="shared" si="427"/>
        <v>0</v>
      </c>
      <c r="FV13" s="6">
        <f t="shared" si="427"/>
        <v>0</v>
      </c>
      <c r="FW13" s="6">
        <f t="shared" si="427"/>
        <v>0</v>
      </c>
      <c r="FX13" s="6">
        <f t="shared" si="427"/>
        <v>0</v>
      </c>
      <c r="FY13" s="6">
        <f t="shared" si="427"/>
        <v>0</v>
      </c>
      <c r="FZ13" s="4"/>
      <c r="GA13" s="6"/>
      <c r="GC13" s="9"/>
      <c r="GF13" s="3" t="s">
        <v>1357</v>
      </c>
      <c r="GG13" s="6">
        <f>IF(AND(GG6=1,GG4=1),$GG$14,0)</f>
        <v>0</v>
      </c>
      <c r="GH13" s="6">
        <f t="shared" ref="GH13:GO13" si="428">IF(AND(GH6=1,GH4=1),$GG$14,0)</f>
        <v>0</v>
      </c>
      <c r="GI13" s="6">
        <f t="shared" si="428"/>
        <v>0</v>
      </c>
      <c r="GJ13" s="6">
        <f t="shared" si="428"/>
        <v>0</v>
      </c>
      <c r="GK13" s="6">
        <f t="shared" si="428"/>
        <v>0</v>
      </c>
      <c r="GL13" s="6">
        <f t="shared" si="428"/>
        <v>0</v>
      </c>
      <c r="GM13" s="6">
        <f t="shared" si="428"/>
        <v>0</v>
      </c>
      <c r="GN13" s="6">
        <f t="shared" si="428"/>
        <v>0</v>
      </c>
      <c r="GO13" s="6">
        <f t="shared" si="428"/>
        <v>0</v>
      </c>
      <c r="GP13" s="4"/>
      <c r="GQ13" s="4"/>
      <c r="GS13" s="9"/>
      <c r="GV13" s="3" t="s">
        <v>1359</v>
      </c>
      <c r="GW13" s="6">
        <f>IF(AND(GW6=1,GW4=1),$GW$14,0)</f>
        <v>0</v>
      </c>
      <c r="GX13" s="6">
        <f t="shared" ref="GX13:HE13" si="429">IF(AND(GX6=1,GX4=1),$GW$14,0)</f>
        <v>0</v>
      </c>
      <c r="GY13" s="6">
        <f t="shared" si="429"/>
        <v>0</v>
      </c>
      <c r="GZ13" s="6">
        <f t="shared" si="429"/>
        <v>0</v>
      </c>
      <c r="HA13" s="6">
        <f t="shared" si="429"/>
        <v>0</v>
      </c>
      <c r="HB13" s="6">
        <f t="shared" si="429"/>
        <v>0</v>
      </c>
      <c r="HC13" s="6">
        <f t="shared" si="429"/>
        <v>0</v>
      </c>
      <c r="HD13" s="6">
        <f t="shared" si="429"/>
        <v>0</v>
      </c>
      <c r="HE13" s="6">
        <f t="shared" si="429"/>
        <v>0</v>
      </c>
      <c r="HF13" s="6"/>
      <c r="HG13" s="6"/>
      <c r="HH13" s="6"/>
      <c r="HI13" s="9"/>
      <c r="HK13" s="6"/>
      <c r="HL13" s="3" t="s">
        <v>1361</v>
      </c>
      <c r="HM13" s="6">
        <f>IF(AND(HM6=1,HM4=1),$HM$14,0)</f>
        <v>0</v>
      </c>
      <c r="HN13" s="6">
        <f t="shared" ref="HN13:HU13" si="430">IF(AND(HN6=1,HN4=1),$HM$14,0)</f>
        <v>0</v>
      </c>
      <c r="HO13" s="6">
        <f t="shared" si="430"/>
        <v>0</v>
      </c>
      <c r="HP13" s="6">
        <f t="shared" si="430"/>
        <v>0</v>
      </c>
      <c r="HQ13" s="6">
        <f t="shared" si="430"/>
        <v>0</v>
      </c>
      <c r="HR13" s="6">
        <f t="shared" si="430"/>
        <v>0</v>
      </c>
      <c r="HS13" s="6">
        <f t="shared" si="430"/>
        <v>0</v>
      </c>
      <c r="HT13" s="6">
        <f t="shared" si="430"/>
        <v>0</v>
      </c>
      <c r="HU13" s="6">
        <f t="shared" si="430"/>
        <v>0</v>
      </c>
      <c r="HV13" s="6"/>
      <c r="HW13" s="6"/>
      <c r="HX13" s="6"/>
      <c r="HY13" s="9"/>
      <c r="IA13" s="6"/>
      <c r="IB13" s="3" t="s">
        <v>1363</v>
      </c>
      <c r="IC13" s="6">
        <f>IF(AND(IC6=1,IC4=1),$IC$14,0)</f>
        <v>0</v>
      </c>
      <c r="ID13" s="6">
        <f t="shared" ref="ID13:IK13" si="431">IF(AND(ID6=1,ID4=1),$IC$14,0)</f>
        <v>0</v>
      </c>
      <c r="IE13" s="6">
        <f t="shared" si="431"/>
        <v>0</v>
      </c>
      <c r="IF13" s="6">
        <f t="shared" si="431"/>
        <v>0</v>
      </c>
      <c r="IG13" s="6">
        <f t="shared" si="431"/>
        <v>0</v>
      </c>
      <c r="IH13" s="6">
        <f t="shared" si="431"/>
        <v>0</v>
      </c>
      <c r="II13" s="6">
        <f t="shared" si="431"/>
        <v>0</v>
      </c>
      <c r="IJ13" s="6">
        <f t="shared" si="431"/>
        <v>0</v>
      </c>
      <c r="IK13" s="6">
        <f t="shared" si="431"/>
        <v>0</v>
      </c>
      <c r="IL13" s="4"/>
      <c r="IM13" s="4"/>
      <c r="IO13" s="9"/>
      <c r="IR13" s="3" t="s">
        <v>1366</v>
      </c>
      <c r="IS13" s="6">
        <f>IF(AND(IS6=1,IS4=1),$IS$14,0)</f>
        <v>0</v>
      </c>
      <c r="IT13" s="6">
        <f t="shared" ref="IT13:JA13" si="432">IF(AND(IT6=1,IT4=1),$IS$14,0)</f>
        <v>0</v>
      </c>
      <c r="IU13" s="6">
        <f t="shared" si="432"/>
        <v>0</v>
      </c>
      <c r="IV13" s="6">
        <f t="shared" si="432"/>
        <v>0</v>
      </c>
      <c r="IW13" s="6">
        <f t="shared" si="432"/>
        <v>0</v>
      </c>
      <c r="IX13" s="6">
        <f t="shared" si="432"/>
        <v>0</v>
      </c>
      <c r="IY13" s="6">
        <f t="shared" si="432"/>
        <v>0</v>
      </c>
      <c r="IZ13" s="6">
        <f t="shared" si="432"/>
        <v>0</v>
      </c>
      <c r="JA13" s="6">
        <f t="shared" si="432"/>
        <v>0</v>
      </c>
      <c r="JB13" s="4"/>
      <c r="JC13" s="4"/>
      <c r="JE13" s="9"/>
      <c r="JH13" s="3" t="s">
        <v>1367</v>
      </c>
      <c r="JI13" s="6">
        <f>IF(AND(JI6=1,JI4=1),$JI$14,0)</f>
        <v>0</v>
      </c>
      <c r="JJ13" s="6">
        <f t="shared" ref="JJ13:JQ13" si="433">IF(AND(JJ6=1,JJ4=1),$JI$14,0)</f>
        <v>0</v>
      </c>
      <c r="JK13" s="6">
        <f t="shared" si="433"/>
        <v>0</v>
      </c>
      <c r="JL13" s="6">
        <f t="shared" si="433"/>
        <v>0</v>
      </c>
      <c r="JM13" s="6">
        <f t="shared" si="433"/>
        <v>0</v>
      </c>
      <c r="JN13" s="6">
        <f t="shared" si="433"/>
        <v>0</v>
      </c>
      <c r="JO13" s="6">
        <f t="shared" si="433"/>
        <v>0</v>
      </c>
      <c r="JP13" s="6">
        <f t="shared" si="433"/>
        <v>0</v>
      </c>
      <c r="JQ13" s="6">
        <f t="shared" si="433"/>
        <v>0</v>
      </c>
      <c r="JR13" s="4"/>
      <c r="JS13" s="4"/>
      <c r="JU13" s="9"/>
      <c r="JX13" s="3" t="s">
        <v>1370</v>
      </c>
      <c r="JY13" s="6">
        <f>IF(AND(JY6=1,JY4=1),$JY$14,0)</f>
        <v>0</v>
      </c>
      <c r="JZ13" s="6">
        <f t="shared" ref="JZ13:KG13" si="434">IF(AND(JZ6=1,JZ4=1),$JY$14,0)</f>
        <v>0</v>
      </c>
      <c r="KA13" s="6">
        <f t="shared" si="434"/>
        <v>0</v>
      </c>
      <c r="KB13" s="6">
        <f t="shared" si="434"/>
        <v>0</v>
      </c>
      <c r="KC13" s="6">
        <f t="shared" si="434"/>
        <v>0</v>
      </c>
      <c r="KD13" s="6">
        <f t="shared" si="434"/>
        <v>0</v>
      </c>
      <c r="KE13" s="6">
        <f t="shared" si="434"/>
        <v>0</v>
      </c>
      <c r="KF13" s="6">
        <f t="shared" si="434"/>
        <v>0</v>
      </c>
      <c r="KG13" s="6">
        <f t="shared" si="434"/>
        <v>0</v>
      </c>
      <c r="KH13" s="4"/>
      <c r="KI13" s="4"/>
      <c r="KK13" s="9"/>
      <c r="KN13" s="3" t="s">
        <v>1371</v>
      </c>
      <c r="KO13" s="6">
        <f>IF(AND(KO6=1,KO4=1),$KO$14,0)</f>
        <v>0</v>
      </c>
      <c r="KP13" s="6">
        <f t="shared" ref="KP13:KW13" si="435">IF(AND(KP6=1,KP4=1),$KO$14,0)</f>
        <v>0</v>
      </c>
      <c r="KQ13" s="6">
        <f t="shared" si="435"/>
        <v>0</v>
      </c>
      <c r="KR13" s="6">
        <f t="shared" si="435"/>
        <v>0</v>
      </c>
      <c r="KS13" s="6">
        <f t="shared" si="435"/>
        <v>0</v>
      </c>
      <c r="KT13" s="6">
        <f t="shared" si="435"/>
        <v>0</v>
      </c>
      <c r="KU13" s="6">
        <f t="shared" si="435"/>
        <v>0</v>
      </c>
      <c r="KV13" s="6">
        <f t="shared" si="435"/>
        <v>0</v>
      </c>
      <c r="KW13" s="6">
        <f t="shared" si="435"/>
        <v>0</v>
      </c>
      <c r="KX13" s="4"/>
      <c r="KY13" s="4"/>
      <c r="LA13" s="9"/>
      <c r="LD13" s="3" t="s">
        <v>1373</v>
      </c>
      <c r="LE13" s="6">
        <f>IF(AND(LE6=1,LE4=1),$LE$14,0)</f>
        <v>0</v>
      </c>
      <c r="LF13" s="6">
        <f t="shared" ref="LF13:LM13" si="436">IF(AND(LF6=1,LF4=1),$LE$14,0)</f>
        <v>0</v>
      </c>
      <c r="LG13" s="6">
        <f t="shared" si="436"/>
        <v>0</v>
      </c>
      <c r="LH13" s="6">
        <f t="shared" si="436"/>
        <v>0</v>
      </c>
      <c r="LI13" s="6">
        <f t="shared" si="436"/>
        <v>0</v>
      </c>
      <c r="LJ13" s="6">
        <f t="shared" si="436"/>
        <v>0</v>
      </c>
      <c r="LK13" s="6">
        <f t="shared" si="436"/>
        <v>0</v>
      </c>
      <c r="LL13" s="6">
        <f t="shared" si="436"/>
        <v>0</v>
      </c>
      <c r="LM13" s="6">
        <f t="shared" si="436"/>
        <v>0</v>
      </c>
      <c r="LN13" s="4"/>
      <c r="LO13" s="4"/>
      <c r="LQ13" s="9"/>
      <c r="LT13" s="3" t="s">
        <v>1376</v>
      </c>
      <c r="LU13" s="6">
        <f>IF(AND(LU6=1,LU4=1),$LU$14,0)</f>
        <v>0</v>
      </c>
      <c r="LV13" s="6">
        <f t="shared" ref="LV13:MC13" si="437">IF(AND(LV6=1,LV4=1),$LU$14,0)</f>
        <v>0</v>
      </c>
      <c r="LW13" s="6">
        <f t="shared" si="437"/>
        <v>0</v>
      </c>
      <c r="LX13" s="6">
        <f t="shared" si="437"/>
        <v>0</v>
      </c>
      <c r="LY13" s="6">
        <f t="shared" si="437"/>
        <v>0</v>
      </c>
      <c r="LZ13" s="6">
        <f t="shared" si="437"/>
        <v>0</v>
      </c>
      <c r="MA13" s="6">
        <f t="shared" si="437"/>
        <v>0</v>
      </c>
      <c r="MB13" s="6">
        <f t="shared" si="437"/>
        <v>0</v>
      </c>
      <c r="MC13" s="6">
        <f t="shared" si="437"/>
        <v>0</v>
      </c>
      <c r="MD13" s="4"/>
      <c r="ME13" s="4"/>
      <c r="MG13" s="9"/>
      <c r="MJ13" s="3" t="s">
        <v>1377</v>
      </c>
      <c r="MK13" s="6">
        <f>IF(AND(MK6=1,MK4=1),$MK$14,0)</f>
        <v>0</v>
      </c>
      <c r="ML13" s="6">
        <f t="shared" ref="ML13:MS13" si="438">IF(AND(ML6=1,ML4=1),$MK$14,0)</f>
        <v>0</v>
      </c>
      <c r="MM13" s="6">
        <f t="shared" si="438"/>
        <v>0</v>
      </c>
      <c r="MN13" s="6">
        <f t="shared" si="438"/>
        <v>0</v>
      </c>
      <c r="MO13" s="6">
        <f t="shared" si="438"/>
        <v>0</v>
      </c>
      <c r="MP13" s="6">
        <f t="shared" si="438"/>
        <v>0</v>
      </c>
      <c r="MQ13" s="6">
        <f t="shared" si="438"/>
        <v>0</v>
      </c>
      <c r="MR13" s="6">
        <f t="shared" si="438"/>
        <v>0</v>
      </c>
      <c r="MS13" s="6">
        <f t="shared" si="438"/>
        <v>0</v>
      </c>
      <c r="MT13" s="4"/>
      <c r="MU13" s="4"/>
      <c r="MW13" s="9"/>
      <c r="MZ13" s="3" t="s">
        <v>1379</v>
      </c>
      <c r="NA13" s="6">
        <f>IF(AND(NA6=1,NA4=1),$NA$14,0)</f>
        <v>0</v>
      </c>
      <c r="NB13" s="6">
        <f t="shared" ref="NB13:NI13" si="439">IF(AND(NB6=1,NB4=1),$NA$14,0)</f>
        <v>0</v>
      </c>
      <c r="NC13" s="6">
        <f t="shared" si="439"/>
        <v>0</v>
      </c>
      <c r="ND13" s="6">
        <f t="shared" si="439"/>
        <v>0</v>
      </c>
      <c r="NE13" s="6">
        <f t="shared" si="439"/>
        <v>0</v>
      </c>
      <c r="NF13" s="6">
        <f t="shared" si="439"/>
        <v>0</v>
      </c>
      <c r="NG13" s="6">
        <f t="shared" si="439"/>
        <v>0</v>
      </c>
      <c r="NH13" s="6">
        <f t="shared" si="439"/>
        <v>0</v>
      </c>
      <c r="NI13" s="6">
        <f t="shared" si="439"/>
        <v>0</v>
      </c>
      <c r="NJ13" s="4"/>
      <c r="NK13" s="4"/>
      <c r="NM13" s="9"/>
      <c r="NP13" s="3" t="s">
        <v>1381</v>
      </c>
      <c r="NQ13" s="6">
        <f>IF(AND(NQ6=1,NQ4=1),$NQ$14,0)</f>
        <v>0</v>
      </c>
      <c r="NR13" s="6">
        <f t="shared" ref="NR13:NY13" si="440">IF(AND(NR6=1,NR4=1),$NQ$14,0)</f>
        <v>0</v>
      </c>
      <c r="NS13" s="6">
        <f t="shared" si="440"/>
        <v>0</v>
      </c>
      <c r="NT13" s="6">
        <f t="shared" si="440"/>
        <v>0</v>
      </c>
      <c r="NU13" s="6">
        <f t="shared" si="440"/>
        <v>0</v>
      </c>
      <c r="NV13" s="6">
        <f t="shared" si="440"/>
        <v>0</v>
      </c>
      <c r="NW13" s="6">
        <f t="shared" si="440"/>
        <v>0</v>
      </c>
      <c r="NX13" s="6">
        <f>IF(AND(NX6=1,NX4=1),$NQ$14,0)</f>
        <v>0</v>
      </c>
      <c r="NY13" s="6">
        <f t="shared" si="440"/>
        <v>0</v>
      </c>
      <c r="NZ13" s="4"/>
      <c r="OA13" s="4"/>
      <c r="OC13" s="9"/>
      <c r="OF13" s="3" t="s">
        <v>1341</v>
      </c>
      <c r="OG13" s="6">
        <f>IF(AND(OG6=1,OG4=1),$OG$14,0)</f>
        <v>0</v>
      </c>
      <c r="OH13" s="6">
        <f t="shared" ref="OH13:OO13" si="441">IF(AND(OH6=1,OH4=1),$OG$14,0)</f>
        <v>0</v>
      </c>
      <c r="OI13" s="6">
        <f t="shared" si="441"/>
        <v>0</v>
      </c>
      <c r="OJ13" s="6">
        <f t="shared" si="441"/>
        <v>0</v>
      </c>
      <c r="OK13" s="6">
        <f t="shared" si="441"/>
        <v>0</v>
      </c>
      <c r="OL13" s="6">
        <f t="shared" si="441"/>
        <v>0</v>
      </c>
      <c r="OM13" s="6">
        <f t="shared" si="441"/>
        <v>0</v>
      </c>
      <c r="ON13" s="6">
        <f t="shared" si="441"/>
        <v>0</v>
      </c>
      <c r="OO13" s="6">
        <f t="shared" si="441"/>
        <v>0</v>
      </c>
      <c r="OP13" s="4"/>
      <c r="OQ13" s="4"/>
      <c r="OS13" s="9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1336</v>
      </c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4"/>
      <c r="AS14" s="4"/>
      <c r="AT14" s="4"/>
      <c r="AU14" s="4"/>
      <c r="AV14" s="4"/>
      <c r="AW14" s="4"/>
      <c r="AX14" s="4"/>
      <c r="AY14" s="4"/>
      <c r="AZ14" s="4"/>
      <c r="BA14" s="4"/>
      <c r="BH14" s="3" t="s">
        <v>1338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9"/>
      <c r="BX14" s="3" t="s">
        <v>1344</v>
      </c>
      <c r="BY14" s="6">
        <f>BY12/5</f>
        <v>2000000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9"/>
      <c r="CN14" s="3" t="s">
        <v>1346</v>
      </c>
      <c r="CO14" s="6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9"/>
      <c r="DD14" s="3" t="s">
        <v>1348</v>
      </c>
      <c r="DE14" s="6">
        <f>DE12/5</f>
        <v>8000000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9"/>
      <c r="DT14" s="3" t="s">
        <v>1350</v>
      </c>
      <c r="DU14" s="6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9"/>
      <c r="EJ14" s="3" t="s">
        <v>1352</v>
      </c>
      <c r="EK14" s="6">
        <f>EK12/5</f>
        <v>4000000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9"/>
      <c r="EZ14" s="3" t="s">
        <v>1354</v>
      </c>
      <c r="FA14" s="6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9"/>
      <c r="FP14" s="3" t="s">
        <v>1356</v>
      </c>
      <c r="FQ14" s="6">
        <f>FQ12/5</f>
        <v>2000000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9"/>
      <c r="GF14" s="3" t="s">
        <v>1358</v>
      </c>
      <c r="GG14" s="6">
        <f>GG12/5</f>
        <v>2000000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S14" s="9"/>
      <c r="GV14" s="3" t="s">
        <v>1360</v>
      </c>
      <c r="GW14" s="6">
        <f>GW12/5</f>
        <v>8000000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9"/>
      <c r="HK14" s="6"/>
      <c r="HL14" s="3" t="s">
        <v>1362</v>
      </c>
      <c r="HM14" s="6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9"/>
      <c r="IA14" s="6"/>
      <c r="IB14" s="3" t="s">
        <v>1364</v>
      </c>
      <c r="IC14" s="6">
        <f>IC12/5</f>
        <v>4000000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O14" s="9"/>
      <c r="IR14" s="3" t="s">
        <v>1365</v>
      </c>
      <c r="IS14" s="6">
        <f>IS12/5</f>
        <v>4000000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E14" s="9"/>
      <c r="JH14" s="3" t="s">
        <v>1368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U14" s="9"/>
      <c r="JX14" s="3" t="s">
        <v>1369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K14" s="9"/>
      <c r="KN14" s="3" t="s">
        <v>1372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LA14" s="9"/>
      <c r="LD14" s="3" t="s">
        <v>1374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Q14" s="9"/>
      <c r="LT14" s="3" t="s">
        <v>1375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G14" s="9"/>
      <c r="MJ14" s="3" t="s">
        <v>1378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W14" s="9"/>
      <c r="MZ14" s="3" t="s">
        <v>1380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M14" s="9"/>
      <c r="NP14" s="3" t="s">
        <v>1382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C14" s="9"/>
      <c r="OF14" s="3" t="s">
        <v>1342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9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228</v>
      </c>
      <c r="X15" s="3"/>
      <c r="Y15" s="7"/>
      <c r="AP15" s="3"/>
      <c r="AQ15" s="7"/>
      <c r="BH15" s="3" t="s">
        <v>229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230</v>
      </c>
      <c r="BY15" s="7" t="s">
        <v>6</v>
      </c>
      <c r="CK15" s="9"/>
      <c r="CN15" s="3" t="s">
        <v>231</v>
      </c>
      <c r="CO15" s="7" t="s">
        <v>6</v>
      </c>
      <c r="DA15" s="9"/>
      <c r="DD15" s="3" t="s">
        <v>232</v>
      </c>
      <c r="DE15" s="7" t="s">
        <v>6</v>
      </c>
      <c r="DQ15" s="9"/>
      <c r="DT15" s="3" t="s">
        <v>233</v>
      </c>
      <c r="DU15" s="7" t="s">
        <v>6</v>
      </c>
      <c r="EG15" s="9"/>
      <c r="EJ15" s="3" t="s">
        <v>234</v>
      </c>
      <c r="EK15" s="7" t="s">
        <v>6</v>
      </c>
      <c r="EW15" s="9"/>
      <c r="EZ15" s="3" t="s">
        <v>235</v>
      </c>
      <c r="FA15" s="7" t="s">
        <v>6</v>
      </c>
      <c r="FI15" s="7"/>
      <c r="FK15" s="7"/>
      <c r="FM15" s="9"/>
      <c r="FP15" s="3" t="s">
        <v>236</v>
      </c>
      <c r="FQ15" s="7" t="s">
        <v>6</v>
      </c>
      <c r="FY15" s="7"/>
      <c r="GA15" s="7"/>
      <c r="GC15" s="9"/>
      <c r="GF15" s="3" t="s">
        <v>237</v>
      </c>
      <c r="GG15" s="7" t="s">
        <v>6</v>
      </c>
      <c r="GO15" s="7"/>
      <c r="GS15" s="9"/>
      <c r="GV15" s="3" t="s">
        <v>238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9"/>
      <c r="HK15" s="7"/>
      <c r="HL15" s="3" t="s">
        <v>239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9"/>
      <c r="IA15" s="7"/>
      <c r="IB15" s="3" t="s">
        <v>240</v>
      </c>
      <c r="IC15" s="7" t="s">
        <v>6</v>
      </c>
      <c r="ID15" s="7"/>
      <c r="IE15" s="7"/>
      <c r="IO15" s="9"/>
      <c r="IR15" s="3" t="s">
        <v>241</v>
      </c>
      <c r="IS15" s="7" t="s">
        <v>6</v>
      </c>
      <c r="JE15" s="9"/>
      <c r="JH15" s="3" t="s">
        <v>242</v>
      </c>
      <c r="JI15" s="7" t="s">
        <v>6</v>
      </c>
      <c r="JU15" s="9"/>
      <c r="JX15" s="3" t="s">
        <v>243</v>
      </c>
      <c r="JY15" s="7" t="s">
        <v>6</v>
      </c>
      <c r="KK15" s="9"/>
      <c r="KN15" s="3" t="s">
        <v>244</v>
      </c>
      <c r="KO15" s="7" t="s">
        <v>6</v>
      </c>
      <c r="LA15" s="9"/>
      <c r="LD15" s="3" t="s">
        <v>245</v>
      </c>
      <c r="LE15" s="7" t="s">
        <v>6</v>
      </c>
      <c r="LQ15" s="9"/>
      <c r="LT15" s="3" t="s">
        <v>246</v>
      </c>
      <c r="LU15" s="7" t="s">
        <v>6</v>
      </c>
      <c r="MG15" s="9"/>
      <c r="MJ15" s="3" t="s">
        <v>247</v>
      </c>
      <c r="MK15" s="7" t="s">
        <v>6</v>
      </c>
      <c r="MW15" s="9"/>
      <c r="MZ15" s="3" t="s">
        <v>248</v>
      </c>
      <c r="NA15" s="7" t="s">
        <v>6</v>
      </c>
      <c r="NM15" s="9"/>
      <c r="NP15" s="3" t="s">
        <v>249</v>
      </c>
      <c r="NQ15" s="7" t="s">
        <v>6</v>
      </c>
      <c r="OC15" s="9"/>
      <c r="OF15" s="3" t="s">
        <v>250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251</v>
      </c>
      <c r="X16" s="3"/>
      <c r="Y16" s="7"/>
      <c r="AP16" s="3"/>
      <c r="AQ16" s="7"/>
      <c r="BH16" s="3" t="s">
        <v>252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253</v>
      </c>
      <c r="BY16" s="7" t="s">
        <v>6</v>
      </c>
      <c r="CK16" s="9"/>
      <c r="CN16" s="3" t="s">
        <v>254</v>
      </c>
      <c r="CO16" s="7" t="s">
        <v>6</v>
      </c>
      <c r="DA16" s="9"/>
      <c r="DD16" s="3" t="s">
        <v>255</v>
      </c>
      <c r="DE16" s="7" t="s">
        <v>6</v>
      </c>
      <c r="DQ16" s="9"/>
      <c r="DT16" s="3" t="s">
        <v>256</v>
      </c>
      <c r="DU16" s="7" t="s">
        <v>6</v>
      </c>
      <c r="EG16" s="9"/>
      <c r="EJ16" s="3" t="s">
        <v>257</v>
      </c>
      <c r="EK16" s="7" t="s">
        <v>6</v>
      </c>
      <c r="EW16" s="9"/>
      <c r="EZ16" s="3" t="s">
        <v>258</v>
      </c>
      <c r="FA16" s="7" t="s">
        <v>6</v>
      </c>
      <c r="FI16" s="7"/>
      <c r="FK16" s="7"/>
      <c r="FM16" s="9"/>
      <c r="FP16" s="3" t="s">
        <v>259</v>
      </c>
      <c r="FQ16" s="7" t="s">
        <v>6</v>
      </c>
      <c r="FY16" s="7"/>
      <c r="GA16" s="7"/>
      <c r="GC16" s="9"/>
      <c r="GF16" s="3" t="s">
        <v>260</v>
      </c>
      <c r="GG16" s="7" t="s">
        <v>6</v>
      </c>
      <c r="GO16" s="7"/>
      <c r="GS16" s="9"/>
      <c r="GV16" s="3" t="s">
        <v>261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9"/>
      <c r="HK16" s="7"/>
      <c r="HL16" s="3" t="s">
        <v>262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9"/>
      <c r="IA16" s="7"/>
      <c r="IB16" s="3" t="s">
        <v>263</v>
      </c>
      <c r="IC16" s="7" t="s">
        <v>6</v>
      </c>
      <c r="ID16" s="7"/>
      <c r="IE16" s="7"/>
      <c r="IO16" s="9"/>
      <c r="IR16" s="3" t="s">
        <v>264</v>
      </c>
      <c r="IS16" s="7" t="s">
        <v>6</v>
      </c>
      <c r="JE16" s="9"/>
      <c r="JH16" s="3" t="s">
        <v>265</v>
      </c>
      <c r="JI16" s="7" t="s">
        <v>6</v>
      </c>
      <c r="JU16" s="9"/>
      <c r="JX16" s="3" t="s">
        <v>266</v>
      </c>
      <c r="JY16" s="7" t="s">
        <v>6</v>
      </c>
      <c r="KK16" s="9"/>
      <c r="KN16" s="3" t="s">
        <v>267</v>
      </c>
      <c r="KO16" s="7" t="s">
        <v>6</v>
      </c>
      <c r="LA16" s="9"/>
      <c r="LD16" s="3" t="s">
        <v>268</v>
      </c>
      <c r="LE16" s="7" t="s">
        <v>6</v>
      </c>
      <c r="LQ16" s="9"/>
      <c r="LT16" s="3" t="s">
        <v>269</v>
      </c>
      <c r="LU16" s="7" t="s">
        <v>6</v>
      </c>
      <c r="MG16" s="9"/>
      <c r="MJ16" s="3" t="s">
        <v>270</v>
      </c>
      <c r="MK16" s="7" t="s">
        <v>6</v>
      </c>
      <c r="MW16" s="9"/>
      <c r="MZ16" s="3" t="s">
        <v>271</v>
      </c>
      <c r="NA16" s="7" t="s">
        <v>6</v>
      </c>
      <c r="NM16" s="9"/>
      <c r="NP16" s="3" t="s">
        <v>272</v>
      </c>
      <c r="NQ16" s="7" t="s">
        <v>6</v>
      </c>
      <c r="OC16" s="9"/>
      <c r="OF16" s="3" t="s">
        <v>273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274</v>
      </c>
      <c r="X17" s="3"/>
      <c r="AP17" s="3"/>
      <c r="BH17" s="3" t="s">
        <v>275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276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277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278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279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280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281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282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283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284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285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286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287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288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289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290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291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292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293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294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295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296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319</v>
      </c>
      <c r="X18" s="3"/>
      <c r="AP18" s="3"/>
      <c r="BH18" s="3" t="s">
        <v>321</v>
      </c>
      <c r="BI18">
        <v>1</v>
      </c>
      <c r="BU18" s="9"/>
      <c r="BX18" s="3" t="s">
        <v>322</v>
      </c>
      <c r="BY18">
        <v>1</v>
      </c>
      <c r="CK18" s="9"/>
      <c r="CN18" s="3" t="s">
        <v>323</v>
      </c>
      <c r="CO18">
        <v>1</v>
      </c>
      <c r="DA18" s="9"/>
      <c r="DD18" s="3" t="s">
        <v>324</v>
      </c>
      <c r="DE18">
        <v>1</v>
      </c>
      <c r="DQ18" s="9"/>
      <c r="DT18" s="3" t="s">
        <v>325</v>
      </c>
      <c r="DU18">
        <v>1</v>
      </c>
      <c r="EG18" s="9"/>
      <c r="EJ18" s="3" t="s">
        <v>326</v>
      </c>
      <c r="EK18">
        <v>1</v>
      </c>
      <c r="EW18" s="9"/>
      <c r="EZ18" s="3" t="s">
        <v>327</v>
      </c>
      <c r="FA18">
        <v>1</v>
      </c>
      <c r="FM18" s="9"/>
      <c r="FP18" s="3" t="s">
        <v>328</v>
      </c>
      <c r="FQ18">
        <v>1</v>
      </c>
      <c r="GC18" s="9"/>
      <c r="GF18" s="3" t="s">
        <v>329</v>
      </c>
      <c r="GG18">
        <v>1</v>
      </c>
      <c r="GS18" s="9"/>
      <c r="GV18" s="3" t="s">
        <v>330</v>
      </c>
      <c r="GW18">
        <v>1</v>
      </c>
      <c r="HI18" s="9"/>
      <c r="HL18" s="3" t="s">
        <v>331</v>
      </c>
      <c r="HM18">
        <v>1</v>
      </c>
      <c r="HY18" s="9"/>
      <c r="IB18" s="3" t="s">
        <v>332</v>
      </c>
      <c r="IC18">
        <v>1</v>
      </c>
      <c r="IO18" s="9"/>
      <c r="IR18" s="3" t="s">
        <v>346</v>
      </c>
      <c r="IS18">
        <v>1</v>
      </c>
      <c r="JE18" s="9"/>
      <c r="JH18" s="3" t="s">
        <v>360</v>
      </c>
      <c r="JI18">
        <v>1</v>
      </c>
      <c r="JU18" s="9"/>
      <c r="JX18" s="3" t="s">
        <v>362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345</v>
      </c>
      <c r="X19" s="3"/>
      <c r="AP19" s="3"/>
      <c r="BH19" s="3" t="s">
        <v>347</v>
      </c>
      <c r="BI19">
        <v>1</v>
      </c>
      <c r="BU19" s="9"/>
      <c r="BX19" s="3" t="s">
        <v>348</v>
      </c>
      <c r="BY19">
        <v>1</v>
      </c>
      <c r="CK19" s="9"/>
      <c r="CN19" s="3" t="s">
        <v>349</v>
      </c>
      <c r="CO19">
        <v>1</v>
      </c>
      <c r="DA19" s="9"/>
      <c r="DD19" s="3" t="s">
        <v>350</v>
      </c>
      <c r="DE19">
        <v>0</v>
      </c>
      <c r="DQ19" s="9"/>
      <c r="DT19" s="3" t="s">
        <v>351</v>
      </c>
      <c r="DU19">
        <v>1</v>
      </c>
      <c r="EG19" s="9"/>
      <c r="EJ19" s="3" t="s">
        <v>352</v>
      </c>
      <c r="EK19">
        <v>1</v>
      </c>
      <c r="EW19" s="9"/>
      <c r="EZ19" s="3" t="s">
        <v>353</v>
      </c>
      <c r="FA19">
        <v>1</v>
      </c>
      <c r="FM19" s="9"/>
      <c r="FP19" s="3" t="s">
        <v>354</v>
      </c>
      <c r="FQ19">
        <v>1</v>
      </c>
      <c r="GC19" s="9"/>
      <c r="GF19" s="3" t="s">
        <v>355</v>
      </c>
      <c r="GG19">
        <v>1</v>
      </c>
      <c r="GS19" s="9"/>
      <c r="GV19" s="3" t="s">
        <v>356</v>
      </c>
      <c r="GW19">
        <v>0</v>
      </c>
      <c r="HI19" s="9"/>
      <c r="HL19" s="3" t="s">
        <v>357</v>
      </c>
      <c r="HM19">
        <v>1</v>
      </c>
      <c r="HY19" s="9"/>
      <c r="IB19" s="3" t="s">
        <v>358</v>
      </c>
      <c r="IC19">
        <v>0</v>
      </c>
      <c r="IO19" s="9"/>
      <c r="IR19" s="3" t="s">
        <v>359</v>
      </c>
      <c r="IS19">
        <v>1</v>
      </c>
      <c r="JE19" s="9"/>
      <c r="JH19" s="3" t="s">
        <v>361</v>
      </c>
      <c r="JI19">
        <v>0</v>
      </c>
      <c r="JU19" s="9"/>
      <c r="JX19" s="3" t="s">
        <v>363</v>
      </c>
      <c r="JY19">
        <v>1</v>
      </c>
      <c r="KK19" s="9"/>
      <c r="KN19" s="3" t="s">
        <v>1503</v>
      </c>
      <c r="KO19">
        <v>1</v>
      </c>
      <c r="LA19" s="9"/>
      <c r="LD19" s="3" t="s">
        <v>1504</v>
      </c>
      <c r="LE19">
        <v>1</v>
      </c>
      <c r="LQ19" s="9"/>
      <c r="LT19" s="3" t="s">
        <v>1505</v>
      </c>
      <c r="LU19">
        <v>1</v>
      </c>
      <c r="MG19" s="9"/>
      <c r="MJ19" s="3" t="s">
        <v>1506</v>
      </c>
      <c r="MK19">
        <v>1</v>
      </c>
      <c r="MW19" s="9"/>
      <c r="MZ19" s="3" t="s">
        <v>1507</v>
      </c>
      <c r="NA19">
        <v>1</v>
      </c>
      <c r="NM19" s="9"/>
      <c r="NP19" s="3" t="s">
        <v>1508</v>
      </c>
      <c r="NQ19">
        <v>1</v>
      </c>
      <c r="OC19" s="9"/>
      <c r="OF19" s="3" t="s">
        <v>1509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1836</v>
      </c>
      <c r="X20" s="3"/>
      <c r="AP20" s="3"/>
      <c r="BH20" s="3" t="s">
        <v>1837</v>
      </c>
      <c r="BI20">
        <v>1</v>
      </c>
      <c r="BU20" s="9"/>
      <c r="BX20" s="3" t="s">
        <v>1838</v>
      </c>
      <c r="BY20">
        <v>0</v>
      </c>
      <c r="CK20" s="9"/>
      <c r="CN20" s="3" t="s">
        <v>1839</v>
      </c>
      <c r="CO20">
        <v>0</v>
      </c>
      <c r="DA20" s="9"/>
      <c r="DD20" s="3" t="s">
        <v>1840</v>
      </c>
      <c r="DE20">
        <v>0</v>
      </c>
      <c r="DQ20" s="9"/>
      <c r="DT20" s="3" t="s">
        <v>1841</v>
      </c>
      <c r="DU20">
        <v>0</v>
      </c>
      <c r="EG20" s="9"/>
      <c r="EJ20" s="3" t="s">
        <v>1842</v>
      </c>
      <c r="EK20">
        <v>0</v>
      </c>
      <c r="EW20" s="9"/>
      <c r="EZ20" s="3" t="s">
        <v>1843</v>
      </c>
      <c r="FA20">
        <v>1</v>
      </c>
      <c r="FM20" s="9"/>
      <c r="FP20" s="3" t="s">
        <v>1844</v>
      </c>
      <c r="FQ20">
        <v>0</v>
      </c>
      <c r="GC20" s="9"/>
      <c r="GF20" s="3" t="s">
        <v>1845</v>
      </c>
      <c r="GG20">
        <v>0</v>
      </c>
      <c r="GS20" s="9"/>
      <c r="GV20" s="3" t="s">
        <v>1846</v>
      </c>
      <c r="GW20">
        <v>0</v>
      </c>
      <c r="HI20" s="9"/>
      <c r="HL20" s="3" t="s">
        <v>1847</v>
      </c>
      <c r="HM20">
        <v>0</v>
      </c>
      <c r="HY20" s="9"/>
      <c r="IB20" s="3" t="s">
        <v>1848</v>
      </c>
      <c r="IC20">
        <v>0</v>
      </c>
      <c r="IO20" s="9"/>
      <c r="IR20" s="3" t="s">
        <v>1849</v>
      </c>
      <c r="IS20">
        <v>0</v>
      </c>
      <c r="JE20" s="9"/>
      <c r="JH20" s="3" t="s">
        <v>1850</v>
      </c>
      <c r="JI20">
        <v>0</v>
      </c>
      <c r="JU20" s="9"/>
      <c r="JX20" s="3" t="s">
        <v>1851</v>
      </c>
      <c r="JY20">
        <v>0</v>
      </c>
      <c r="KK20" s="9"/>
      <c r="KN20" s="3" t="s">
        <v>1852</v>
      </c>
      <c r="KO20">
        <v>0</v>
      </c>
      <c r="LA20" s="9"/>
      <c r="LD20" s="3" t="s">
        <v>1853</v>
      </c>
      <c r="LE20">
        <v>0</v>
      </c>
      <c r="LQ20" s="9"/>
      <c r="LT20" s="3" t="s">
        <v>1854</v>
      </c>
      <c r="LU20">
        <v>0</v>
      </c>
      <c r="MG20" s="9"/>
      <c r="MJ20" s="3" t="s">
        <v>1855</v>
      </c>
      <c r="MK20">
        <v>0</v>
      </c>
      <c r="MW20" s="9"/>
      <c r="MZ20" s="3" t="s">
        <v>1856</v>
      </c>
      <c r="NA20">
        <v>0</v>
      </c>
      <c r="NM20" s="9"/>
      <c r="NP20" s="3" t="s">
        <v>1857</v>
      </c>
      <c r="NQ20">
        <v>0</v>
      </c>
      <c r="OC20" s="9"/>
      <c r="OF20" s="3" t="s">
        <v>1858</v>
      </c>
      <c r="OG20">
        <v>0</v>
      </c>
      <c r="OS20" s="9"/>
      <c r="PH20" s="3"/>
      <c r="PV20" s="3"/>
      <c r="QJ20" s="3"/>
      <c r="QX20" s="3"/>
      <c r="RL20" s="3"/>
      <c r="SN20" s="3"/>
    </row>
    <row r="21" spans="1:508" x14ac:dyDescent="0.2">
      <c r="A21" s="3" t="s">
        <v>1966</v>
      </c>
      <c r="BH21" s="3" t="s">
        <v>1964</v>
      </c>
      <c r="BI21">
        <v>0.25</v>
      </c>
      <c r="BU21" s="9"/>
      <c r="BX21" s="3" t="s">
        <v>1968</v>
      </c>
      <c r="BY21">
        <v>0</v>
      </c>
      <c r="CK21" s="9"/>
      <c r="CN21" s="3" t="s">
        <v>1970</v>
      </c>
      <c r="CO21">
        <v>0.25</v>
      </c>
      <c r="DA21" s="9"/>
      <c r="DD21" s="3" t="s">
        <v>1972</v>
      </c>
      <c r="DE21">
        <v>0</v>
      </c>
      <c r="DQ21" s="9"/>
      <c r="DT21" s="3" t="s">
        <v>1974</v>
      </c>
      <c r="DU21">
        <v>0</v>
      </c>
      <c r="EG21" s="9"/>
      <c r="EJ21" s="3" t="s">
        <v>1976</v>
      </c>
      <c r="EK21">
        <v>0.25</v>
      </c>
      <c r="EW21" s="9"/>
      <c r="EZ21" s="3" t="s">
        <v>1978</v>
      </c>
      <c r="FA21">
        <v>0.25</v>
      </c>
      <c r="FM21" s="9"/>
      <c r="FP21" s="3" t="s">
        <v>1980</v>
      </c>
      <c r="FQ21">
        <v>0.25</v>
      </c>
      <c r="GC21" s="9"/>
      <c r="GF21" s="3" t="s">
        <v>1982</v>
      </c>
      <c r="GG21">
        <v>0.25</v>
      </c>
      <c r="GS21" s="9"/>
      <c r="GV21" s="3" t="s">
        <v>1984</v>
      </c>
      <c r="GW21">
        <v>0</v>
      </c>
      <c r="HI21" s="9"/>
      <c r="HL21" s="3" t="s">
        <v>1986</v>
      </c>
      <c r="HM21">
        <v>0</v>
      </c>
      <c r="HY21" s="9"/>
      <c r="IB21" s="3" t="s">
        <v>1988</v>
      </c>
      <c r="IC21">
        <v>0.25</v>
      </c>
      <c r="IO21" s="9"/>
      <c r="IR21" s="3" t="s">
        <v>1990</v>
      </c>
      <c r="IS21">
        <v>0.25</v>
      </c>
      <c r="JE21" s="9"/>
      <c r="JH21" s="3" t="s">
        <v>1992</v>
      </c>
      <c r="JI21">
        <v>0.25</v>
      </c>
      <c r="JU21" s="9"/>
      <c r="JX21" s="3" t="s">
        <v>1994</v>
      </c>
      <c r="JY21">
        <v>0.25</v>
      </c>
      <c r="KK21" s="9"/>
      <c r="KN21" s="3" t="s">
        <v>1996</v>
      </c>
      <c r="KO21">
        <v>0.25</v>
      </c>
      <c r="LA21" s="9"/>
      <c r="LD21" s="3" t="s">
        <v>1998</v>
      </c>
      <c r="LE21">
        <v>0.25</v>
      </c>
      <c r="LQ21" s="9"/>
      <c r="LT21" s="3" t="s">
        <v>2000</v>
      </c>
      <c r="LU21">
        <v>0.25</v>
      </c>
      <c r="MG21" s="9"/>
      <c r="MJ21" s="3" t="s">
        <v>2002</v>
      </c>
      <c r="MK21">
        <v>0.25</v>
      </c>
      <c r="MW21" s="9"/>
      <c r="MZ21" s="3" t="s">
        <v>2004</v>
      </c>
      <c r="NA21">
        <v>0.25</v>
      </c>
      <c r="NM21" s="9"/>
      <c r="NP21" s="3" t="s">
        <v>2006</v>
      </c>
      <c r="NQ21">
        <v>0.25</v>
      </c>
      <c r="OC21" s="9"/>
      <c r="OF21" s="3" t="s">
        <v>2008</v>
      </c>
      <c r="OG21">
        <v>0.25</v>
      </c>
      <c r="OS21" s="9"/>
    </row>
    <row r="22" spans="1:508" x14ac:dyDescent="0.2">
      <c r="A22" s="3" t="s">
        <v>1967</v>
      </c>
      <c r="BH22" s="3" t="s">
        <v>1965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1969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1971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1973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1975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1977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1979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1981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1983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1985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1987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1989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1991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1993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1995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1997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1999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2001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2003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2005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2007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2009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16"/>
      <c r="BL62" s="30"/>
      <c r="BM62" s="30"/>
      <c r="BN62" s="30"/>
      <c r="BO62" s="16"/>
      <c r="BP62" s="16"/>
      <c r="BQ62" s="16"/>
      <c r="BR62" s="30"/>
      <c r="BS62" s="30"/>
      <c r="BT62" s="30"/>
      <c r="BU62" s="16"/>
      <c r="BY62" s="16"/>
      <c r="BZ62" s="16"/>
      <c r="CA62" s="30"/>
      <c r="CB62" s="30"/>
      <c r="CC62" s="30"/>
      <c r="CD62" s="30"/>
      <c r="CE62" s="16"/>
      <c r="CF62" s="16"/>
      <c r="CG62" s="16"/>
      <c r="CH62" s="30"/>
      <c r="CI62" s="16"/>
      <c r="CJ62" s="16"/>
      <c r="CK62" s="16"/>
      <c r="CO62" s="30"/>
      <c r="CP62" s="16"/>
      <c r="CQ62" s="16"/>
      <c r="CR62" s="16"/>
      <c r="CS62" s="16"/>
      <c r="CT62" s="16"/>
      <c r="CU62" s="16"/>
      <c r="CV62" s="16"/>
      <c r="CW62" s="16"/>
      <c r="CX62" s="30"/>
      <c r="CY62" s="30"/>
      <c r="CZ62" s="30"/>
      <c r="DA62" s="16"/>
      <c r="DE62" s="30"/>
      <c r="DF62" s="16"/>
      <c r="DG62" s="30"/>
      <c r="DH62" s="29"/>
      <c r="DI62" s="30"/>
      <c r="DJ62" s="29"/>
      <c r="DK62" s="16"/>
      <c r="DL62" s="16"/>
      <c r="DM62" s="16"/>
      <c r="DN62" s="30"/>
      <c r="DO62" s="30"/>
      <c r="DP62" s="30"/>
      <c r="DQ62" s="16"/>
      <c r="DU62" s="30"/>
      <c r="DV62" s="30"/>
      <c r="DW62" s="16"/>
      <c r="DX62" s="16"/>
      <c r="DY62" s="16"/>
      <c r="DZ62" s="30"/>
      <c r="EA62" s="16"/>
      <c r="EB62" s="16"/>
      <c r="EC62" s="16"/>
      <c r="ED62" s="29"/>
      <c r="EE62" s="29"/>
      <c r="EF62" s="16"/>
      <c r="EG62" s="29"/>
      <c r="EK62" s="30"/>
      <c r="EL62" s="16"/>
      <c r="EM62" s="30"/>
      <c r="EN62" s="16"/>
      <c r="EO62" s="30"/>
      <c r="EP62" s="30"/>
      <c r="EQ62" s="16"/>
      <c r="ER62" s="16"/>
      <c r="ES62" s="16"/>
      <c r="ET62" s="30"/>
      <c r="EU62" s="30"/>
      <c r="EV62" s="30"/>
      <c r="EW62" s="16"/>
      <c r="FA62" s="30"/>
      <c r="FB62" s="16"/>
      <c r="FC62" s="29"/>
      <c r="FD62" s="16"/>
      <c r="FE62" s="16"/>
      <c r="FF62" s="16"/>
      <c r="FG62" s="16"/>
      <c r="FH62" s="16"/>
      <c r="FI62" s="16"/>
      <c r="FJ62" s="30"/>
      <c r="FK62" s="30"/>
      <c r="FL62" s="30"/>
      <c r="FM62" s="16"/>
      <c r="FQ62" s="30"/>
      <c r="FR62" s="30"/>
      <c r="FS62" s="16"/>
      <c r="FT62" s="16"/>
      <c r="FU62" s="16"/>
      <c r="FV62" s="30"/>
      <c r="FW62" s="16"/>
      <c r="FX62" s="16"/>
      <c r="FY62" s="16"/>
      <c r="FZ62" s="16"/>
      <c r="GA62" s="16"/>
      <c r="GB62" s="16"/>
      <c r="GC62" s="30"/>
      <c r="GG62" s="30"/>
      <c r="GH62" s="16"/>
      <c r="GI62" s="16"/>
      <c r="GJ62" s="16"/>
      <c r="GK62" s="30"/>
      <c r="GL62" s="16"/>
      <c r="GM62" s="16"/>
      <c r="GN62" s="16"/>
      <c r="GO62" s="16"/>
      <c r="GP62" s="30"/>
      <c r="GQ62" s="29"/>
      <c r="GR62" s="30"/>
      <c r="GS62" s="16"/>
      <c r="GW62" s="30"/>
      <c r="GX62" s="16"/>
      <c r="GY62" s="16"/>
      <c r="GZ62" s="16"/>
      <c r="HA62" s="16"/>
      <c r="HB62" s="16"/>
      <c r="HC62" s="16"/>
      <c r="HD62" s="16"/>
      <c r="HE62" s="16"/>
      <c r="HF62" s="30"/>
      <c r="HG62" s="30"/>
      <c r="HH62" s="30"/>
      <c r="HI62" s="16"/>
      <c r="HM62" s="16"/>
      <c r="HN62" s="16"/>
      <c r="HO62" s="16"/>
      <c r="HP62" s="16"/>
      <c r="HQ62" s="16"/>
      <c r="HR62" s="16"/>
      <c r="HS62" s="16"/>
      <c r="HT62" s="16"/>
      <c r="HU62" s="16"/>
      <c r="HV62" s="30"/>
      <c r="HW62" s="30"/>
      <c r="HX62" s="30"/>
      <c r="HY62" s="30"/>
      <c r="IO62" s="35"/>
      <c r="JE62" s="35"/>
      <c r="JU62" s="35"/>
      <c r="KK62" s="35"/>
      <c r="LA62" s="35"/>
      <c r="LQ62" s="35"/>
      <c r="MG62" s="35"/>
      <c r="MW62" s="35"/>
      <c r="NM62" s="35"/>
      <c r="OC62" s="35"/>
      <c r="OS62" s="35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B69" si="442">M64+Y64+AQ64+BI64+BY64+CO64+DE64+DU64+EK64+FA64+FQ64+GG64+GW64+HM64+IC64+IS64+JI64+JY64+KO64+LE64+LU64+MK64+NA64+NQ64+OG64</f>
        <v>0</v>
      </c>
      <c r="C64" s="12">
        <f t="shared" ref="C64:H64" si="443">N64+Z64+AR64+BJ64+BZ64+CP64+DF64+DV64+EL64+FB64+FR64+GH64+GX64+HN64+ID64+IT64+JJ64+JZ64+KP64+LF64+LV64+ML64+NB64+NR64+OH64</f>
        <v>0</v>
      </c>
      <c r="D64" s="12">
        <f t="shared" si="443"/>
        <v>0</v>
      </c>
      <c r="E64" s="12">
        <f t="shared" si="443"/>
        <v>0</v>
      </c>
      <c r="F64" s="12">
        <f t="shared" si="443"/>
        <v>0</v>
      </c>
      <c r="G64" s="12">
        <f t="shared" si="443"/>
        <v>0</v>
      </c>
      <c r="H64" s="12">
        <f t="shared" si="443"/>
        <v>0</v>
      </c>
      <c r="I64" s="12">
        <f t="shared" ref="I64:J69" si="444">AF64+AX64+BP64+CF64+CV64+DL64+EB64+ER64+FH64+FX64+GN64+HD64+HT64+IJ64+IZ64+JP64+KF64+KV64+LL64+MB64+MR64+NH64+NX64+ON64</f>
        <v>0</v>
      </c>
      <c r="J64" s="12">
        <f t="shared" si="444"/>
        <v>0</v>
      </c>
      <c r="M64">
        <f t="shared" ref="M64:M69" si="445">M$5*V64</f>
        <v>0</v>
      </c>
      <c r="N64">
        <f t="shared" ref="N64:N69" si="446">N$5*V64</f>
        <v>0</v>
      </c>
      <c r="O64">
        <f t="shared" ref="O64:O69" si="447">O$5*V64</f>
        <v>0</v>
      </c>
      <c r="P64">
        <f t="shared" ref="P64:P69" si="448">P$5*V64</f>
        <v>0</v>
      </c>
      <c r="Q64">
        <f t="shared" ref="Q64:Q69" si="449">Q$5*V64</f>
        <v>0</v>
      </c>
      <c r="R64">
        <f t="shared" ref="R64:R69" si="450">R$5*V64</f>
        <v>0</v>
      </c>
      <c r="S64">
        <f t="shared" ref="S64:S69" si="451">S$5*V64</f>
        <v>0</v>
      </c>
      <c r="U64" t="s">
        <v>1307</v>
      </c>
      <c r="V64">
        <f>_xlfn.XLOOKUP(U64,'KPI Impacts'!$B$2:$H$2,'KPI Impacts'!$B64:$H64)</f>
        <v>1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41">
        <f t="shared" ref="BI64:BI69" si="452">BI$22*BT64</f>
        <v>0</v>
      </c>
      <c r="BJ64" s="41">
        <f t="shared" ref="BJ64:BJ69" si="453">BJ$22 * IF(AND(BI$5=1,BI$20=1), BV64, BT64)</f>
        <v>0</v>
      </c>
      <c r="BK64" s="41">
        <f t="shared" ref="BK64:BK69" si="454">BK$22 * IF(AND(BJ$5=1,BI$20=1), BV64, BT64)</f>
        <v>0</v>
      </c>
      <c r="BL64" s="41">
        <f t="shared" ref="BL64:BL69" si="455">BL$22 * IF(AND(BK$5=1,BI$20=1), BV64, BT64)</f>
        <v>0</v>
      </c>
      <c r="BM64" s="41">
        <f t="shared" ref="BM64:BM69" si="456">BM$22 * IF(AND(BL$5=1,BI$20=1), BV64, BT64)</f>
        <v>0</v>
      </c>
      <c r="BN64" s="41">
        <f t="shared" ref="BN64:BN69" si="457">BN$22 * IF(AND(BM$5=1,BI$20=1), BV64, BT64)</f>
        <v>0</v>
      </c>
      <c r="BO64" s="41">
        <f t="shared" ref="BO64:BO69" si="458">BO$22 * IF(AND(BN$5=1,BI$20=1), BV64, BT64)</f>
        <v>0</v>
      </c>
      <c r="BP64" s="41">
        <f t="shared" ref="BP64:BP69" si="459">BP$22 * IF(AND(BO$5=1,BI$20=1), BV64, BT64)</f>
        <v>0</v>
      </c>
      <c r="BQ64" s="41">
        <f t="shared" ref="BQ64:BQ69" si="460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461">BY$22*CJ64</f>
        <v>0</v>
      </c>
      <c r="BZ64" s="12">
        <f t="shared" ref="BZ64:BZ69" si="462">BZ$22 * IF(AND(BY$5=1,BY$20=1), CL64, CJ64)</f>
        <v>0</v>
      </c>
      <c r="CA64" s="12">
        <f t="shared" ref="CA64:CA69" si="463">CA$22 * IF(AND(BZ$5=1,BY$20=1), CL64, CJ64)</f>
        <v>0</v>
      </c>
      <c r="CB64" s="12">
        <f t="shared" ref="CB64:CB69" si="464">CB$22 * IF(AND(CA$5=1,BY$20=1), CL64, CJ64)</f>
        <v>0</v>
      </c>
      <c r="CC64" s="12">
        <f t="shared" ref="CC64:CC69" si="465">CC$22 * IF(AND(CB$5=1,BY$20=1), CL64, CJ64)</f>
        <v>0</v>
      </c>
      <c r="CD64" s="12">
        <f t="shared" ref="CD64:CD69" si="466">CD$22 * IF(AND(CC$5=1,BY$20=1), CL64, CJ64)</f>
        <v>0</v>
      </c>
      <c r="CE64" s="12">
        <f t="shared" ref="CE64:CE69" si="467">CE$22 * IF(AND(CD$5=1,BY$20=1), CL64, CJ64)</f>
        <v>0</v>
      </c>
      <c r="CF64" s="12">
        <f t="shared" ref="CF64:CF69" si="468">CF$22 * IF(AND(CE$5=1,BY$20=1), CL64, CJ64)</f>
        <v>0</v>
      </c>
      <c r="CG64" s="12">
        <f t="shared" ref="CG64:CG69" si="469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470">CO$22*CZ64</f>
        <v>0</v>
      </c>
      <c r="CP64" s="12">
        <f t="shared" ref="CP64:CP69" si="471">CP$22 * IF(AND(CO$5=1,CO$20=1), DB64, CZ64)</f>
        <v>0</v>
      </c>
      <c r="CQ64" s="12">
        <f t="shared" ref="CQ64:CQ69" si="472">CQ$22 * IF(AND(CP$5=1,CO$20=1), DB64, CZ64)</f>
        <v>0</v>
      </c>
      <c r="CR64" s="12">
        <f t="shared" ref="CR64:CR69" si="473">CR$22 * IF(AND(CQ$5=1,CO$20=1), DB64, CZ64)</f>
        <v>0</v>
      </c>
      <c r="CS64" s="12">
        <f t="shared" ref="CS64:CS69" si="474">CS$22 * IF(AND(CR$5=1,CO$20=1), DB64, CZ64)</f>
        <v>0</v>
      </c>
      <c r="CT64" s="12">
        <f t="shared" ref="CT64:CT69" si="475">CT$22 * IF(AND(CS$5=1,CO$20=1), DB64, CZ64)</f>
        <v>0</v>
      </c>
      <c r="CU64" s="12">
        <f t="shared" ref="CU64:CU69" si="476">CU$22 * IF(AND(CT$5=1,CO$20=1), DB64, CZ64)</f>
        <v>0</v>
      </c>
      <c r="CV64" s="12">
        <f t="shared" ref="CV64:CV69" si="477">CV$22 * IF(AND(CU$5=1,CO$20=1), DB64, CZ64)</f>
        <v>0</v>
      </c>
      <c r="CW64" s="12">
        <f t="shared" ref="CW64:CW69" si="478">CW$22 * IF(AND(CV$5=1,CO$20=1), DB64, CZ64)</f>
        <v>0</v>
      </c>
      <c r="CY64" s="30" t="s">
        <v>1307</v>
      </c>
      <c r="CZ64">
        <f>_xlfn.XLOOKUP(CY64,'KPI Impacts'!$B$2:$H$2,'KPI Impacts'!$B64:$H64)</f>
        <v>1</v>
      </c>
      <c r="DA64" s="35" t="s">
        <v>1303</v>
      </c>
      <c r="DB64">
        <f>_xlfn.XLOOKUP(DA64,'KPI Impacts'!$B$2:$H$2,'KPI Impacts'!$B64:$H64)</f>
        <v>0</v>
      </c>
      <c r="DE64" s="12">
        <f t="shared" ref="DE64:DE69" si="479">DE$22*DP64</f>
        <v>0</v>
      </c>
      <c r="DF64" s="12">
        <f t="shared" ref="DF64:DF69" si="480">DF$22 * IF(AND(DE$5=1,DE$20=1), DR64, DP64)</f>
        <v>0</v>
      </c>
      <c r="DG64" s="12">
        <f t="shared" ref="DG64:DG69" si="481">DG$22 * IF(AND(DF$5=1,DE$20=1), DR64, DP64)</f>
        <v>0</v>
      </c>
      <c r="DH64" s="12">
        <f t="shared" ref="DH64:DH69" si="482">DH$22 * IF(AND(DG$5=1,DE$20=1), DR64, DP64)</f>
        <v>0</v>
      </c>
      <c r="DI64" s="12">
        <f t="shared" ref="DI64:DI69" si="483">DI$22 * IF(AND(DH$5=1,DE$20=1), DR64, DP64)</f>
        <v>0</v>
      </c>
      <c r="DJ64" s="12">
        <f t="shared" ref="DJ64:DJ69" si="484">DJ$22 * IF(AND(DI$5=1,DE$20=1), DR64, DP64)</f>
        <v>0</v>
      </c>
      <c r="DK64" s="12">
        <f t="shared" ref="DK64:DK69" si="485">DK$22 * IF(AND(DJ$5=1,DE$20=1), DR64, DP64)</f>
        <v>0</v>
      </c>
      <c r="DL64" s="12">
        <f t="shared" ref="DL64:DL69" si="486">DL$22 * IF(AND(DK$5=1,DE$20=1), DR64, DP64)</f>
        <v>0</v>
      </c>
      <c r="DM64" s="12">
        <f t="shared" ref="DM64:DM69" si="487">DM$22 * IF(AND(DL$5=1,DE$20=1), DR64, DP64)</f>
        <v>0</v>
      </c>
      <c r="DO64" s="30" t="s">
        <v>1307</v>
      </c>
      <c r="DP64">
        <f>_xlfn.XLOOKUP(DO64,'KPI Impacts'!$B$2:$H$2,'KPI Impacts'!$B64:$H64)</f>
        <v>1</v>
      </c>
      <c r="DQ64" s="35" t="s">
        <v>1303</v>
      </c>
      <c r="DR64">
        <f>_xlfn.XLOOKUP(DQ64,'KPI Impacts'!$B$2:$H$2,'KPI Impacts'!$B64:$H64)</f>
        <v>0</v>
      </c>
      <c r="DU64" s="12">
        <f t="shared" ref="DU64:DU69" si="488">DU$22*EF64</f>
        <v>0</v>
      </c>
      <c r="DV64" s="12">
        <f t="shared" ref="DV64:DV69" si="489">DV$22 * IF(AND(DU$5=1,DU$20=1), EH64, EF64)</f>
        <v>0</v>
      </c>
      <c r="DW64" s="12">
        <f t="shared" ref="DW64:DW69" si="490">DW$22 * IF(AND(DV$5=1,DU$20=1), EH64, EF64)</f>
        <v>0</v>
      </c>
      <c r="DX64" s="12">
        <f t="shared" ref="DX64:DX69" si="491">DX$22 * IF(AND(DW$5=1,DU$20=1), EH64, EF64)</f>
        <v>0</v>
      </c>
      <c r="DY64" s="12">
        <f t="shared" ref="DY64:DY69" si="492">DY$22 * IF(AND(DX$5=1,DU$20=1), EH64, EF64)</f>
        <v>0</v>
      </c>
      <c r="DZ64" s="12">
        <f t="shared" ref="DZ64:DZ69" si="493">DZ$22 * IF(AND(DY$5=1,DU$20=1), EH64, EF64)</f>
        <v>0</v>
      </c>
      <c r="EA64" s="12">
        <f t="shared" ref="EA64:EA69" si="494">EA$22 * IF(AND(DZ$5=1,DU$20=1), EH64, EF64)</f>
        <v>0</v>
      </c>
      <c r="EB64" s="12">
        <f t="shared" ref="EB64:EB69" si="495">EB$22 * IF(AND(EA$5=1,DU$20=1), EH64, EF64)</f>
        <v>0</v>
      </c>
      <c r="EC64" s="12">
        <f t="shared" ref="EC64:EC69" si="496">EC$22 * IF(AND(EB$5=1,DU$20=1), EH64, EF64)</f>
        <v>0</v>
      </c>
      <c r="EE64" s="30" t="s">
        <v>1307</v>
      </c>
      <c r="EF64">
        <f>_xlfn.XLOOKUP(EE64,'KPI Impacts'!$B$2:$H$2,'KPI Impacts'!$B64:$H64)</f>
        <v>1</v>
      </c>
      <c r="EG64" s="35" t="s">
        <v>1303</v>
      </c>
      <c r="EH64">
        <f>_xlfn.XLOOKUP(EG64,'KPI Impacts'!$B$2:$H$2,'KPI Impacts'!$B64:$H64)</f>
        <v>0</v>
      </c>
      <c r="EK64" s="12">
        <f t="shared" ref="EK64:EK69" si="497">EK$22*EV64</f>
        <v>0</v>
      </c>
      <c r="EL64" s="12">
        <f t="shared" ref="EL64:EL69" si="498">EL$22 * IF(AND(EK$5=1,EK$20=1), EX64, EV64)</f>
        <v>0</v>
      </c>
      <c r="EM64" s="12">
        <f t="shared" ref="EM64:EM69" si="499">EM$22 * IF(AND(EL$5=1,EK$20=1), EX64, EV64)</f>
        <v>0</v>
      </c>
      <c r="EN64" s="12">
        <f t="shared" ref="EN64:EN69" si="500">EN$22 * IF(AND(EM$5=1,EK$20=1), EX64, EV64)</f>
        <v>0</v>
      </c>
      <c r="EO64" s="12">
        <f t="shared" ref="EO64:EO69" si="501">EO$22 * IF(AND(EN$5=1,EK$20=1), EX64, EV64)</f>
        <v>0</v>
      </c>
      <c r="EP64" s="12">
        <f t="shared" ref="EP64:EP69" si="502">EP$22 * IF(AND(EO$5=1,EK$20=1), EX64, EV64)</f>
        <v>0</v>
      </c>
      <c r="EQ64" s="12">
        <f t="shared" ref="EQ64:EQ69" si="503">EQ$22 * IF(AND(EP$5=1,EK$20=1), EX64, EV64)</f>
        <v>0</v>
      </c>
      <c r="ER64" s="12">
        <f t="shared" ref="ER64:ER69" si="504">ER$22 * IF(AND(EQ$5=1,EK$20=1), EX64, EV64)</f>
        <v>0</v>
      </c>
      <c r="ES64" s="12">
        <f t="shared" ref="ES64:ES69" si="505">ES$22 * IF(AND(ER$5=1,EK$20=1), EX64, EV64)</f>
        <v>0</v>
      </c>
      <c r="EU64" s="30" t="s">
        <v>1307</v>
      </c>
      <c r="EV64">
        <f>_xlfn.XLOOKUP(EU64,'KPI Impacts'!$B$2:$H$2,'KPI Impacts'!$B64:$H64)</f>
        <v>1</v>
      </c>
      <c r="EW64" s="35" t="s">
        <v>1303</v>
      </c>
      <c r="EX64">
        <f>_xlfn.XLOOKUP(EW64,'KPI Impacts'!$B$2:$H$2,'KPI Impacts'!$B64:$H64)</f>
        <v>0</v>
      </c>
      <c r="FA64" s="12">
        <f t="shared" ref="FA64:FA69" si="506">FA$22*FL64</f>
        <v>0</v>
      </c>
      <c r="FB64" s="12">
        <f t="shared" ref="FB64:FB69" si="507">FB$22 * IF(AND(FA$5=1,FA$20=1), FN64, FL64)</f>
        <v>0</v>
      </c>
      <c r="FC64" s="12">
        <f t="shared" ref="FC64:FC69" si="508">FC$22 * IF(AND(FB$5=1,FA$20=1), FN64, FL64)</f>
        <v>0</v>
      </c>
      <c r="FD64" s="12">
        <f t="shared" ref="FD64:FD69" si="509">FD$22 * IF(AND(FC$5=1,FA$20=1), FN64, FL64)</f>
        <v>0</v>
      </c>
      <c r="FE64" s="12">
        <f t="shared" ref="FE64:FE69" si="510">FE$22 * IF(AND(FD$5=1,FA$20=1), FN64, FL64)</f>
        <v>0</v>
      </c>
      <c r="FF64" s="12">
        <f t="shared" ref="FF64:FF69" si="511">FF$22 * IF(AND(FE$5=1,FA$20=1), FN64, FL64)</f>
        <v>0</v>
      </c>
      <c r="FG64" s="12">
        <f t="shared" ref="FG64:FG69" si="512">FG$22 * IF(AND(FF$5=1,FA$20=1), FN64, FL64)</f>
        <v>0</v>
      </c>
      <c r="FH64" s="12">
        <f t="shared" ref="FH64:FH69" si="513">FH$22 * IF(AND(FG$5=1,FA$20=1), FN64, FL64)</f>
        <v>0</v>
      </c>
      <c r="FI64" s="12">
        <f t="shared" ref="FI64:FI69" si="514">FI$22 * IF(AND(FH$5=1,FA$20=1), FN64, FL64)</f>
        <v>0</v>
      </c>
      <c r="FK64" s="30" t="s">
        <v>1307</v>
      </c>
      <c r="FL64">
        <f>_xlfn.XLOOKUP(FK64,'KPI Impacts'!$B$2:$H$2,'KPI Impacts'!$B64:$H64)</f>
        <v>1</v>
      </c>
      <c r="FM64" s="30" t="s">
        <v>1307</v>
      </c>
      <c r="FN64">
        <f>_xlfn.XLOOKUP(FM64,'KPI Impacts'!$B$2:$H$2,'KPI Impacts'!$B64:$H64)</f>
        <v>1</v>
      </c>
      <c r="FQ64" s="12">
        <f t="shared" ref="FQ64:FQ69" si="515">FQ$22*GB64</f>
        <v>0</v>
      </c>
      <c r="FR64" s="12">
        <f t="shared" ref="FR64:FR69" si="516">FR$22 * IF(AND(FQ$5=1,FQ$20=1), GD64, GB64)</f>
        <v>0</v>
      </c>
      <c r="FS64" s="12">
        <f t="shared" ref="FS64:FS69" si="517">FS$22 * IF(AND(FR$5=1,FQ$20=1), GD64, GB64)</f>
        <v>0</v>
      </c>
      <c r="FT64" s="12">
        <f t="shared" ref="FT64:FT69" si="518">FT$22 * IF(AND(FS$5=1,FQ$20=1), GD64, GB64)</f>
        <v>0</v>
      </c>
      <c r="FU64" s="12">
        <f t="shared" ref="FU64:FU69" si="519">FU$22 * IF(AND(FT$5=1,FQ$20=1), GD64, GB64)</f>
        <v>0</v>
      </c>
      <c r="FV64" s="12">
        <f t="shared" ref="FV64:FV69" si="520">FV$22 * IF(AND(FU$5=1,FQ$20=1), GD64, GB64)</f>
        <v>0</v>
      </c>
      <c r="FW64" s="12">
        <f t="shared" ref="FW64:FW69" si="521">FW$22 * IF(AND(FV$5=1,FQ$20=1), GD64, GB64)</f>
        <v>0</v>
      </c>
      <c r="FX64" s="12">
        <f t="shared" ref="FX64:FX69" si="522">FX$22 * IF(AND(FW$5=1,FQ$20=1), GD64, GB64)</f>
        <v>0</v>
      </c>
      <c r="FY64" s="12">
        <f t="shared" ref="FY64:FY69" si="523">FY$22 * IF(AND(FX$5=1,FQ$20=1), GD64, GB64)</f>
        <v>0</v>
      </c>
      <c r="GA64" s="30" t="s">
        <v>1308</v>
      </c>
      <c r="GB64">
        <f>_xlfn.XLOOKUP(GA64,'KPI Impacts'!$B$2:$H$2,'KPI Impacts'!$B64:$H64)</f>
        <v>3</v>
      </c>
      <c r="GC64" s="35" t="s">
        <v>1303</v>
      </c>
      <c r="GD64">
        <f>_xlfn.XLOOKUP(GC64,'KPI Impacts'!$B$2:$H$2,'KPI Impacts'!$B64:$H64)</f>
        <v>0</v>
      </c>
      <c r="GG64" s="12">
        <f t="shared" ref="GG64:GG69" si="524">GG$22*GR64</f>
        <v>0</v>
      </c>
      <c r="GH64" s="12">
        <f t="shared" ref="GH64:GH69" si="525">GH$22 * IF(AND(GG$5=1,GG$20=1), GT64, GR64)</f>
        <v>0</v>
      </c>
      <c r="GI64" s="12">
        <f t="shared" ref="GI64:GI69" si="526">GI$22 * IF(AND(GH$5=1,GG$20=1), GT64, GR64)</f>
        <v>0</v>
      </c>
      <c r="GJ64" s="12">
        <f t="shared" ref="GJ64:GJ69" si="527">GJ$22 * IF(AND(GI$5=1,GG$20=1), GT64, GR64)</f>
        <v>0</v>
      </c>
      <c r="GK64" s="12">
        <f t="shared" ref="GK64:GK69" si="528">GK$22 * IF(AND(GJ$5=1,GG$20=1), GT64, GR64)</f>
        <v>0</v>
      </c>
      <c r="GL64" s="12">
        <f t="shared" ref="GL64:GL69" si="529">GL$22 * IF(AND(GK$5=1,GG$20=1), GT64, GR64)</f>
        <v>0</v>
      </c>
      <c r="GM64" s="12">
        <f t="shared" ref="GM64:GM69" si="530">GM$22 * IF(AND(GL$5=1,GG$20=1), GT64, GR64)</f>
        <v>0</v>
      </c>
      <c r="GN64" s="12">
        <f t="shared" ref="GN64:GN69" si="531">GN$22 * IF(AND(GM$5=1,GG$20=1), GT64, GR64)</f>
        <v>0</v>
      </c>
      <c r="GO64" s="12">
        <f t="shared" ref="GO64:GO69" si="532">GO$22 * IF(AND(GN$5=1,GG$20=1), GT64, GR64)</f>
        <v>0</v>
      </c>
      <c r="GQ64" s="30" t="s">
        <v>1307</v>
      </c>
      <c r="GR64">
        <f>_xlfn.XLOOKUP(GQ64,'KPI Impacts'!$B$2:$H$2,'KPI Impacts'!$B64:$H64)</f>
        <v>1</v>
      </c>
      <c r="GS64" s="35" t="s">
        <v>1303</v>
      </c>
      <c r="GT64">
        <f>_xlfn.XLOOKUP(GS64,'KPI Impacts'!$B$2:$H$2,'KPI Impacts'!$B64:$H64)</f>
        <v>0</v>
      </c>
      <c r="GW64" s="12">
        <f t="shared" ref="GW64:GW69" si="533">GW$22*HH64</f>
        <v>0</v>
      </c>
      <c r="GX64" s="12">
        <f t="shared" ref="GX64:GX69" si="534">GX$22 * IF(AND(GW$5=1,GW$20=1), HJ64, HH64)</f>
        <v>0</v>
      </c>
      <c r="GY64" s="12">
        <f t="shared" ref="GY64:GY69" si="535">GY$22 * IF(AND(GX$5=1,GW$20=1), HJ64, HH64)</f>
        <v>0</v>
      </c>
      <c r="GZ64" s="12">
        <f t="shared" ref="GZ64:GZ69" si="536">GZ$22 * IF(AND(GY$5=1,GW$20=1), HJ64, HH64)</f>
        <v>0</v>
      </c>
      <c r="HA64" s="12">
        <f t="shared" ref="HA64:HA69" si="537">HA$22 * IF(AND(GZ$5=1,GW$20=1), HJ64, HH64)</f>
        <v>0</v>
      </c>
      <c r="HB64" s="12">
        <f t="shared" ref="HB64:HB69" si="538">HB$22 * IF(AND(HA$5=1,GW$20=1), HJ64, HH64)</f>
        <v>0</v>
      </c>
      <c r="HC64" s="12">
        <f t="shared" ref="HC64:HC69" si="539">HC$22 * IF(AND(HB$5=1,GW$20=1), HJ64, HH64)</f>
        <v>0</v>
      </c>
      <c r="HD64" s="12">
        <f t="shared" ref="HD64:HD69" si="540">HD$22 * IF(AND(HC$5=1,GW$20=1), HJ64, HH64)</f>
        <v>0</v>
      </c>
      <c r="HE64" s="12">
        <f t="shared" ref="HE64:HE69" si="541">HE$22 * IF(AND(HD$5=1,GW$20=1), HJ64, HH64)</f>
        <v>0</v>
      </c>
      <c r="HG64" s="30" t="s">
        <v>1307</v>
      </c>
      <c r="HH64">
        <f>_xlfn.XLOOKUP(HG64,'KPI Impacts'!$B$2:$H$2,'KPI Impacts'!$B64:$H64)</f>
        <v>1</v>
      </c>
      <c r="HI64" s="35" t="s">
        <v>1303</v>
      </c>
      <c r="HJ64">
        <f>_xlfn.XLOOKUP(HI64,'KPI Impacts'!$B$2:$H$2,'KPI Impacts'!$B64:$H64)</f>
        <v>0</v>
      </c>
      <c r="HM64" s="12">
        <f t="shared" ref="HM64:HM69" si="542">HM$22*HX64</f>
        <v>0</v>
      </c>
      <c r="HN64" s="12">
        <f t="shared" ref="HN64:HN69" si="543">HN$22 * IF(AND(HM$5=1,HM$20=1), HZ64, HX64)</f>
        <v>0</v>
      </c>
      <c r="HO64" s="12">
        <f t="shared" ref="HO64:HO69" si="544">HO$22 * IF(AND(HN$5=1,HM$20=1), HZ64, HX64)</f>
        <v>0</v>
      </c>
      <c r="HP64" s="12">
        <f t="shared" ref="HP64:HP69" si="545">HP$22 * IF(AND(HO$5=1,HM$20=1), HZ64, HX64)</f>
        <v>0</v>
      </c>
      <c r="HQ64" s="12">
        <f t="shared" ref="HQ64:HQ69" si="546">HQ$22 * IF(AND(HP$5=1,HM$20=1), HZ64, HX64)</f>
        <v>0</v>
      </c>
      <c r="HR64" s="12">
        <f t="shared" ref="HR64:HR69" si="547">HR$22 * IF(AND(HQ$5=1,HM$20=1), HZ64, HX64)</f>
        <v>0</v>
      </c>
      <c r="HS64" s="12">
        <f t="shared" ref="HS64:HS69" si="548">HS$22 * IF(AND(HR$5=1,HM$20=1), HZ64, HX64)</f>
        <v>0</v>
      </c>
      <c r="HT64" s="12">
        <f t="shared" ref="HT64:HT69" si="549">HT$22 * IF(AND(HS$5=1,HM$20=1), HZ64, HX64)</f>
        <v>0</v>
      </c>
      <c r="HU64" s="12">
        <f t="shared" ref="HU64:HU69" si="550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551">IC$22*IN64</f>
        <v>0</v>
      </c>
      <c r="ID64" s="12">
        <f t="shared" ref="ID64:ID69" si="552">ID$22 * IF(AND(IC$5=1,IC$20=1), IP64, IN64)</f>
        <v>0</v>
      </c>
      <c r="IE64" s="12">
        <f t="shared" ref="IE64:IE69" si="553">IE$22 * IF(AND(ID$5=1,IC$20=1), IP64, IN64)</f>
        <v>0</v>
      </c>
      <c r="IF64" s="12">
        <f t="shared" ref="IF64:IF69" si="554">IF$22 * IF(AND(IE$5=1,IC$20=1), IP64, IN64)</f>
        <v>0</v>
      </c>
      <c r="IG64" s="12">
        <f t="shared" ref="IG64:IG69" si="555">IG$22 * IF(AND(IF$5=1,IC$20=1), IP64, IN64)</f>
        <v>0</v>
      </c>
      <c r="IH64" s="12">
        <f t="shared" ref="IH64:IH69" si="556">IH$22 * IF(AND(IG$5=1,IC$20=1), IP64, IN64)</f>
        <v>0</v>
      </c>
      <c r="II64" s="12">
        <f t="shared" ref="II64:II69" si="557">II$22 * IF(AND(IH$5=1,IC$20=1), IP64, IN64)</f>
        <v>0</v>
      </c>
      <c r="IJ64" s="12">
        <f t="shared" ref="IJ64:IJ69" si="558">IJ$22 * IF(AND(II$5=1,IC$20=1), IP64, IN64)</f>
        <v>0</v>
      </c>
      <c r="IK64" s="12">
        <f t="shared" ref="IK64:IK69" si="559">IK$22 * IF(AND(IJ$5=1,IC$20=1), IP64, IN64)</f>
        <v>0</v>
      </c>
      <c r="IM64" t="s">
        <v>1303</v>
      </c>
      <c r="IN64">
        <f>_xlfn.XLOOKUP(IM64,'KPI Impacts'!$B$2:$H$2,'KPI Impacts'!$B64:$H64)</f>
        <v>0</v>
      </c>
      <c r="IO64" s="35" t="s">
        <v>1303</v>
      </c>
      <c r="IP64">
        <f>_xlfn.XLOOKUP(IO64,'KPI Impacts'!$B$2:$H$2,'KPI Impacts'!$B64:$H64)</f>
        <v>0</v>
      </c>
      <c r="IS64" s="12">
        <f t="shared" ref="IS64:IS69" si="560">IS$22*JD64</f>
        <v>0</v>
      </c>
      <c r="IT64" s="12">
        <f t="shared" ref="IT64:IT69" si="561">IT$22 * IF(AND(IS$5=1,IS$20=1), JF64, JD64)</f>
        <v>0</v>
      </c>
      <c r="IU64" s="12">
        <f t="shared" ref="IU64:IU69" si="562">IU$22 * IF(AND(IT$5=1,IS$20=1), JF64, JD64)</f>
        <v>0</v>
      </c>
      <c r="IV64" s="12">
        <f t="shared" ref="IV64:IV69" si="563">IV$22 * IF(AND(IU$5=1,IS$20=1), JF64, JD64)</f>
        <v>0</v>
      </c>
      <c r="IW64" s="12">
        <f t="shared" ref="IW64:IW69" si="564">IW$22 * IF(AND(IV$5=1,IS$20=1), JF64, JD64)</f>
        <v>0</v>
      </c>
      <c r="IX64" s="12">
        <f t="shared" ref="IX64:IX69" si="565">IX$22 * IF(AND(IW$5=1,IS$20=1), JF64, JD64)</f>
        <v>0</v>
      </c>
      <c r="IY64" s="12">
        <f t="shared" ref="IY64:IY69" si="566">IY$22 * IF(AND(IX$5=1,IS$20=1), JF64, JD64)</f>
        <v>0</v>
      </c>
      <c r="IZ64" s="12">
        <f t="shared" ref="IZ64:IZ69" si="567">IZ$22 * IF(AND(IY$5=1,IS$20=1), JF64, JD64)</f>
        <v>0</v>
      </c>
      <c r="JA64" s="12">
        <f t="shared" ref="JA64:JA69" si="568">JA$22 * IF(AND(IZ$5=1,IS$20=1), JF64, JD64)</f>
        <v>0</v>
      </c>
      <c r="JC64" t="s">
        <v>1303</v>
      </c>
      <c r="JD64">
        <f>_xlfn.XLOOKUP(JC64,'KPI Impacts'!$B$2:$H$2,'KPI Impacts'!$B64:$H64)</f>
        <v>0</v>
      </c>
      <c r="JE64" s="35" t="s">
        <v>1303</v>
      </c>
      <c r="JF64">
        <f>_xlfn.XLOOKUP(JE64,'KPI Impacts'!$B$2:$H$2,'KPI Impacts'!$B64:$H64)</f>
        <v>0</v>
      </c>
      <c r="JI64" s="12">
        <f t="shared" ref="JI64:JI69" si="569">JI$22*JT64</f>
        <v>0</v>
      </c>
      <c r="JJ64" s="12">
        <f t="shared" ref="JJ64:JJ69" si="570">JJ$22 * IF(AND(JI$5=1,JI$20=1), JV64, JT64)</f>
        <v>0</v>
      </c>
      <c r="JK64" s="12">
        <f t="shared" ref="JK64:JK69" si="571">JK$22 * IF(AND(JJ$5=1,JI$20=1), JV64, JT64)</f>
        <v>0</v>
      </c>
      <c r="JL64" s="12">
        <f t="shared" ref="JL64:JL69" si="572">JL$22 * IF(AND(JK$5=1,JI$20=1), JV64, JT64)</f>
        <v>0</v>
      </c>
      <c r="JM64" s="12">
        <f t="shared" ref="JM64:JM69" si="573">JM$22 * IF(AND(JL$5=1,JI$20=1), JV64, JT64)</f>
        <v>0</v>
      </c>
      <c r="JN64" s="12">
        <f t="shared" ref="JN64:JN69" si="574">JN$22 * IF(AND(JM$5=1,JI$20=1), JV64, JT64)</f>
        <v>0</v>
      </c>
      <c r="JO64" s="12">
        <f t="shared" ref="JO64:JO69" si="575">JO$22 * IF(AND(JN$5=1,JI$20=1), JV64, JT64)</f>
        <v>0</v>
      </c>
      <c r="JP64" s="12">
        <f t="shared" ref="JP64:JP69" si="576">JP$22 * IF(AND(JO$5=1,JI$20=1), JV64, JT64)</f>
        <v>0</v>
      </c>
      <c r="JQ64" s="12">
        <f t="shared" ref="JQ64:JQ69" si="577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35" t="s">
        <v>1303</v>
      </c>
      <c r="JV64">
        <f>_xlfn.XLOOKUP(JU64,'KPI Impacts'!$B$2:$H$2,'KPI Impacts'!$B64:$H64)</f>
        <v>0</v>
      </c>
      <c r="JY64" s="12">
        <f t="shared" ref="JY64:JY69" si="578">JY$22*KJ64</f>
        <v>0</v>
      </c>
      <c r="JZ64" s="12">
        <f t="shared" ref="JZ64:JZ69" si="579">JZ$22 * IF(AND(JY$5=1,JY$20=1), KL64, KJ64)</f>
        <v>0</v>
      </c>
      <c r="KA64" s="12">
        <f t="shared" ref="KA64:KA69" si="580">KA$22 * IF(AND(JZ$5=1,JY$20=1), KL64, KJ64)</f>
        <v>0</v>
      </c>
      <c r="KB64" s="12">
        <f t="shared" ref="KB64:KB69" si="581">KB$22 * IF(AND(KA$5=1,JY$20=1), KL64, KJ64)</f>
        <v>0</v>
      </c>
      <c r="KC64" s="12">
        <f t="shared" ref="KC64:KC69" si="582">KC$22 * IF(AND(KB$5=1,JY$20=1), KL64, KJ64)</f>
        <v>0</v>
      </c>
      <c r="KD64" s="12">
        <f t="shared" ref="KD64:KD69" si="583">KD$22 * IF(AND(KC$5=1,JY$20=1), KL64, KJ64)</f>
        <v>0</v>
      </c>
      <c r="KE64" s="12">
        <f t="shared" ref="KE64:KE69" si="584">KE$22 * IF(AND(KD$5=1,JY$20=1), KL64, KJ64)</f>
        <v>0</v>
      </c>
      <c r="KF64" s="12">
        <f t="shared" ref="KF64:KF69" si="585">KF$22 * IF(AND(KE$5=1,JY$20=1), KL64, KJ64)</f>
        <v>0</v>
      </c>
      <c r="KG64" s="12">
        <f t="shared" ref="KG64:KG69" si="586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35" t="s">
        <v>1303</v>
      </c>
      <c r="KL64">
        <f>_xlfn.XLOOKUP(KK64,'KPI Impacts'!$B$2:$H$2,'KPI Impacts'!$B64:$H64)</f>
        <v>0</v>
      </c>
      <c r="KO64" s="12">
        <f t="shared" ref="KO64:KO69" si="587">KO$22*KZ64</f>
        <v>0</v>
      </c>
      <c r="KP64" s="12">
        <f t="shared" ref="KP64:KP69" si="588">KP$22 * IF(AND(KO$5=1,KO$20=1), LB64, KZ64)</f>
        <v>0</v>
      </c>
      <c r="KQ64" s="12">
        <f t="shared" ref="KQ64:KQ69" si="589">KQ$22 * IF(AND(KP$5=1,KO$20=1), LB64, KZ64)</f>
        <v>0</v>
      </c>
      <c r="KR64" s="12">
        <f t="shared" ref="KR64:KR69" si="590">KR$22 * IF(AND(KQ$5=1,KO$20=1), LB64, KZ64)</f>
        <v>0</v>
      </c>
      <c r="KS64" s="12">
        <f t="shared" ref="KS64:KS69" si="591">KS$22 * IF(AND(KR$5=1,KO$20=1), LB64, KZ64)</f>
        <v>0</v>
      </c>
      <c r="KT64" s="12">
        <f t="shared" ref="KT64:KT69" si="592">KT$22 * IF(AND(KS$5=1,KO$20=1), LB64, KZ64)</f>
        <v>0</v>
      </c>
      <c r="KU64" s="12">
        <f t="shared" ref="KU64:KU69" si="593">KU$22 * IF(AND(KT$5=1,KO$20=1), LB64, KZ64)</f>
        <v>0</v>
      </c>
      <c r="KV64" s="12">
        <f t="shared" ref="KV64:KV69" si="594">KV$22 * IF(AND(KU$5=1,KO$20=1), LB64, KZ64)</f>
        <v>0</v>
      </c>
      <c r="KW64" s="12">
        <f t="shared" ref="KW64:KW69" si="595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35" t="s">
        <v>1303</v>
      </c>
      <c r="LB64">
        <f>_xlfn.XLOOKUP(LA64,'KPI Impacts'!$B$2:$H$2,'KPI Impacts'!$B64:$H64)</f>
        <v>0</v>
      </c>
      <c r="LE64" s="12">
        <f t="shared" ref="LE64:LE69" si="596">LE$22*LP64</f>
        <v>0</v>
      </c>
      <c r="LF64" s="12">
        <f t="shared" ref="LF64:LF69" si="597">LF$22 * IF(AND(LE$5=1,LE$20=1), LR64, LP64)</f>
        <v>0</v>
      </c>
      <c r="LG64" s="12">
        <f t="shared" ref="LG64:LG69" si="598">LG$22 * IF(AND(LF$5=1,LE$20=1), LR64, LP64)</f>
        <v>0</v>
      </c>
      <c r="LH64" s="12">
        <f t="shared" ref="LH64:LH69" si="599">LH$22 * IF(AND(LG$5=1,LE$20=1), LR64, LP64)</f>
        <v>0</v>
      </c>
      <c r="LI64" s="12">
        <f t="shared" ref="LI64:LI69" si="600">LI$22 * IF(AND(LH$5=1,LE$20=1), LR64, LP64)</f>
        <v>0</v>
      </c>
      <c r="LJ64" s="12">
        <f t="shared" ref="LJ64:LJ69" si="601">LJ$22 * IF(AND(LI$5=1,LE$20=1), LR64, LP64)</f>
        <v>0</v>
      </c>
      <c r="LK64" s="12">
        <f t="shared" ref="LK64:LK69" si="602">LK$22 * IF(AND(LJ$5=1,LE$20=1), LR64, LP64)</f>
        <v>0</v>
      </c>
      <c r="LL64" s="12">
        <f t="shared" ref="LL64:LL69" si="603">LL$22 * IF(AND(LK$5=1,LE$20=1), LR64, LP64)</f>
        <v>0</v>
      </c>
      <c r="LM64" s="12">
        <f t="shared" ref="LM64:LM69" si="604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35" t="s">
        <v>1303</v>
      </c>
      <c r="LR64">
        <f>_xlfn.XLOOKUP(LQ64,'KPI Impacts'!$B$2:$H$2,'KPI Impacts'!$B64:$H64)</f>
        <v>0</v>
      </c>
      <c r="LU64" s="12">
        <f t="shared" ref="LU64:LU69" si="605">LU$22*MF64</f>
        <v>0</v>
      </c>
      <c r="LV64" s="12">
        <f t="shared" ref="LV64:LV69" si="606">LV$22 * IF(AND(LU$5=1,LU$20=1), MH64, MF64)</f>
        <v>0</v>
      </c>
      <c r="LW64" s="12">
        <f t="shared" ref="LW64:LW69" si="607">LW$22 * IF(AND(LV$5=1,LU$20=1), MH64, MF64)</f>
        <v>0</v>
      </c>
      <c r="LX64" s="12">
        <f t="shared" ref="LX64:LX69" si="608">LX$22 * IF(AND(LW$5=1,LU$20=1), MH64, MF64)</f>
        <v>0</v>
      </c>
      <c r="LY64" s="12">
        <f t="shared" ref="LY64:LY69" si="609">LY$22 * IF(AND(LX$5=1,LU$20=1), MH64, MF64)</f>
        <v>0</v>
      </c>
      <c r="LZ64" s="12">
        <f t="shared" ref="LZ64:LZ69" si="610">LZ$22 * IF(AND(LY$5=1,LU$20=1), MH64, MF64)</f>
        <v>0</v>
      </c>
      <c r="MA64" s="12">
        <f t="shared" ref="MA64:MA69" si="611">MA$22 * IF(AND(LZ$5=1,LU$20=1), MH64, MF64)</f>
        <v>0</v>
      </c>
      <c r="MB64" s="12">
        <f t="shared" ref="MB64:MB69" si="612">MB$22 * IF(AND(MA$5=1,LU$20=1), MH64, MF64)</f>
        <v>0</v>
      </c>
      <c r="MC64" s="12">
        <f t="shared" ref="MC64:MC69" si="613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35" t="s">
        <v>1303</v>
      </c>
      <c r="MH64">
        <f>_xlfn.XLOOKUP(MG64,'KPI Impacts'!$B$2:$H$2,'KPI Impacts'!$B64:$H64)</f>
        <v>0</v>
      </c>
      <c r="MK64" s="12">
        <f t="shared" ref="MK64:MK69" si="614">MK$22*MV64</f>
        <v>0</v>
      </c>
      <c r="ML64" s="12">
        <f t="shared" ref="ML64:ML69" si="615">ML$22 * IF(AND(MK$5=1,MK$20=1), MX64, MV64)</f>
        <v>0</v>
      </c>
      <c r="MM64" s="12">
        <f t="shared" ref="MM64:MM69" si="616">MM$22 * IF(AND(ML$5=1,MK$20=1), MX64, MV64)</f>
        <v>0</v>
      </c>
      <c r="MN64" s="12">
        <f t="shared" ref="MN64:MN69" si="617">MN$22 * IF(AND(MM$5=1,MK$20=1), MX64, MV64)</f>
        <v>0</v>
      </c>
      <c r="MO64" s="12">
        <f t="shared" ref="MO64:MO69" si="618">MO$22 * IF(AND(MN$5=1,MK$20=1), MX64, MV64)</f>
        <v>0</v>
      </c>
      <c r="MP64" s="12">
        <f t="shared" ref="MP64:MP69" si="619">MP$22 * IF(AND(MO$5=1,MK$20=1), MX64, MV64)</f>
        <v>0</v>
      </c>
      <c r="MQ64" s="12">
        <f t="shared" ref="MQ64:MQ69" si="620">MQ$22 * IF(AND(MP$5=1,MK$20=1), MX64, MV64)</f>
        <v>0</v>
      </c>
      <c r="MR64" s="12">
        <f t="shared" ref="MR64:MR69" si="621">MR$22 * IF(AND(MQ$5=1,MK$20=1), MX64, MV64)</f>
        <v>0</v>
      </c>
      <c r="MS64" s="12">
        <f t="shared" ref="MS64:MS69" si="622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35" t="s">
        <v>1303</v>
      </c>
      <c r="MX64">
        <f>_xlfn.XLOOKUP(MW64,'KPI Impacts'!$B$2:$H$2,'KPI Impacts'!$B64:$H64)</f>
        <v>0</v>
      </c>
      <c r="NA64" s="12">
        <f t="shared" ref="NA64:NA69" si="623">NA$22*NL64</f>
        <v>0</v>
      </c>
      <c r="NB64" s="12">
        <f t="shared" ref="NB64:NB69" si="624">NB$22 * IF(AND(NA$5=1,NA$20=1), NN64, NL64)</f>
        <v>0</v>
      </c>
      <c r="NC64" s="12">
        <f t="shared" ref="NC64:NC69" si="625">NC$22 * IF(AND(NB$5=1,NA$20=1), NN64, NL64)</f>
        <v>0</v>
      </c>
      <c r="ND64" s="12">
        <f t="shared" ref="ND64:ND69" si="626">ND$22 * IF(AND(NC$5=1,NA$20=1), NN64, NL64)</f>
        <v>0</v>
      </c>
      <c r="NE64" s="12">
        <f t="shared" ref="NE64:NE69" si="627">NE$22 * IF(AND(ND$5=1,NA$20=1), NN64, NL64)</f>
        <v>0</v>
      </c>
      <c r="NF64" s="12">
        <f t="shared" ref="NF64:NF69" si="628">NF$22 * IF(AND(NE$5=1,NA$20=1), NN64, NL64)</f>
        <v>0</v>
      </c>
      <c r="NG64" s="12">
        <f t="shared" ref="NG64:NG69" si="629">NG$22 * IF(AND(NF$5=1,NA$20=1), NN64, NL64)</f>
        <v>0</v>
      </c>
      <c r="NH64" s="12">
        <f t="shared" ref="NH64:NH69" si="630">NH$22 * IF(AND(NG$5=1,NA$20=1), NN64, NL64)</f>
        <v>0</v>
      </c>
      <c r="NI64" s="12">
        <f t="shared" ref="NI64:NI69" si="631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35" t="s">
        <v>1303</v>
      </c>
      <c r="NN64">
        <f>_xlfn.XLOOKUP(NM64,'KPI Impacts'!$B$2:$H$2,'KPI Impacts'!$B64:$H64)</f>
        <v>0</v>
      </c>
      <c r="NQ64" s="12">
        <f t="shared" ref="NQ64:NQ69" si="632">NQ$22*OB64</f>
        <v>0</v>
      </c>
      <c r="NR64" s="12">
        <f t="shared" ref="NR64:NR69" si="633">NR$22 * IF(AND(NQ$5=1,NQ$20=1), OD64, OB64)</f>
        <v>0</v>
      </c>
      <c r="NS64" s="12">
        <f t="shared" ref="NS64:NS69" si="634">NS$22 * IF(AND(NR$5=1,NQ$20=1), OD64, OB64)</f>
        <v>0</v>
      </c>
      <c r="NT64" s="12">
        <f t="shared" ref="NT64:NT69" si="635">NT$22 * IF(AND(NS$5=1,NQ$20=1), OD64, OB64)</f>
        <v>0</v>
      </c>
      <c r="NU64" s="12">
        <f t="shared" ref="NU64:NU69" si="636">NU$22 * IF(AND(NT$5=1,NQ$20=1), OD64, OB64)</f>
        <v>0</v>
      </c>
      <c r="NV64" s="12">
        <f t="shared" ref="NV64:NV69" si="637">NV$22 * IF(AND(NU$5=1,NQ$20=1), OD64, OB64)</f>
        <v>0</v>
      </c>
      <c r="NW64" s="12">
        <f t="shared" ref="NW64:NW69" si="638">NW$22 * IF(AND(NV$5=1,NQ$20=1), OD64, OB64)</f>
        <v>0</v>
      </c>
      <c r="NX64" s="12">
        <f t="shared" ref="NX64:NX69" si="639">NX$22 * IF(AND(NW$5=1,NQ$20=1), OD64, OB64)</f>
        <v>0</v>
      </c>
      <c r="NY64" s="12">
        <f t="shared" ref="NY64:NY69" si="640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35" t="s">
        <v>1303</v>
      </c>
      <c r="OD64">
        <f>_xlfn.XLOOKUP(OC64,'KPI Impacts'!$B$2:$H$2,'KPI Impacts'!$B64:$H64)</f>
        <v>0</v>
      </c>
      <c r="OG64" s="12">
        <f t="shared" ref="OG64:OG69" si="641">OG$22*OR64</f>
        <v>0</v>
      </c>
      <c r="OH64" s="12">
        <f t="shared" ref="OH64:OH69" si="642">OH$22 * IF(AND(OG$5=1,OG$20=1), OT64, OR64)</f>
        <v>0</v>
      </c>
      <c r="OI64" s="12">
        <f t="shared" ref="OI64:OI69" si="643">OI$22 * IF(AND(OH$5=1,OG$20=1), OT64, OR64)</f>
        <v>0</v>
      </c>
      <c r="OJ64" s="12">
        <f t="shared" ref="OJ64:OJ69" si="644">OJ$22 * IF(AND(OI$5=1,OG$20=1), OT64, OR64)</f>
        <v>0</v>
      </c>
      <c r="OK64" s="12">
        <f t="shared" ref="OK64:OK69" si="645">OK$22 * IF(AND(OJ$5=1,OG$20=1), OT64, OR64)</f>
        <v>0</v>
      </c>
      <c r="OL64" s="12">
        <f t="shared" ref="OL64:OL69" si="646">OL$22 * IF(AND(OK$5=1,OG$20=1), OT64, OR64)</f>
        <v>0</v>
      </c>
      <c r="OM64" s="12">
        <f t="shared" ref="OM64:OM69" si="647">OM$22 * IF(AND(OL$5=1,OG$20=1), OT64, OR64)</f>
        <v>0</v>
      </c>
      <c r="ON64" s="12">
        <f t="shared" ref="ON64:ON69" si="648">ON$22 * IF(AND(OM$5=1,OG$20=1), OT64, OR64)</f>
        <v>0</v>
      </c>
      <c r="OO64" s="12">
        <f t="shared" ref="OO64:OO69" si="649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35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442"/>
        <v>0</v>
      </c>
      <c r="C65" s="12">
        <f t="shared" ref="C65:C69" si="650">N65+Z65+AR65+BJ65+BZ65+CP65+DF65+DV65+EL65+FB65+FR65+GH65+GX65+HN65+ID65+IT65+JJ65+JZ65+KP65+LF65+LV65+ML65+NB65+NR65+OH65</f>
        <v>0</v>
      </c>
      <c r="D65" s="12">
        <f t="shared" ref="D65:D69" si="651">O65+AA65+AS65+BK65+CA65+CQ65+DG65+DW65+EM65+FC65+FS65+GI65+GY65+HO65+IE65+IU65+JK65+KA65+KQ65+LG65+LW65+MM65+NC65+NS65+OI65</f>
        <v>0</v>
      </c>
      <c r="E65" s="12">
        <f t="shared" ref="E65:E69" si="652">P65+AB65+AT65+BL65+CB65+CR65+DH65+DX65+EN65+FD65+FT65+GJ65+GZ65+HP65+IF65+IV65+JL65+KB65+KR65+LH65+LX65+MN65+ND65+NT65+OJ65</f>
        <v>0</v>
      </c>
      <c r="F65" s="12">
        <f t="shared" ref="F65:F69" si="653">Q65+AC65+AU65+BM65+CC65+CS65+DI65+DY65+EO65+FE65+FU65+GK65+HA65+HQ65+IG65+IW65+JM65+KC65+KS65+LI65+LY65+MO65+NE65+NU65+OK65</f>
        <v>0</v>
      </c>
      <c r="G65" s="12">
        <f t="shared" ref="G65:G69" si="654">R65+AD65+AV65+BN65+CD65+CT65+DJ65+DZ65+EP65+FF65+FV65+GL65+HB65+HR65+IH65+IX65+JN65+KD65+KT65+LJ65+LZ65+MP65+NF65+NV65+OL65</f>
        <v>0</v>
      </c>
      <c r="H65" s="12">
        <f t="shared" ref="H65:H69" si="655">S65+AE65+AW65+BO65+CE65+CU65+DK65+EA65+EQ65+FG65+FW65+GM65+HC65+HS65+II65+IY65+JO65+KE65+KU65+LK65+MA65+MQ65+NG65+NW65+OM65</f>
        <v>0</v>
      </c>
      <c r="I65" s="12">
        <f t="shared" si="444"/>
        <v>0</v>
      </c>
      <c r="J65" s="12">
        <f t="shared" si="444"/>
        <v>0</v>
      </c>
      <c r="M65">
        <f t="shared" si="445"/>
        <v>0</v>
      </c>
      <c r="N65">
        <f t="shared" si="446"/>
        <v>0</v>
      </c>
      <c r="O65">
        <f t="shared" si="447"/>
        <v>0</v>
      </c>
      <c r="P65">
        <f t="shared" si="448"/>
        <v>0</v>
      </c>
      <c r="Q65">
        <f t="shared" si="449"/>
        <v>0</v>
      </c>
      <c r="R65">
        <f t="shared" si="450"/>
        <v>0</v>
      </c>
      <c r="S65">
        <f t="shared" si="451"/>
        <v>0</v>
      </c>
      <c r="U65" t="s">
        <v>1303</v>
      </c>
      <c r="V65">
        <f>_xlfn.XLOOKUP(U65,'KPI Impacts'!$B$2:$H$2,'KPI Impacts'!$B65:$H65)</f>
        <v>0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41">
        <f t="shared" si="452"/>
        <v>0</v>
      </c>
      <c r="BJ65" s="41">
        <f t="shared" si="453"/>
        <v>0</v>
      </c>
      <c r="BK65" s="41">
        <f t="shared" si="454"/>
        <v>0</v>
      </c>
      <c r="BL65" s="41">
        <f t="shared" si="455"/>
        <v>0</v>
      </c>
      <c r="BM65" s="41">
        <f t="shared" si="456"/>
        <v>0</v>
      </c>
      <c r="BN65" s="41">
        <f t="shared" si="457"/>
        <v>0</v>
      </c>
      <c r="BO65" s="41">
        <f t="shared" si="458"/>
        <v>0</v>
      </c>
      <c r="BP65" s="41">
        <f t="shared" si="459"/>
        <v>0</v>
      </c>
      <c r="BQ65" s="41">
        <f t="shared" si="460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461"/>
        <v>0</v>
      </c>
      <c r="BZ65" s="12">
        <f t="shared" si="462"/>
        <v>0</v>
      </c>
      <c r="CA65" s="12">
        <f t="shared" si="463"/>
        <v>0</v>
      </c>
      <c r="CB65" s="12">
        <f t="shared" si="464"/>
        <v>0</v>
      </c>
      <c r="CC65" s="12">
        <f t="shared" si="465"/>
        <v>0</v>
      </c>
      <c r="CD65" s="12">
        <f t="shared" si="466"/>
        <v>0</v>
      </c>
      <c r="CE65" s="12">
        <f t="shared" si="467"/>
        <v>0</v>
      </c>
      <c r="CF65" s="12">
        <f t="shared" si="468"/>
        <v>0</v>
      </c>
      <c r="CG65" s="12">
        <f t="shared" si="469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470"/>
        <v>0</v>
      </c>
      <c r="CP65" s="12">
        <f t="shared" si="471"/>
        <v>0</v>
      </c>
      <c r="CQ65" s="12">
        <f t="shared" si="472"/>
        <v>0</v>
      </c>
      <c r="CR65" s="12">
        <f t="shared" si="473"/>
        <v>0</v>
      </c>
      <c r="CS65" s="12">
        <f t="shared" si="474"/>
        <v>0</v>
      </c>
      <c r="CT65" s="12">
        <f t="shared" si="475"/>
        <v>0</v>
      </c>
      <c r="CU65" s="12">
        <f t="shared" si="476"/>
        <v>0</v>
      </c>
      <c r="CV65" s="12">
        <f t="shared" si="477"/>
        <v>0</v>
      </c>
      <c r="CW65" s="12">
        <f t="shared" si="478"/>
        <v>0</v>
      </c>
      <c r="CY65" s="16" t="s">
        <v>1303</v>
      </c>
      <c r="CZ65">
        <f>_xlfn.XLOOKUP(CY65,'KPI Impacts'!$B$2:$H$2,'KPI Impacts'!$B65:$H65)</f>
        <v>0</v>
      </c>
      <c r="DA65" s="35" t="s">
        <v>1303</v>
      </c>
      <c r="DB65">
        <f>_xlfn.XLOOKUP(DA65,'KPI Impacts'!$B$2:$H$2,'KPI Impacts'!$B65:$H65)</f>
        <v>0</v>
      </c>
      <c r="DE65" s="12">
        <f t="shared" si="479"/>
        <v>0</v>
      </c>
      <c r="DF65" s="12">
        <f t="shared" si="480"/>
        <v>0</v>
      </c>
      <c r="DG65" s="12">
        <f t="shared" si="481"/>
        <v>0</v>
      </c>
      <c r="DH65" s="12">
        <f t="shared" si="482"/>
        <v>0</v>
      </c>
      <c r="DI65" s="12">
        <f t="shared" si="483"/>
        <v>0</v>
      </c>
      <c r="DJ65" s="12">
        <f t="shared" si="484"/>
        <v>0</v>
      </c>
      <c r="DK65" s="12">
        <f t="shared" si="485"/>
        <v>0</v>
      </c>
      <c r="DL65" s="12">
        <f t="shared" si="486"/>
        <v>0</v>
      </c>
      <c r="DM65" s="12">
        <f t="shared" si="487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488"/>
        <v>0</v>
      </c>
      <c r="DV65" s="12">
        <f t="shared" si="489"/>
        <v>0</v>
      </c>
      <c r="DW65" s="12">
        <f t="shared" si="490"/>
        <v>0</v>
      </c>
      <c r="DX65" s="12">
        <f t="shared" si="491"/>
        <v>0</v>
      </c>
      <c r="DY65" s="12">
        <f t="shared" si="492"/>
        <v>0</v>
      </c>
      <c r="DZ65" s="12">
        <f t="shared" si="493"/>
        <v>0</v>
      </c>
      <c r="EA65" s="12">
        <f t="shared" si="494"/>
        <v>0</v>
      </c>
      <c r="EB65" s="12">
        <f t="shared" si="495"/>
        <v>0</v>
      </c>
      <c r="EC65" s="12">
        <f t="shared" si="496"/>
        <v>0</v>
      </c>
      <c r="EE65" s="30" t="s">
        <v>1307</v>
      </c>
      <c r="EF65">
        <f>_xlfn.XLOOKUP(EE65,'KPI Impacts'!$B$2:$H$2,'KPI Impacts'!$B65:$H65)</f>
        <v>1</v>
      </c>
      <c r="EG65" s="35" t="s">
        <v>1303</v>
      </c>
      <c r="EH65">
        <f>_xlfn.XLOOKUP(EG65,'KPI Impacts'!$B$2:$H$2,'KPI Impacts'!$B65:$H65)</f>
        <v>0</v>
      </c>
      <c r="EK65" s="12">
        <f t="shared" si="497"/>
        <v>0</v>
      </c>
      <c r="EL65" s="12">
        <f t="shared" si="498"/>
        <v>0</v>
      </c>
      <c r="EM65" s="12">
        <f t="shared" si="499"/>
        <v>0</v>
      </c>
      <c r="EN65" s="12">
        <f t="shared" si="500"/>
        <v>0</v>
      </c>
      <c r="EO65" s="12">
        <f t="shared" si="501"/>
        <v>0</v>
      </c>
      <c r="EP65" s="12">
        <f t="shared" si="502"/>
        <v>0</v>
      </c>
      <c r="EQ65" s="12">
        <f t="shared" si="503"/>
        <v>0</v>
      </c>
      <c r="ER65" s="12">
        <f t="shared" si="504"/>
        <v>0</v>
      </c>
      <c r="ES65" s="12">
        <f t="shared" si="505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506"/>
        <v>0</v>
      </c>
      <c r="FB65" s="12">
        <f t="shared" si="507"/>
        <v>0</v>
      </c>
      <c r="FC65" s="12">
        <f t="shared" si="508"/>
        <v>0</v>
      </c>
      <c r="FD65" s="12">
        <f t="shared" si="509"/>
        <v>0</v>
      </c>
      <c r="FE65" s="12">
        <f t="shared" si="510"/>
        <v>0</v>
      </c>
      <c r="FF65" s="12">
        <f t="shared" si="511"/>
        <v>0</v>
      </c>
      <c r="FG65" s="12">
        <f t="shared" si="512"/>
        <v>0</v>
      </c>
      <c r="FH65" s="12">
        <f t="shared" si="513"/>
        <v>0</v>
      </c>
      <c r="FI65" s="12">
        <f t="shared" si="514"/>
        <v>0</v>
      </c>
      <c r="FK65" s="16" t="s">
        <v>1303</v>
      </c>
      <c r="FL65">
        <f>_xlfn.XLOOKUP(FK65,'KPI Impacts'!$B$2:$H$2,'KPI Impacts'!$B65:$H65)</f>
        <v>0</v>
      </c>
      <c r="FM65" s="16" t="s">
        <v>1303</v>
      </c>
      <c r="FN65">
        <f>_xlfn.XLOOKUP(FM65,'KPI Impacts'!$B$2:$H$2,'KPI Impacts'!$B65:$H65)</f>
        <v>0</v>
      </c>
      <c r="FQ65" s="12">
        <f t="shared" si="515"/>
        <v>0</v>
      </c>
      <c r="FR65" s="12">
        <f t="shared" si="516"/>
        <v>0</v>
      </c>
      <c r="FS65" s="12">
        <f t="shared" si="517"/>
        <v>0</v>
      </c>
      <c r="FT65" s="12">
        <f t="shared" si="518"/>
        <v>0</v>
      </c>
      <c r="FU65" s="12">
        <f t="shared" si="519"/>
        <v>0</v>
      </c>
      <c r="FV65" s="12">
        <f t="shared" si="520"/>
        <v>0</v>
      </c>
      <c r="FW65" s="12">
        <f t="shared" si="521"/>
        <v>0</v>
      </c>
      <c r="FX65" s="12">
        <f t="shared" si="522"/>
        <v>0</v>
      </c>
      <c r="FY65" s="12">
        <f t="shared" si="523"/>
        <v>0</v>
      </c>
      <c r="GA65" s="30" t="s">
        <v>1309</v>
      </c>
      <c r="GB65">
        <f>_xlfn.XLOOKUP(GA65,'KPI Impacts'!$B$2:$H$2,'KPI Impacts'!$B65:$H65)</f>
        <v>2</v>
      </c>
      <c r="GC65" s="35" t="s">
        <v>1303</v>
      </c>
      <c r="GD65">
        <f>_xlfn.XLOOKUP(GC65,'KPI Impacts'!$B$2:$H$2,'KPI Impacts'!$B65:$H65)</f>
        <v>0</v>
      </c>
      <c r="GG65" s="12">
        <f t="shared" si="524"/>
        <v>0</v>
      </c>
      <c r="GH65" s="12">
        <f t="shared" si="525"/>
        <v>0</v>
      </c>
      <c r="GI65" s="12">
        <f t="shared" si="526"/>
        <v>0</v>
      </c>
      <c r="GJ65" s="12">
        <f t="shared" si="527"/>
        <v>0</v>
      </c>
      <c r="GK65" s="12">
        <f t="shared" si="528"/>
        <v>0</v>
      </c>
      <c r="GL65" s="12">
        <f t="shared" si="529"/>
        <v>0</v>
      </c>
      <c r="GM65" s="12">
        <f t="shared" si="530"/>
        <v>0</v>
      </c>
      <c r="GN65" s="12">
        <f t="shared" si="531"/>
        <v>0</v>
      </c>
      <c r="GO65" s="12">
        <f t="shared" si="532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533"/>
        <v>0</v>
      </c>
      <c r="GX65" s="12">
        <f t="shared" si="534"/>
        <v>0</v>
      </c>
      <c r="GY65" s="12">
        <f t="shared" si="535"/>
        <v>0</v>
      </c>
      <c r="GZ65" s="12">
        <f t="shared" si="536"/>
        <v>0</v>
      </c>
      <c r="HA65" s="12">
        <f t="shared" si="537"/>
        <v>0</v>
      </c>
      <c r="HB65" s="12">
        <f t="shared" si="538"/>
        <v>0</v>
      </c>
      <c r="HC65" s="12">
        <f t="shared" si="539"/>
        <v>0</v>
      </c>
      <c r="HD65" s="12">
        <f t="shared" si="540"/>
        <v>0</v>
      </c>
      <c r="HE65" s="12">
        <f t="shared" si="541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542"/>
        <v>0</v>
      </c>
      <c r="HN65" s="12">
        <f t="shared" si="543"/>
        <v>0</v>
      </c>
      <c r="HO65" s="12">
        <f t="shared" si="544"/>
        <v>0</v>
      </c>
      <c r="HP65" s="12">
        <f t="shared" si="545"/>
        <v>0</v>
      </c>
      <c r="HQ65" s="12">
        <f t="shared" si="546"/>
        <v>0</v>
      </c>
      <c r="HR65" s="12">
        <f t="shared" si="547"/>
        <v>0</v>
      </c>
      <c r="HS65" s="12">
        <f t="shared" si="548"/>
        <v>0</v>
      </c>
      <c r="HT65" s="12">
        <f t="shared" si="549"/>
        <v>0</v>
      </c>
      <c r="HU65" s="12">
        <f t="shared" si="550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551"/>
        <v>0</v>
      </c>
      <c r="ID65" s="12">
        <f t="shared" si="552"/>
        <v>0</v>
      </c>
      <c r="IE65" s="12">
        <f t="shared" si="553"/>
        <v>0</v>
      </c>
      <c r="IF65" s="12">
        <f t="shared" si="554"/>
        <v>0</v>
      </c>
      <c r="IG65" s="12">
        <f t="shared" si="555"/>
        <v>0</v>
      </c>
      <c r="IH65" s="12">
        <f t="shared" si="556"/>
        <v>0</v>
      </c>
      <c r="II65" s="12">
        <f t="shared" si="557"/>
        <v>0</v>
      </c>
      <c r="IJ65" s="12">
        <f t="shared" si="558"/>
        <v>0</v>
      </c>
      <c r="IK65" s="12">
        <f t="shared" si="559"/>
        <v>0</v>
      </c>
      <c r="IM65" t="s">
        <v>1303</v>
      </c>
      <c r="IN65">
        <f>_xlfn.XLOOKUP(IM65,'KPI Impacts'!$B$2:$H$2,'KPI Impacts'!$B65:$H65)</f>
        <v>0</v>
      </c>
      <c r="IO65" s="35" t="s">
        <v>1303</v>
      </c>
      <c r="IP65">
        <f>_xlfn.XLOOKUP(IO65,'KPI Impacts'!$B$2:$H$2,'KPI Impacts'!$B65:$H65)</f>
        <v>0</v>
      </c>
      <c r="IS65" s="12">
        <f t="shared" si="560"/>
        <v>0</v>
      </c>
      <c r="IT65" s="12">
        <f t="shared" si="561"/>
        <v>0</v>
      </c>
      <c r="IU65" s="12">
        <f t="shared" si="562"/>
        <v>0</v>
      </c>
      <c r="IV65" s="12">
        <f t="shared" si="563"/>
        <v>0</v>
      </c>
      <c r="IW65" s="12">
        <f t="shared" si="564"/>
        <v>0</v>
      </c>
      <c r="IX65" s="12">
        <f t="shared" si="565"/>
        <v>0</v>
      </c>
      <c r="IY65" s="12">
        <f t="shared" si="566"/>
        <v>0</v>
      </c>
      <c r="IZ65" s="12">
        <f t="shared" si="567"/>
        <v>0</v>
      </c>
      <c r="JA65" s="12">
        <f t="shared" si="568"/>
        <v>0</v>
      </c>
      <c r="JC65" t="s">
        <v>1303</v>
      </c>
      <c r="JD65">
        <f>_xlfn.XLOOKUP(JC65,'KPI Impacts'!$B$2:$H$2,'KPI Impacts'!$B65:$H65)</f>
        <v>0</v>
      </c>
      <c r="JE65" s="35" t="s">
        <v>1303</v>
      </c>
      <c r="JF65">
        <f>_xlfn.XLOOKUP(JE65,'KPI Impacts'!$B$2:$H$2,'KPI Impacts'!$B65:$H65)</f>
        <v>0</v>
      </c>
      <c r="JI65" s="12">
        <f t="shared" si="569"/>
        <v>0</v>
      </c>
      <c r="JJ65" s="12">
        <f t="shared" si="570"/>
        <v>0</v>
      </c>
      <c r="JK65" s="12">
        <f t="shared" si="571"/>
        <v>0</v>
      </c>
      <c r="JL65" s="12">
        <f t="shared" si="572"/>
        <v>0</v>
      </c>
      <c r="JM65" s="12">
        <f t="shared" si="573"/>
        <v>0</v>
      </c>
      <c r="JN65" s="12">
        <f t="shared" si="574"/>
        <v>0</v>
      </c>
      <c r="JO65" s="12">
        <f t="shared" si="575"/>
        <v>0</v>
      </c>
      <c r="JP65" s="12">
        <f t="shared" si="576"/>
        <v>0</v>
      </c>
      <c r="JQ65" s="12">
        <f t="shared" si="577"/>
        <v>0</v>
      </c>
      <c r="JS65" t="s">
        <v>1303</v>
      </c>
      <c r="JT65">
        <f>_xlfn.XLOOKUP(JS65,'KPI Impacts'!$B$2:$H$2,'KPI Impacts'!$B65:$H65)</f>
        <v>0</v>
      </c>
      <c r="JU65" s="35" t="s">
        <v>1303</v>
      </c>
      <c r="JV65">
        <f>_xlfn.XLOOKUP(JU65,'KPI Impacts'!$B$2:$H$2,'KPI Impacts'!$B65:$H65)</f>
        <v>0</v>
      </c>
      <c r="JY65" s="12">
        <f t="shared" si="578"/>
        <v>0</v>
      </c>
      <c r="JZ65" s="12">
        <f t="shared" si="579"/>
        <v>0</v>
      </c>
      <c r="KA65" s="12">
        <f t="shared" si="580"/>
        <v>0</v>
      </c>
      <c r="KB65" s="12">
        <f t="shared" si="581"/>
        <v>0</v>
      </c>
      <c r="KC65" s="12">
        <f t="shared" si="582"/>
        <v>0</v>
      </c>
      <c r="KD65" s="12">
        <f t="shared" si="583"/>
        <v>0</v>
      </c>
      <c r="KE65" s="12">
        <f t="shared" si="584"/>
        <v>0</v>
      </c>
      <c r="KF65" s="12">
        <f t="shared" si="585"/>
        <v>0</v>
      </c>
      <c r="KG65" s="12">
        <f t="shared" si="586"/>
        <v>0</v>
      </c>
      <c r="KI65" t="s">
        <v>1303</v>
      </c>
      <c r="KJ65">
        <f>_xlfn.XLOOKUP(KI65,'KPI Impacts'!$B$2:$H$2,'KPI Impacts'!$B65:$H65)</f>
        <v>0</v>
      </c>
      <c r="KK65" s="35" t="s">
        <v>1303</v>
      </c>
      <c r="KL65">
        <f>_xlfn.XLOOKUP(KK65,'KPI Impacts'!$B$2:$H$2,'KPI Impacts'!$B65:$H65)</f>
        <v>0</v>
      </c>
      <c r="KO65" s="12">
        <f t="shared" si="587"/>
        <v>0</v>
      </c>
      <c r="KP65" s="12">
        <f t="shared" si="588"/>
        <v>0</v>
      </c>
      <c r="KQ65" s="12">
        <f t="shared" si="589"/>
        <v>0</v>
      </c>
      <c r="KR65" s="12">
        <f t="shared" si="590"/>
        <v>0</v>
      </c>
      <c r="KS65" s="12">
        <f t="shared" si="591"/>
        <v>0</v>
      </c>
      <c r="KT65" s="12">
        <f t="shared" si="592"/>
        <v>0</v>
      </c>
      <c r="KU65" s="12">
        <f t="shared" si="593"/>
        <v>0</v>
      </c>
      <c r="KV65" s="12">
        <f t="shared" si="594"/>
        <v>0</v>
      </c>
      <c r="KW65" s="12">
        <f t="shared" si="595"/>
        <v>0</v>
      </c>
      <c r="KY65" t="s">
        <v>1303</v>
      </c>
      <c r="KZ65">
        <f>_xlfn.XLOOKUP(KY65,'KPI Impacts'!$B$2:$H$2,'KPI Impacts'!$B65:$H65)</f>
        <v>0</v>
      </c>
      <c r="LA65" s="35" t="s">
        <v>1303</v>
      </c>
      <c r="LB65">
        <f>_xlfn.XLOOKUP(LA65,'KPI Impacts'!$B$2:$H$2,'KPI Impacts'!$B65:$H65)</f>
        <v>0</v>
      </c>
      <c r="LE65" s="12">
        <f t="shared" si="596"/>
        <v>0</v>
      </c>
      <c r="LF65" s="12">
        <f t="shared" si="597"/>
        <v>0</v>
      </c>
      <c r="LG65" s="12">
        <f t="shared" si="598"/>
        <v>0</v>
      </c>
      <c r="LH65" s="12">
        <f t="shared" si="599"/>
        <v>0</v>
      </c>
      <c r="LI65" s="12">
        <f t="shared" si="600"/>
        <v>0</v>
      </c>
      <c r="LJ65" s="12">
        <f t="shared" si="601"/>
        <v>0</v>
      </c>
      <c r="LK65" s="12">
        <f t="shared" si="602"/>
        <v>0</v>
      </c>
      <c r="LL65" s="12">
        <f t="shared" si="603"/>
        <v>0</v>
      </c>
      <c r="LM65" s="12">
        <f t="shared" si="604"/>
        <v>0</v>
      </c>
      <c r="LO65" t="s">
        <v>1303</v>
      </c>
      <c r="LP65">
        <f>_xlfn.XLOOKUP(LO65,'KPI Impacts'!$B$2:$H$2,'KPI Impacts'!$B65:$H65)</f>
        <v>0</v>
      </c>
      <c r="LQ65" s="35" t="s">
        <v>1303</v>
      </c>
      <c r="LR65">
        <f>_xlfn.XLOOKUP(LQ65,'KPI Impacts'!$B$2:$H$2,'KPI Impacts'!$B65:$H65)</f>
        <v>0</v>
      </c>
      <c r="LU65" s="12">
        <f t="shared" si="605"/>
        <v>0</v>
      </c>
      <c r="LV65" s="12">
        <f t="shared" si="606"/>
        <v>0</v>
      </c>
      <c r="LW65" s="12">
        <f t="shared" si="607"/>
        <v>0</v>
      </c>
      <c r="LX65" s="12">
        <f t="shared" si="608"/>
        <v>0</v>
      </c>
      <c r="LY65" s="12">
        <f t="shared" si="609"/>
        <v>0</v>
      </c>
      <c r="LZ65" s="12">
        <f t="shared" si="610"/>
        <v>0</v>
      </c>
      <c r="MA65" s="12">
        <f t="shared" si="611"/>
        <v>0</v>
      </c>
      <c r="MB65" s="12">
        <f t="shared" si="612"/>
        <v>0</v>
      </c>
      <c r="MC65" s="12">
        <f t="shared" si="613"/>
        <v>0</v>
      </c>
      <c r="ME65" t="s">
        <v>1303</v>
      </c>
      <c r="MF65">
        <f>_xlfn.XLOOKUP(ME65,'KPI Impacts'!$B$2:$H$2,'KPI Impacts'!$B65:$H65)</f>
        <v>0</v>
      </c>
      <c r="MG65" s="35" t="s">
        <v>1303</v>
      </c>
      <c r="MH65">
        <f>_xlfn.XLOOKUP(MG65,'KPI Impacts'!$B$2:$H$2,'KPI Impacts'!$B65:$H65)</f>
        <v>0</v>
      </c>
      <c r="MK65" s="12">
        <f t="shared" si="614"/>
        <v>0</v>
      </c>
      <c r="ML65" s="12">
        <f t="shared" si="615"/>
        <v>0</v>
      </c>
      <c r="MM65" s="12">
        <f t="shared" si="616"/>
        <v>0</v>
      </c>
      <c r="MN65" s="12">
        <f t="shared" si="617"/>
        <v>0</v>
      </c>
      <c r="MO65" s="12">
        <f t="shared" si="618"/>
        <v>0</v>
      </c>
      <c r="MP65" s="12">
        <f t="shared" si="619"/>
        <v>0</v>
      </c>
      <c r="MQ65" s="12">
        <f t="shared" si="620"/>
        <v>0</v>
      </c>
      <c r="MR65" s="12">
        <f t="shared" si="621"/>
        <v>0</v>
      </c>
      <c r="MS65" s="12">
        <f t="shared" si="622"/>
        <v>0</v>
      </c>
      <c r="MU65" t="s">
        <v>1303</v>
      </c>
      <c r="MV65">
        <f>_xlfn.XLOOKUP(MU65,'KPI Impacts'!$B$2:$H$2,'KPI Impacts'!$B65:$H65)</f>
        <v>0</v>
      </c>
      <c r="MW65" s="35" t="s">
        <v>1303</v>
      </c>
      <c r="MX65">
        <f>_xlfn.XLOOKUP(MW65,'KPI Impacts'!$B$2:$H$2,'KPI Impacts'!$B65:$H65)</f>
        <v>0</v>
      </c>
      <c r="NA65" s="12">
        <f t="shared" si="623"/>
        <v>0</v>
      </c>
      <c r="NB65" s="12">
        <f t="shared" si="624"/>
        <v>0</v>
      </c>
      <c r="NC65" s="12">
        <f t="shared" si="625"/>
        <v>0</v>
      </c>
      <c r="ND65" s="12">
        <f t="shared" si="626"/>
        <v>0</v>
      </c>
      <c r="NE65" s="12">
        <f t="shared" si="627"/>
        <v>0</v>
      </c>
      <c r="NF65" s="12">
        <f t="shared" si="628"/>
        <v>0</v>
      </c>
      <c r="NG65" s="12">
        <f t="shared" si="629"/>
        <v>0</v>
      </c>
      <c r="NH65" s="12">
        <f t="shared" si="630"/>
        <v>0</v>
      </c>
      <c r="NI65" s="12">
        <f t="shared" si="631"/>
        <v>0</v>
      </c>
      <c r="NK65" t="s">
        <v>1303</v>
      </c>
      <c r="NL65">
        <f>_xlfn.XLOOKUP(NK65,'KPI Impacts'!$B$2:$H$2,'KPI Impacts'!$B65:$H65)</f>
        <v>0</v>
      </c>
      <c r="NM65" s="35" t="s">
        <v>1303</v>
      </c>
      <c r="NN65">
        <f>_xlfn.XLOOKUP(NM65,'KPI Impacts'!$B$2:$H$2,'KPI Impacts'!$B65:$H65)</f>
        <v>0</v>
      </c>
      <c r="NQ65" s="12">
        <f t="shared" si="632"/>
        <v>0</v>
      </c>
      <c r="NR65" s="12">
        <f t="shared" si="633"/>
        <v>0</v>
      </c>
      <c r="NS65" s="12">
        <f t="shared" si="634"/>
        <v>0</v>
      </c>
      <c r="NT65" s="12">
        <f t="shared" si="635"/>
        <v>0</v>
      </c>
      <c r="NU65" s="12">
        <f t="shared" si="636"/>
        <v>0</v>
      </c>
      <c r="NV65" s="12">
        <f t="shared" si="637"/>
        <v>0</v>
      </c>
      <c r="NW65" s="12">
        <f t="shared" si="638"/>
        <v>0</v>
      </c>
      <c r="NX65" s="12">
        <f t="shared" si="639"/>
        <v>0</v>
      </c>
      <c r="NY65" s="12">
        <f t="shared" si="640"/>
        <v>0</v>
      </c>
      <c r="OA65" t="s">
        <v>1303</v>
      </c>
      <c r="OB65">
        <f>_xlfn.XLOOKUP(OA65,'KPI Impacts'!$B$2:$H$2,'KPI Impacts'!$B65:$H65)</f>
        <v>0</v>
      </c>
      <c r="OC65" s="35" t="s">
        <v>1303</v>
      </c>
      <c r="OD65">
        <f>_xlfn.XLOOKUP(OC65,'KPI Impacts'!$B$2:$H$2,'KPI Impacts'!$B65:$H65)</f>
        <v>0</v>
      </c>
      <c r="OG65" s="12">
        <f t="shared" si="641"/>
        <v>0</v>
      </c>
      <c r="OH65" s="12">
        <f t="shared" si="642"/>
        <v>0</v>
      </c>
      <c r="OI65" s="12">
        <f t="shared" si="643"/>
        <v>0</v>
      </c>
      <c r="OJ65" s="12">
        <f t="shared" si="644"/>
        <v>0</v>
      </c>
      <c r="OK65" s="12">
        <f t="shared" si="645"/>
        <v>0</v>
      </c>
      <c r="OL65" s="12">
        <f t="shared" si="646"/>
        <v>0</v>
      </c>
      <c r="OM65" s="12">
        <f t="shared" si="647"/>
        <v>0</v>
      </c>
      <c r="ON65" s="12">
        <f t="shared" si="648"/>
        <v>0</v>
      </c>
      <c r="OO65" s="12">
        <f t="shared" si="649"/>
        <v>0</v>
      </c>
      <c r="OQ65" t="s">
        <v>1303</v>
      </c>
      <c r="OR65">
        <f>_xlfn.XLOOKUP(OQ65,'KPI Impacts'!$B$2:$H$2,'KPI Impacts'!$B65:$H65)</f>
        <v>0</v>
      </c>
      <c r="OS65" s="35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442"/>
        <v>0</v>
      </c>
      <c r="C66" s="12">
        <f t="shared" si="650"/>
        <v>0</v>
      </c>
      <c r="D66" s="12">
        <f t="shared" si="651"/>
        <v>0</v>
      </c>
      <c r="E66" s="12">
        <f t="shared" si="652"/>
        <v>0</v>
      </c>
      <c r="F66" s="12">
        <f t="shared" si="653"/>
        <v>0</v>
      </c>
      <c r="G66" s="12">
        <f t="shared" si="654"/>
        <v>0</v>
      </c>
      <c r="H66" s="12">
        <f t="shared" si="655"/>
        <v>0</v>
      </c>
      <c r="I66" s="12">
        <f t="shared" si="444"/>
        <v>0</v>
      </c>
      <c r="J66" s="12">
        <f t="shared" si="444"/>
        <v>0</v>
      </c>
      <c r="M66">
        <f t="shared" si="445"/>
        <v>0</v>
      </c>
      <c r="N66">
        <f t="shared" si="446"/>
        <v>0</v>
      </c>
      <c r="O66">
        <f t="shared" si="447"/>
        <v>0</v>
      </c>
      <c r="P66">
        <f t="shared" si="448"/>
        <v>0</v>
      </c>
      <c r="Q66">
        <f t="shared" si="449"/>
        <v>0</v>
      </c>
      <c r="R66">
        <f t="shared" si="450"/>
        <v>0</v>
      </c>
      <c r="S66">
        <f t="shared" si="451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41">
        <f t="shared" si="452"/>
        <v>0</v>
      </c>
      <c r="BJ66" s="41">
        <f t="shared" si="453"/>
        <v>0</v>
      </c>
      <c r="BK66" s="41">
        <f t="shared" si="454"/>
        <v>0</v>
      </c>
      <c r="BL66" s="41">
        <f t="shared" si="455"/>
        <v>0</v>
      </c>
      <c r="BM66" s="41">
        <f t="shared" si="456"/>
        <v>0</v>
      </c>
      <c r="BN66" s="41">
        <f t="shared" si="457"/>
        <v>0</v>
      </c>
      <c r="BO66" s="41">
        <f t="shared" si="458"/>
        <v>0</v>
      </c>
      <c r="BP66" s="41">
        <f t="shared" si="459"/>
        <v>0</v>
      </c>
      <c r="BQ66" s="41">
        <f t="shared" si="460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461"/>
        <v>0</v>
      </c>
      <c r="BZ66" s="12">
        <f t="shared" si="462"/>
        <v>0</v>
      </c>
      <c r="CA66" s="12">
        <f t="shared" si="463"/>
        <v>0</v>
      </c>
      <c r="CB66" s="12">
        <f t="shared" si="464"/>
        <v>0</v>
      </c>
      <c r="CC66" s="12">
        <f t="shared" si="465"/>
        <v>0</v>
      </c>
      <c r="CD66" s="12">
        <f t="shared" si="466"/>
        <v>0</v>
      </c>
      <c r="CE66" s="12">
        <f t="shared" si="467"/>
        <v>0</v>
      </c>
      <c r="CF66" s="12">
        <f t="shared" si="468"/>
        <v>0</v>
      </c>
      <c r="CG66" s="12">
        <f t="shared" si="469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470"/>
        <v>0</v>
      </c>
      <c r="CP66" s="12">
        <f t="shared" si="471"/>
        <v>0</v>
      </c>
      <c r="CQ66" s="12">
        <f t="shared" si="472"/>
        <v>0</v>
      </c>
      <c r="CR66" s="12">
        <f t="shared" si="473"/>
        <v>0</v>
      </c>
      <c r="CS66" s="12">
        <f t="shared" si="474"/>
        <v>0</v>
      </c>
      <c r="CT66" s="12">
        <f t="shared" si="475"/>
        <v>0</v>
      </c>
      <c r="CU66" s="12">
        <f t="shared" si="476"/>
        <v>0</v>
      </c>
      <c r="CV66" s="12">
        <f t="shared" si="477"/>
        <v>0</v>
      </c>
      <c r="CW66" s="12">
        <f t="shared" si="478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479"/>
        <v>0</v>
      </c>
      <c r="DF66" s="12">
        <f t="shared" si="480"/>
        <v>0</v>
      </c>
      <c r="DG66" s="12">
        <f t="shared" si="481"/>
        <v>0</v>
      </c>
      <c r="DH66" s="12">
        <f t="shared" si="482"/>
        <v>0</v>
      </c>
      <c r="DI66" s="12">
        <f t="shared" si="483"/>
        <v>0</v>
      </c>
      <c r="DJ66" s="12">
        <f t="shared" si="484"/>
        <v>0</v>
      </c>
      <c r="DK66" s="12">
        <f t="shared" si="485"/>
        <v>0</v>
      </c>
      <c r="DL66" s="12">
        <f t="shared" si="486"/>
        <v>0</v>
      </c>
      <c r="DM66" s="12">
        <f t="shared" si="487"/>
        <v>0</v>
      </c>
      <c r="DO66" s="30" t="s">
        <v>1307</v>
      </c>
      <c r="DP66">
        <f>_xlfn.XLOOKUP(DO66,'KPI Impacts'!$B$2:$H$2,'KPI Impacts'!$B66:$H66)</f>
        <v>2</v>
      </c>
      <c r="DQ66" s="35" t="s">
        <v>1303</v>
      </c>
      <c r="DR66">
        <f>_xlfn.XLOOKUP(DQ66,'KPI Impacts'!$B$2:$H$2,'KPI Impacts'!$B66:$H66)</f>
        <v>0</v>
      </c>
      <c r="DU66" s="12">
        <f t="shared" si="488"/>
        <v>0</v>
      </c>
      <c r="DV66" s="12">
        <f t="shared" si="489"/>
        <v>0</v>
      </c>
      <c r="DW66" s="12">
        <f t="shared" si="490"/>
        <v>0</v>
      </c>
      <c r="DX66" s="12">
        <f t="shared" si="491"/>
        <v>0</v>
      </c>
      <c r="DY66" s="12">
        <f t="shared" si="492"/>
        <v>0</v>
      </c>
      <c r="DZ66" s="12">
        <f t="shared" si="493"/>
        <v>0</v>
      </c>
      <c r="EA66" s="12">
        <f t="shared" si="494"/>
        <v>0</v>
      </c>
      <c r="EB66" s="12">
        <f t="shared" si="495"/>
        <v>0</v>
      </c>
      <c r="EC66" s="12">
        <f t="shared" si="496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497"/>
        <v>0</v>
      </c>
      <c r="EL66" s="12">
        <f t="shared" si="498"/>
        <v>0</v>
      </c>
      <c r="EM66" s="12">
        <f t="shared" si="499"/>
        <v>0</v>
      </c>
      <c r="EN66" s="12">
        <f t="shared" si="500"/>
        <v>0</v>
      </c>
      <c r="EO66" s="12">
        <f t="shared" si="501"/>
        <v>0</v>
      </c>
      <c r="EP66" s="12">
        <f t="shared" si="502"/>
        <v>0</v>
      </c>
      <c r="EQ66" s="12">
        <f t="shared" si="503"/>
        <v>0</v>
      </c>
      <c r="ER66" s="12">
        <f t="shared" si="504"/>
        <v>0</v>
      </c>
      <c r="ES66" s="12">
        <f t="shared" si="505"/>
        <v>0</v>
      </c>
      <c r="EU66" s="30" t="s">
        <v>1307</v>
      </c>
      <c r="EV66">
        <f>_xlfn.XLOOKUP(EU66,'KPI Impacts'!$B$2:$H$2,'KPI Impacts'!$B66:$H66)</f>
        <v>2</v>
      </c>
      <c r="EW66" s="35" t="s">
        <v>1303</v>
      </c>
      <c r="EX66">
        <f>_xlfn.XLOOKUP(EW66,'KPI Impacts'!$B$2:$H$2,'KPI Impacts'!$B66:$H66)</f>
        <v>0</v>
      </c>
      <c r="FA66" s="12">
        <f t="shared" si="506"/>
        <v>0</v>
      </c>
      <c r="FB66" s="12">
        <f t="shared" si="507"/>
        <v>0</v>
      </c>
      <c r="FC66" s="12">
        <f t="shared" si="508"/>
        <v>0</v>
      </c>
      <c r="FD66" s="12">
        <f t="shared" si="509"/>
        <v>0</v>
      </c>
      <c r="FE66" s="12">
        <f t="shared" si="510"/>
        <v>0</v>
      </c>
      <c r="FF66" s="12">
        <f t="shared" si="511"/>
        <v>0</v>
      </c>
      <c r="FG66" s="12">
        <f t="shared" si="512"/>
        <v>0</v>
      </c>
      <c r="FH66" s="12">
        <f t="shared" si="513"/>
        <v>0</v>
      </c>
      <c r="FI66" s="12">
        <f t="shared" si="514"/>
        <v>0</v>
      </c>
      <c r="FK66" s="29" t="s">
        <v>1304</v>
      </c>
      <c r="FL66">
        <f>_xlfn.XLOOKUP(FK66,'KPI Impacts'!$B$2:$H$2,'KPI Impacts'!$B66:$H66)</f>
        <v>-1.6</v>
      </c>
      <c r="FM66" s="29" t="s">
        <v>1304</v>
      </c>
      <c r="FN66">
        <f>_xlfn.XLOOKUP(FM66,'KPI Impacts'!$B$2:$H$2,'KPI Impacts'!$B66:$H66)</f>
        <v>-1.6</v>
      </c>
      <c r="FQ66" s="12">
        <f t="shared" si="515"/>
        <v>0</v>
      </c>
      <c r="FR66" s="12">
        <f t="shared" si="516"/>
        <v>0</v>
      </c>
      <c r="FS66" s="12">
        <f t="shared" si="517"/>
        <v>0</v>
      </c>
      <c r="FT66" s="12">
        <f t="shared" si="518"/>
        <v>0</v>
      </c>
      <c r="FU66" s="12">
        <f t="shared" si="519"/>
        <v>0</v>
      </c>
      <c r="FV66" s="12">
        <f t="shared" si="520"/>
        <v>0</v>
      </c>
      <c r="FW66" s="12">
        <f t="shared" si="521"/>
        <v>0</v>
      </c>
      <c r="FX66" s="12">
        <f t="shared" si="522"/>
        <v>0</v>
      </c>
      <c r="FY66" s="12">
        <f t="shared" si="523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524"/>
        <v>0</v>
      </c>
      <c r="GH66" s="12">
        <f t="shared" si="525"/>
        <v>0</v>
      </c>
      <c r="GI66" s="12">
        <f t="shared" si="526"/>
        <v>0</v>
      </c>
      <c r="GJ66" s="12">
        <f t="shared" si="527"/>
        <v>0</v>
      </c>
      <c r="GK66" s="12">
        <f t="shared" si="528"/>
        <v>0</v>
      </c>
      <c r="GL66" s="12">
        <f t="shared" si="529"/>
        <v>0</v>
      </c>
      <c r="GM66" s="12">
        <f t="shared" si="530"/>
        <v>0</v>
      </c>
      <c r="GN66" s="12">
        <f t="shared" si="531"/>
        <v>0</v>
      </c>
      <c r="GO66" s="12">
        <f t="shared" si="532"/>
        <v>0</v>
      </c>
      <c r="GQ66" s="16" t="s">
        <v>1303</v>
      </c>
      <c r="GR66">
        <f>_xlfn.XLOOKUP(GQ66,'KPI Impacts'!$B$2:$H$2,'KPI Impacts'!$B66:$H66)</f>
        <v>0</v>
      </c>
      <c r="GS66" s="35" t="s">
        <v>1303</v>
      </c>
      <c r="GT66">
        <f>_xlfn.XLOOKUP(GS66,'KPI Impacts'!$B$2:$H$2,'KPI Impacts'!$B66:$H66)</f>
        <v>0</v>
      </c>
      <c r="GW66" s="12">
        <f t="shared" si="533"/>
        <v>0</v>
      </c>
      <c r="GX66" s="12">
        <f t="shared" si="534"/>
        <v>0</v>
      </c>
      <c r="GY66" s="12">
        <f t="shared" si="535"/>
        <v>0</v>
      </c>
      <c r="GZ66" s="12">
        <f t="shared" si="536"/>
        <v>0</v>
      </c>
      <c r="HA66" s="12">
        <f t="shared" si="537"/>
        <v>0</v>
      </c>
      <c r="HB66" s="12">
        <f t="shared" si="538"/>
        <v>0</v>
      </c>
      <c r="HC66" s="12">
        <f t="shared" si="539"/>
        <v>0</v>
      </c>
      <c r="HD66" s="12">
        <f t="shared" si="540"/>
        <v>0</v>
      </c>
      <c r="HE66" s="12">
        <f t="shared" si="541"/>
        <v>0</v>
      </c>
      <c r="HG66" s="16" t="s">
        <v>1303</v>
      </c>
      <c r="HH66">
        <f>_xlfn.XLOOKUP(HG66,'KPI Impacts'!$B$2:$H$2,'KPI Impacts'!$B66:$H66)</f>
        <v>0</v>
      </c>
      <c r="HI66" s="35" t="s">
        <v>1303</v>
      </c>
      <c r="HJ66">
        <f>_xlfn.XLOOKUP(HI66,'KPI Impacts'!$B$2:$H$2,'KPI Impacts'!$B66:$H66)</f>
        <v>0</v>
      </c>
      <c r="HM66" s="12">
        <f t="shared" si="542"/>
        <v>0</v>
      </c>
      <c r="HN66" s="12">
        <f t="shared" si="543"/>
        <v>0</v>
      </c>
      <c r="HO66" s="12">
        <f t="shared" si="544"/>
        <v>0</v>
      </c>
      <c r="HP66" s="12">
        <f t="shared" si="545"/>
        <v>0</v>
      </c>
      <c r="HQ66" s="12">
        <f t="shared" si="546"/>
        <v>0</v>
      </c>
      <c r="HR66" s="12">
        <f t="shared" si="547"/>
        <v>0</v>
      </c>
      <c r="HS66" s="12">
        <f t="shared" si="548"/>
        <v>0</v>
      </c>
      <c r="HT66" s="12">
        <f t="shared" si="549"/>
        <v>0</v>
      </c>
      <c r="HU66" s="12">
        <f t="shared" si="550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551"/>
        <v>0</v>
      </c>
      <c r="ID66" s="12">
        <f t="shared" si="552"/>
        <v>0</v>
      </c>
      <c r="IE66" s="12">
        <f t="shared" si="553"/>
        <v>0</v>
      </c>
      <c r="IF66" s="12">
        <f t="shared" si="554"/>
        <v>0</v>
      </c>
      <c r="IG66" s="12">
        <f t="shared" si="555"/>
        <v>0</v>
      </c>
      <c r="IH66" s="12">
        <f t="shared" si="556"/>
        <v>0</v>
      </c>
      <c r="II66" s="12">
        <f t="shared" si="557"/>
        <v>0</v>
      </c>
      <c r="IJ66" s="12">
        <f t="shared" si="558"/>
        <v>0</v>
      </c>
      <c r="IK66" s="12">
        <f t="shared" si="559"/>
        <v>0</v>
      </c>
      <c r="IM66" t="s">
        <v>1303</v>
      </c>
      <c r="IN66">
        <f>_xlfn.XLOOKUP(IM66,'KPI Impacts'!$B$2:$H$2,'KPI Impacts'!$B66:$H66)</f>
        <v>0</v>
      </c>
      <c r="IO66" s="35" t="s">
        <v>1303</v>
      </c>
      <c r="IP66">
        <f>_xlfn.XLOOKUP(IO66,'KPI Impacts'!$B$2:$H$2,'KPI Impacts'!$B66:$H66)</f>
        <v>0</v>
      </c>
      <c r="IS66" s="12">
        <f t="shared" si="560"/>
        <v>0</v>
      </c>
      <c r="IT66" s="12">
        <f t="shared" si="561"/>
        <v>0</v>
      </c>
      <c r="IU66" s="12">
        <f t="shared" si="562"/>
        <v>0</v>
      </c>
      <c r="IV66" s="12">
        <f t="shared" si="563"/>
        <v>0</v>
      </c>
      <c r="IW66" s="12">
        <f t="shared" si="564"/>
        <v>0</v>
      </c>
      <c r="IX66" s="12">
        <f t="shared" si="565"/>
        <v>0</v>
      </c>
      <c r="IY66" s="12">
        <f t="shared" si="566"/>
        <v>0</v>
      </c>
      <c r="IZ66" s="12">
        <f t="shared" si="567"/>
        <v>0</v>
      </c>
      <c r="JA66" s="12">
        <f t="shared" si="568"/>
        <v>0</v>
      </c>
      <c r="JC66" t="s">
        <v>1303</v>
      </c>
      <c r="JD66">
        <f>_xlfn.XLOOKUP(JC66,'KPI Impacts'!$B$2:$H$2,'KPI Impacts'!$B66:$H66)</f>
        <v>0</v>
      </c>
      <c r="JE66" s="35" t="s">
        <v>1303</v>
      </c>
      <c r="JF66">
        <f>_xlfn.XLOOKUP(JE66,'KPI Impacts'!$B$2:$H$2,'KPI Impacts'!$B66:$H66)</f>
        <v>0</v>
      </c>
      <c r="JI66" s="12">
        <f t="shared" si="569"/>
        <v>0</v>
      </c>
      <c r="JJ66" s="12">
        <f t="shared" si="570"/>
        <v>0</v>
      </c>
      <c r="JK66" s="12">
        <f t="shared" si="571"/>
        <v>0</v>
      </c>
      <c r="JL66" s="12">
        <f t="shared" si="572"/>
        <v>0</v>
      </c>
      <c r="JM66" s="12">
        <f t="shared" si="573"/>
        <v>0</v>
      </c>
      <c r="JN66" s="12">
        <f t="shared" si="574"/>
        <v>0</v>
      </c>
      <c r="JO66" s="12">
        <f t="shared" si="575"/>
        <v>0</v>
      </c>
      <c r="JP66" s="12">
        <f t="shared" si="576"/>
        <v>0</v>
      </c>
      <c r="JQ66" s="12">
        <f t="shared" si="577"/>
        <v>0</v>
      </c>
      <c r="JS66" t="s">
        <v>1303</v>
      </c>
      <c r="JT66">
        <f>_xlfn.XLOOKUP(JS66,'KPI Impacts'!$B$2:$H$2,'KPI Impacts'!$B66:$H66)</f>
        <v>0</v>
      </c>
      <c r="JU66" s="35" t="s">
        <v>1303</v>
      </c>
      <c r="JV66">
        <f>_xlfn.XLOOKUP(JU66,'KPI Impacts'!$B$2:$H$2,'KPI Impacts'!$B66:$H66)</f>
        <v>0</v>
      </c>
      <c r="JY66" s="12">
        <f t="shared" si="578"/>
        <v>0</v>
      </c>
      <c r="JZ66" s="12">
        <f t="shared" si="579"/>
        <v>0</v>
      </c>
      <c r="KA66" s="12">
        <f t="shared" si="580"/>
        <v>0</v>
      </c>
      <c r="KB66" s="12">
        <f t="shared" si="581"/>
        <v>0</v>
      </c>
      <c r="KC66" s="12">
        <f t="shared" si="582"/>
        <v>0</v>
      </c>
      <c r="KD66" s="12">
        <f t="shared" si="583"/>
        <v>0</v>
      </c>
      <c r="KE66" s="12">
        <f t="shared" si="584"/>
        <v>0</v>
      </c>
      <c r="KF66" s="12">
        <f t="shared" si="585"/>
        <v>0</v>
      </c>
      <c r="KG66" s="12">
        <f t="shared" si="586"/>
        <v>0</v>
      </c>
      <c r="KI66" t="s">
        <v>1303</v>
      </c>
      <c r="KJ66">
        <f>_xlfn.XLOOKUP(KI66,'KPI Impacts'!$B$2:$H$2,'KPI Impacts'!$B66:$H66)</f>
        <v>0</v>
      </c>
      <c r="KK66" s="35" t="s">
        <v>1303</v>
      </c>
      <c r="KL66">
        <f>_xlfn.XLOOKUP(KK66,'KPI Impacts'!$B$2:$H$2,'KPI Impacts'!$B66:$H66)</f>
        <v>0</v>
      </c>
      <c r="KO66" s="12">
        <f t="shared" si="587"/>
        <v>0</v>
      </c>
      <c r="KP66" s="12">
        <f t="shared" si="588"/>
        <v>0</v>
      </c>
      <c r="KQ66" s="12">
        <f t="shared" si="589"/>
        <v>0</v>
      </c>
      <c r="KR66" s="12">
        <f t="shared" si="590"/>
        <v>0</v>
      </c>
      <c r="KS66" s="12">
        <f t="shared" si="591"/>
        <v>0</v>
      </c>
      <c r="KT66" s="12">
        <f t="shared" si="592"/>
        <v>0</v>
      </c>
      <c r="KU66" s="12">
        <f t="shared" si="593"/>
        <v>0</v>
      </c>
      <c r="KV66" s="12">
        <f t="shared" si="594"/>
        <v>0</v>
      </c>
      <c r="KW66" s="12">
        <f t="shared" si="595"/>
        <v>0</v>
      </c>
      <c r="KY66" t="s">
        <v>1303</v>
      </c>
      <c r="KZ66">
        <f>_xlfn.XLOOKUP(KY66,'KPI Impacts'!$B$2:$H$2,'KPI Impacts'!$B66:$H66)</f>
        <v>0</v>
      </c>
      <c r="LA66" s="35" t="s">
        <v>1303</v>
      </c>
      <c r="LB66">
        <f>_xlfn.XLOOKUP(LA66,'KPI Impacts'!$B$2:$H$2,'KPI Impacts'!$B66:$H66)</f>
        <v>0</v>
      </c>
      <c r="LE66" s="12">
        <f t="shared" si="596"/>
        <v>0</v>
      </c>
      <c r="LF66" s="12">
        <f t="shared" si="597"/>
        <v>0</v>
      </c>
      <c r="LG66" s="12">
        <f t="shared" si="598"/>
        <v>0</v>
      </c>
      <c r="LH66" s="12">
        <f t="shared" si="599"/>
        <v>0</v>
      </c>
      <c r="LI66" s="12">
        <f t="shared" si="600"/>
        <v>0</v>
      </c>
      <c r="LJ66" s="12">
        <f t="shared" si="601"/>
        <v>0</v>
      </c>
      <c r="LK66" s="12">
        <f t="shared" si="602"/>
        <v>0</v>
      </c>
      <c r="LL66" s="12">
        <f t="shared" si="603"/>
        <v>0</v>
      </c>
      <c r="LM66" s="12">
        <f t="shared" si="604"/>
        <v>0</v>
      </c>
      <c r="LO66" t="s">
        <v>1303</v>
      </c>
      <c r="LP66">
        <f>_xlfn.XLOOKUP(LO66,'KPI Impacts'!$B$2:$H$2,'KPI Impacts'!$B66:$H66)</f>
        <v>0</v>
      </c>
      <c r="LQ66" s="35" t="s">
        <v>1303</v>
      </c>
      <c r="LR66">
        <f>_xlfn.XLOOKUP(LQ66,'KPI Impacts'!$B$2:$H$2,'KPI Impacts'!$B66:$H66)</f>
        <v>0</v>
      </c>
      <c r="LU66" s="12">
        <f t="shared" si="605"/>
        <v>0</v>
      </c>
      <c r="LV66" s="12">
        <f t="shared" si="606"/>
        <v>0</v>
      </c>
      <c r="LW66" s="12">
        <f t="shared" si="607"/>
        <v>0</v>
      </c>
      <c r="LX66" s="12">
        <f t="shared" si="608"/>
        <v>0</v>
      </c>
      <c r="LY66" s="12">
        <f t="shared" si="609"/>
        <v>0</v>
      </c>
      <c r="LZ66" s="12">
        <f t="shared" si="610"/>
        <v>0</v>
      </c>
      <c r="MA66" s="12">
        <f t="shared" si="611"/>
        <v>0</v>
      </c>
      <c r="MB66" s="12">
        <f t="shared" si="612"/>
        <v>0</v>
      </c>
      <c r="MC66" s="12">
        <f t="shared" si="613"/>
        <v>0</v>
      </c>
      <c r="ME66" t="s">
        <v>1303</v>
      </c>
      <c r="MF66">
        <f>_xlfn.XLOOKUP(ME66,'KPI Impacts'!$B$2:$H$2,'KPI Impacts'!$B66:$H66)</f>
        <v>0</v>
      </c>
      <c r="MG66" s="35" t="s">
        <v>1303</v>
      </c>
      <c r="MH66">
        <f>_xlfn.XLOOKUP(MG66,'KPI Impacts'!$B$2:$H$2,'KPI Impacts'!$B66:$H66)</f>
        <v>0</v>
      </c>
      <c r="MK66" s="12">
        <f t="shared" si="614"/>
        <v>0</v>
      </c>
      <c r="ML66" s="12">
        <f t="shared" si="615"/>
        <v>0</v>
      </c>
      <c r="MM66" s="12">
        <f t="shared" si="616"/>
        <v>0</v>
      </c>
      <c r="MN66" s="12">
        <f t="shared" si="617"/>
        <v>0</v>
      </c>
      <c r="MO66" s="12">
        <f t="shared" si="618"/>
        <v>0</v>
      </c>
      <c r="MP66" s="12">
        <f t="shared" si="619"/>
        <v>0</v>
      </c>
      <c r="MQ66" s="12">
        <f t="shared" si="620"/>
        <v>0</v>
      </c>
      <c r="MR66" s="12">
        <f t="shared" si="621"/>
        <v>0</v>
      </c>
      <c r="MS66" s="12">
        <f t="shared" si="622"/>
        <v>0</v>
      </c>
      <c r="MU66" t="s">
        <v>1303</v>
      </c>
      <c r="MV66">
        <f>_xlfn.XLOOKUP(MU66,'KPI Impacts'!$B$2:$H$2,'KPI Impacts'!$B66:$H66)</f>
        <v>0</v>
      </c>
      <c r="MW66" s="35" t="s">
        <v>1303</v>
      </c>
      <c r="MX66">
        <f>_xlfn.XLOOKUP(MW66,'KPI Impacts'!$B$2:$H$2,'KPI Impacts'!$B66:$H66)</f>
        <v>0</v>
      </c>
      <c r="NA66" s="12">
        <f t="shared" si="623"/>
        <v>0</v>
      </c>
      <c r="NB66" s="12">
        <f t="shared" si="624"/>
        <v>0</v>
      </c>
      <c r="NC66" s="12">
        <f t="shared" si="625"/>
        <v>0</v>
      </c>
      <c r="ND66" s="12">
        <f t="shared" si="626"/>
        <v>0</v>
      </c>
      <c r="NE66" s="12">
        <f t="shared" si="627"/>
        <v>0</v>
      </c>
      <c r="NF66" s="12">
        <f t="shared" si="628"/>
        <v>0</v>
      </c>
      <c r="NG66" s="12">
        <f t="shared" si="629"/>
        <v>0</v>
      </c>
      <c r="NH66" s="12">
        <f t="shared" si="630"/>
        <v>0</v>
      </c>
      <c r="NI66" s="12">
        <f t="shared" si="631"/>
        <v>0</v>
      </c>
      <c r="NK66" t="s">
        <v>1303</v>
      </c>
      <c r="NL66">
        <f>_xlfn.XLOOKUP(NK66,'KPI Impacts'!$B$2:$H$2,'KPI Impacts'!$B66:$H66)</f>
        <v>0</v>
      </c>
      <c r="NM66" s="35" t="s">
        <v>1303</v>
      </c>
      <c r="NN66">
        <f>_xlfn.XLOOKUP(NM66,'KPI Impacts'!$B$2:$H$2,'KPI Impacts'!$B66:$H66)</f>
        <v>0</v>
      </c>
      <c r="NQ66" s="12">
        <f t="shared" si="632"/>
        <v>0</v>
      </c>
      <c r="NR66" s="12">
        <f t="shared" si="633"/>
        <v>0</v>
      </c>
      <c r="NS66" s="12">
        <f t="shared" si="634"/>
        <v>0</v>
      </c>
      <c r="NT66" s="12">
        <f t="shared" si="635"/>
        <v>0</v>
      </c>
      <c r="NU66" s="12">
        <f t="shared" si="636"/>
        <v>0</v>
      </c>
      <c r="NV66" s="12">
        <f t="shared" si="637"/>
        <v>0</v>
      </c>
      <c r="NW66" s="12">
        <f t="shared" si="638"/>
        <v>0</v>
      </c>
      <c r="NX66" s="12">
        <f t="shared" si="639"/>
        <v>0</v>
      </c>
      <c r="NY66" s="12">
        <f t="shared" si="640"/>
        <v>0</v>
      </c>
      <c r="OA66" t="s">
        <v>1303</v>
      </c>
      <c r="OB66">
        <f>_xlfn.XLOOKUP(OA66,'KPI Impacts'!$B$2:$H$2,'KPI Impacts'!$B66:$H66)</f>
        <v>0</v>
      </c>
      <c r="OC66" s="35" t="s">
        <v>1303</v>
      </c>
      <c r="OD66">
        <f>_xlfn.XLOOKUP(OC66,'KPI Impacts'!$B$2:$H$2,'KPI Impacts'!$B66:$H66)</f>
        <v>0</v>
      </c>
      <c r="OG66" s="12">
        <f t="shared" si="641"/>
        <v>0</v>
      </c>
      <c r="OH66" s="12">
        <f t="shared" si="642"/>
        <v>0</v>
      </c>
      <c r="OI66" s="12">
        <f t="shared" si="643"/>
        <v>0</v>
      </c>
      <c r="OJ66" s="12">
        <f t="shared" si="644"/>
        <v>0</v>
      </c>
      <c r="OK66" s="12">
        <f t="shared" si="645"/>
        <v>0</v>
      </c>
      <c r="OL66" s="12">
        <f t="shared" si="646"/>
        <v>0</v>
      </c>
      <c r="OM66" s="12">
        <f t="shared" si="647"/>
        <v>0</v>
      </c>
      <c r="ON66" s="12">
        <f t="shared" si="648"/>
        <v>0</v>
      </c>
      <c r="OO66" s="12">
        <f t="shared" si="649"/>
        <v>0</v>
      </c>
      <c r="OQ66" t="s">
        <v>1303</v>
      </c>
      <c r="OR66">
        <f>_xlfn.XLOOKUP(OQ66,'KPI Impacts'!$B$2:$H$2,'KPI Impacts'!$B66:$H66)</f>
        <v>0</v>
      </c>
      <c r="OS66" s="35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442"/>
        <v>0</v>
      </c>
      <c r="C67" s="12">
        <f t="shared" si="650"/>
        <v>0</v>
      </c>
      <c r="D67" s="12">
        <f t="shared" si="651"/>
        <v>0</v>
      </c>
      <c r="E67" s="12">
        <f t="shared" si="652"/>
        <v>0</v>
      </c>
      <c r="F67" s="12">
        <f t="shared" si="653"/>
        <v>0</v>
      </c>
      <c r="G67" s="12">
        <f t="shared" si="654"/>
        <v>0</v>
      </c>
      <c r="H67" s="12">
        <f t="shared" si="655"/>
        <v>0</v>
      </c>
      <c r="I67" s="12">
        <f t="shared" si="444"/>
        <v>0</v>
      </c>
      <c r="J67" s="12">
        <f t="shared" si="444"/>
        <v>0</v>
      </c>
      <c r="M67">
        <f t="shared" si="445"/>
        <v>0</v>
      </c>
      <c r="N67">
        <f t="shared" si="446"/>
        <v>0</v>
      </c>
      <c r="O67">
        <f t="shared" si="447"/>
        <v>0</v>
      </c>
      <c r="P67">
        <f t="shared" si="448"/>
        <v>0</v>
      </c>
      <c r="Q67">
        <f t="shared" si="449"/>
        <v>0</v>
      </c>
      <c r="R67">
        <f t="shared" si="450"/>
        <v>0</v>
      </c>
      <c r="S67">
        <f t="shared" si="451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41">
        <f t="shared" si="452"/>
        <v>0</v>
      </c>
      <c r="BJ67" s="41">
        <f t="shared" si="453"/>
        <v>0</v>
      </c>
      <c r="BK67" s="41">
        <f t="shared" si="454"/>
        <v>0</v>
      </c>
      <c r="BL67" s="41">
        <f t="shared" si="455"/>
        <v>0</v>
      </c>
      <c r="BM67" s="41">
        <f t="shared" si="456"/>
        <v>0</v>
      </c>
      <c r="BN67" s="41">
        <f t="shared" si="457"/>
        <v>0</v>
      </c>
      <c r="BO67" s="41">
        <f t="shared" si="458"/>
        <v>0</v>
      </c>
      <c r="BP67" s="41">
        <f t="shared" si="459"/>
        <v>0</v>
      </c>
      <c r="BQ67" s="41">
        <f t="shared" si="460"/>
        <v>0</v>
      </c>
      <c r="BS67" s="30" t="s">
        <v>1307</v>
      </c>
      <c r="BT67">
        <f>_xlfn.XLOOKUP(BS67,'KPI Impacts'!$B$2:$H$2,'KPI Impacts'!$B67:$H67)</f>
        <v>2</v>
      </c>
      <c r="BU67" s="35" t="s">
        <v>1303</v>
      </c>
      <c r="BV67">
        <f>_xlfn.XLOOKUP(BU67,'KPI Impacts'!$B$2:$H$2,'KPI Impacts'!$B67:$H67)</f>
        <v>0</v>
      </c>
      <c r="BY67" s="12">
        <f t="shared" si="461"/>
        <v>0</v>
      </c>
      <c r="BZ67" s="12">
        <f t="shared" si="462"/>
        <v>0</v>
      </c>
      <c r="CA67" s="12">
        <f t="shared" si="463"/>
        <v>0</v>
      </c>
      <c r="CB67" s="12">
        <f t="shared" si="464"/>
        <v>0</v>
      </c>
      <c r="CC67" s="12">
        <f t="shared" si="465"/>
        <v>0</v>
      </c>
      <c r="CD67" s="12">
        <f t="shared" si="466"/>
        <v>0</v>
      </c>
      <c r="CE67" s="12">
        <f t="shared" si="467"/>
        <v>0</v>
      </c>
      <c r="CF67" s="12">
        <f t="shared" si="468"/>
        <v>0</v>
      </c>
      <c r="CG67" s="12">
        <f t="shared" si="469"/>
        <v>0</v>
      </c>
      <c r="CI67" s="30" t="s">
        <v>1309</v>
      </c>
      <c r="CJ67">
        <f>_xlfn.XLOOKUP(CI67,'KPI Impacts'!$B$2:$H$2,'KPI Impacts'!$B67:$H67)</f>
        <v>4</v>
      </c>
      <c r="CK67" s="35" t="s">
        <v>1303</v>
      </c>
      <c r="CL67">
        <f>_xlfn.XLOOKUP(CK67,'KPI Impacts'!$B$2:$H$2,'KPI Impacts'!$B67:$H67)</f>
        <v>0</v>
      </c>
      <c r="CO67" s="12">
        <f t="shared" si="470"/>
        <v>0</v>
      </c>
      <c r="CP67" s="12">
        <f t="shared" si="471"/>
        <v>0</v>
      </c>
      <c r="CQ67" s="12">
        <f t="shared" si="472"/>
        <v>0</v>
      </c>
      <c r="CR67" s="12">
        <f t="shared" si="473"/>
        <v>0</v>
      </c>
      <c r="CS67" s="12">
        <f t="shared" si="474"/>
        <v>0</v>
      </c>
      <c r="CT67" s="12">
        <f t="shared" si="475"/>
        <v>0</v>
      </c>
      <c r="CU67" s="12">
        <f t="shared" si="476"/>
        <v>0</v>
      </c>
      <c r="CV67" s="12">
        <f t="shared" si="477"/>
        <v>0</v>
      </c>
      <c r="CW67" s="12">
        <f t="shared" si="478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479"/>
        <v>0</v>
      </c>
      <c r="DF67" s="12">
        <f t="shared" si="480"/>
        <v>0</v>
      </c>
      <c r="DG67" s="12">
        <f t="shared" si="481"/>
        <v>0</v>
      </c>
      <c r="DH67" s="12">
        <f t="shared" si="482"/>
        <v>0</v>
      </c>
      <c r="DI67" s="12">
        <f t="shared" si="483"/>
        <v>0</v>
      </c>
      <c r="DJ67" s="12">
        <f t="shared" si="484"/>
        <v>0</v>
      </c>
      <c r="DK67" s="12">
        <f t="shared" si="485"/>
        <v>0</v>
      </c>
      <c r="DL67" s="12">
        <f t="shared" si="486"/>
        <v>0</v>
      </c>
      <c r="DM67" s="12">
        <f t="shared" si="487"/>
        <v>0</v>
      </c>
      <c r="DO67" s="29" t="s">
        <v>1304</v>
      </c>
      <c r="DP67">
        <f>_xlfn.XLOOKUP(DO67,'KPI Impacts'!$B$2:$H$2,'KPI Impacts'!$B67:$H67)</f>
        <v>-1.6</v>
      </c>
      <c r="DQ67" s="35" t="s">
        <v>1303</v>
      </c>
      <c r="DR67">
        <f>_xlfn.XLOOKUP(DQ67,'KPI Impacts'!$B$2:$H$2,'KPI Impacts'!$B67:$H67)</f>
        <v>0</v>
      </c>
      <c r="DU67" s="12">
        <f t="shared" si="488"/>
        <v>0</v>
      </c>
      <c r="DV67" s="12">
        <f t="shared" si="489"/>
        <v>0</v>
      </c>
      <c r="DW67" s="12">
        <f t="shared" si="490"/>
        <v>0</v>
      </c>
      <c r="DX67" s="12">
        <f t="shared" si="491"/>
        <v>0</v>
      </c>
      <c r="DY67" s="12">
        <f t="shared" si="492"/>
        <v>0</v>
      </c>
      <c r="DZ67" s="12">
        <f t="shared" si="493"/>
        <v>0</v>
      </c>
      <c r="EA67" s="12">
        <f t="shared" si="494"/>
        <v>0</v>
      </c>
      <c r="EB67" s="12">
        <f t="shared" si="495"/>
        <v>0</v>
      </c>
      <c r="EC67" s="12">
        <f t="shared" si="496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497"/>
        <v>0</v>
      </c>
      <c r="EL67" s="12">
        <f t="shared" si="498"/>
        <v>0</v>
      </c>
      <c r="EM67" s="12">
        <f t="shared" si="499"/>
        <v>0</v>
      </c>
      <c r="EN67" s="12">
        <f t="shared" si="500"/>
        <v>0</v>
      </c>
      <c r="EO67" s="12">
        <f t="shared" si="501"/>
        <v>0</v>
      </c>
      <c r="EP67" s="12">
        <f t="shared" si="502"/>
        <v>0</v>
      </c>
      <c r="EQ67" s="12">
        <f t="shared" si="503"/>
        <v>0</v>
      </c>
      <c r="ER67" s="12">
        <f t="shared" si="504"/>
        <v>0</v>
      </c>
      <c r="ES67" s="12">
        <f t="shared" si="505"/>
        <v>0</v>
      </c>
      <c r="EU67" s="16" t="s">
        <v>1303</v>
      </c>
      <c r="EV67">
        <f>_xlfn.XLOOKUP(EU67,'KPI Impacts'!$B$2:$H$2,'KPI Impacts'!$B67:$H67)</f>
        <v>0</v>
      </c>
      <c r="EW67" s="35" t="s">
        <v>1303</v>
      </c>
      <c r="EX67">
        <f>_xlfn.XLOOKUP(EW67,'KPI Impacts'!$B$2:$H$2,'KPI Impacts'!$B67:$H67)</f>
        <v>0</v>
      </c>
      <c r="FA67" s="12">
        <f t="shared" si="506"/>
        <v>0</v>
      </c>
      <c r="FB67" s="12">
        <f t="shared" si="507"/>
        <v>0</v>
      </c>
      <c r="FC67" s="12">
        <f t="shared" si="508"/>
        <v>0</v>
      </c>
      <c r="FD67" s="12">
        <f t="shared" si="509"/>
        <v>0</v>
      </c>
      <c r="FE67" s="12">
        <f t="shared" si="510"/>
        <v>0</v>
      </c>
      <c r="FF67" s="12">
        <f t="shared" si="511"/>
        <v>0</v>
      </c>
      <c r="FG67" s="12">
        <f t="shared" si="512"/>
        <v>0</v>
      </c>
      <c r="FH67" s="12">
        <f t="shared" si="513"/>
        <v>0</v>
      </c>
      <c r="FI67" s="12">
        <f t="shared" si="514"/>
        <v>0</v>
      </c>
      <c r="FK67" s="16" t="s">
        <v>1303</v>
      </c>
      <c r="FL67">
        <f>_xlfn.XLOOKUP(FK67,'KPI Impacts'!$B$2:$H$2,'KPI Impacts'!$B67:$H67)</f>
        <v>0</v>
      </c>
      <c r="FM67" s="16" t="s">
        <v>1303</v>
      </c>
      <c r="FN67">
        <f>_xlfn.XLOOKUP(FM67,'KPI Impacts'!$B$2:$H$2,'KPI Impacts'!$B67:$H67)</f>
        <v>0</v>
      </c>
      <c r="FQ67" s="12">
        <f t="shared" si="515"/>
        <v>0</v>
      </c>
      <c r="FR67" s="12">
        <f t="shared" si="516"/>
        <v>0</v>
      </c>
      <c r="FS67" s="12">
        <f t="shared" si="517"/>
        <v>0</v>
      </c>
      <c r="FT67" s="12">
        <f t="shared" si="518"/>
        <v>0</v>
      </c>
      <c r="FU67" s="12">
        <f t="shared" si="519"/>
        <v>0</v>
      </c>
      <c r="FV67" s="12">
        <f t="shared" si="520"/>
        <v>0</v>
      </c>
      <c r="FW67" s="12">
        <f t="shared" si="521"/>
        <v>0</v>
      </c>
      <c r="FX67" s="12">
        <f t="shared" si="522"/>
        <v>0</v>
      </c>
      <c r="FY67" s="12">
        <f t="shared" si="523"/>
        <v>0</v>
      </c>
      <c r="GA67" s="16" t="s">
        <v>1303</v>
      </c>
      <c r="GB67">
        <f>_xlfn.XLOOKUP(GA67,'KPI Impacts'!$B$2:$H$2,'KPI Impacts'!$B67:$H67)</f>
        <v>0</v>
      </c>
      <c r="GC67" s="35" t="s">
        <v>1303</v>
      </c>
      <c r="GD67">
        <f>_xlfn.XLOOKUP(GC67,'KPI Impacts'!$B$2:$H$2,'KPI Impacts'!$B67:$H67)</f>
        <v>0</v>
      </c>
      <c r="GG67" s="12">
        <f t="shared" si="524"/>
        <v>0</v>
      </c>
      <c r="GH67" s="12">
        <f t="shared" si="525"/>
        <v>0</v>
      </c>
      <c r="GI67" s="12">
        <f t="shared" si="526"/>
        <v>0</v>
      </c>
      <c r="GJ67" s="12">
        <f t="shared" si="527"/>
        <v>0</v>
      </c>
      <c r="GK67" s="12">
        <f t="shared" si="528"/>
        <v>0</v>
      </c>
      <c r="GL67" s="12">
        <f t="shared" si="529"/>
        <v>0</v>
      </c>
      <c r="GM67" s="12">
        <f t="shared" si="530"/>
        <v>0</v>
      </c>
      <c r="GN67" s="12">
        <f t="shared" si="531"/>
        <v>0</v>
      </c>
      <c r="GO67" s="12">
        <f t="shared" si="532"/>
        <v>0</v>
      </c>
      <c r="GQ67" s="16" t="s">
        <v>1303</v>
      </c>
      <c r="GR67">
        <f>_xlfn.XLOOKUP(GQ67,'KPI Impacts'!$B$2:$H$2,'KPI Impacts'!$B67:$H67)</f>
        <v>0</v>
      </c>
      <c r="GS67" s="35" t="s">
        <v>1303</v>
      </c>
      <c r="GT67">
        <f>_xlfn.XLOOKUP(GS67,'KPI Impacts'!$B$2:$H$2,'KPI Impacts'!$B67:$H67)</f>
        <v>0</v>
      </c>
      <c r="GW67" s="12">
        <f t="shared" si="533"/>
        <v>0</v>
      </c>
      <c r="GX67" s="12">
        <f t="shared" si="534"/>
        <v>0</v>
      </c>
      <c r="GY67" s="12">
        <f t="shared" si="535"/>
        <v>0</v>
      </c>
      <c r="GZ67" s="12">
        <f t="shared" si="536"/>
        <v>0</v>
      </c>
      <c r="HA67" s="12">
        <f t="shared" si="537"/>
        <v>0</v>
      </c>
      <c r="HB67" s="12">
        <f t="shared" si="538"/>
        <v>0</v>
      </c>
      <c r="HC67" s="12">
        <f t="shared" si="539"/>
        <v>0</v>
      </c>
      <c r="HD67" s="12">
        <f t="shared" si="540"/>
        <v>0</v>
      </c>
      <c r="HE67" s="12">
        <f t="shared" si="541"/>
        <v>0</v>
      </c>
      <c r="HG67" s="16" t="s">
        <v>1303</v>
      </c>
      <c r="HH67">
        <f>_xlfn.XLOOKUP(HG67,'KPI Impacts'!$B$2:$H$2,'KPI Impacts'!$B67:$H67)</f>
        <v>0</v>
      </c>
      <c r="HI67" s="35" t="s">
        <v>1303</v>
      </c>
      <c r="HJ67">
        <f>_xlfn.XLOOKUP(HI67,'KPI Impacts'!$B$2:$H$2,'KPI Impacts'!$B67:$H67)</f>
        <v>0</v>
      </c>
      <c r="HM67" s="12">
        <f t="shared" si="542"/>
        <v>0</v>
      </c>
      <c r="HN67" s="12">
        <f t="shared" si="543"/>
        <v>0</v>
      </c>
      <c r="HO67" s="12">
        <f t="shared" si="544"/>
        <v>0</v>
      </c>
      <c r="HP67" s="12">
        <f t="shared" si="545"/>
        <v>0</v>
      </c>
      <c r="HQ67" s="12">
        <f t="shared" si="546"/>
        <v>0</v>
      </c>
      <c r="HR67" s="12">
        <f t="shared" si="547"/>
        <v>0</v>
      </c>
      <c r="HS67" s="12">
        <f t="shared" si="548"/>
        <v>0</v>
      </c>
      <c r="HT67" s="12">
        <f t="shared" si="549"/>
        <v>0</v>
      </c>
      <c r="HU67" s="12">
        <f t="shared" si="550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551"/>
        <v>0</v>
      </c>
      <c r="ID67" s="12">
        <f t="shared" si="552"/>
        <v>0</v>
      </c>
      <c r="IE67" s="12">
        <f t="shared" si="553"/>
        <v>0</v>
      </c>
      <c r="IF67" s="12">
        <f t="shared" si="554"/>
        <v>0</v>
      </c>
      <c r="IG67" s="12">
        <f t="shared" si="555"/>
        <v>0</v>
      </c>
      <c r="IH67" s="12">
        <f t="shared" si="556"/>
        <v>0</v>
      </c>
      <c r="II67" s="12">
        <f t="shared" si="557"/>
        <v>0</v>
      </c>
      <c r="IJ67" s="12">
        <f t="shared" si="558"/>
        <v>0</v>
      </c>
      <c r="IK67" s="12">
        <f t="shared" si="559"/>
        <v>0</v>
      </c>
      <c r="IM67" t="s">
        <v>1303</v>
      </c>
      <c r="IN67">
        <f>_xlfn.XLOOKUP(IM67,'KPI Impacts'!$B$2:$H$2,'KPI Impacts'!$B67:$H67)</f>
        <v>0</v>
      </c>
      <c r="IO67" s="35" t="s">
        <v>1303</v>
      </c>
      <c r="IP67">
        <f>_xlfn.XLOOKUP(IO67,'KPI Impacts'!$B$2:$H$2,'KPI Impacts'!$B67:$H67)</f>
        <v>0</v>
      </c>
      <c r="IS67" s="12">
        <f t="shared" si="560"/>
        <v>0</v>
      </c>
      <c r="IT67" s="12">
        <f t="shared" si="561"/>
        <v>0</v>
      </c>
      <c r="IU67" s="12">
        <f t="shared" si="562"/>
        <v>0</v>
      </c>
      <c r="IV67" s="12">
        <f t="shared" si="563"/>
        <v>0</v>
      </c>
      <c r="IW67" s="12">
        <f t="shared" si="564"/>
        <v>0</v>
      </c>
      <c r="IX67" s="12">
        <f t="shared" si="565"/>
        <v>0</v>
      </c>
      <c r="IY67" s="12">
        <f t="shared" si="566"/>
        <v>0</v>
      </c>
      <c r="IZ67" s="12">
        <f t="shared" si="567"/>
        <v>0</v>
      </c>
      <c r="JA67" s="12">
        <f t="shared" si="568"/>
        <v>0</v>
      </c>
      <c r="JC67" t="s">
        <v>1303</v>
      </c>
      <c r="JD67">
        <f>_xlfn.XLOOKUP(JC67,'KPI Impacts'!$B$2:$H$2,'KPI Impacts'!$B67:$H67)</f>
        <v>0</v>
      </c>
      <c r="JE67" s="35" t="s">
        <v>1303</v>
      </c>
      <c r="JF67">
        <f>_xlfn.XLOOKUP(JE67,'KPI Impacts'!$B$2:$H$2,'KPI Impacts'!$B67:$H67)</f>
        <v>0</v>
      </c>
      <c r="JI67" s="12">
        <f t="shared" si="569"/>
        <v>0</v>
      </c>
      <c r="JJ67" s="12">
        <f t="shared" si="570"/>
        <v>0</v>
      </c>
      <c r="JK67" s="12">
        <f t="shared" si="571"/>
        <v>0</v>
      </c>
      <c r="JL67" s="12">
        <f t="shared" si="572"/>
        <v>0</v>
      </c>
      <c r="JM67" s="12">
        <f t="shared" si="573"/>
        <v>0</v>
      </c>
      <c r="JN67" s="12">
        <f t="shared" si="574"/>
        <v>0</v>
      </c>
      <c r="JO67" s="12">
        <f t="shared" si="575"/>
        <v>0</v>
      </c>
      <c r="JP67" s="12">
        <f t="shared" si="576"/>
        <v>0</v>
      </c>
      <c r="JQ67" s="12">
        <f t="shared" si="577"/>
        <v>0</v>
      </c>
      <c r="JS67" t="s">
        <v>1303</v>
      </c>
      <c r="JT67">
        <f>_xlfn.XLOOKUP(JS67,'KPI Impacts'!$B$2:$H$2,'KPI Impacts'!$B67:$H67)</f>
        <v>0</v>
      </c>
      <c r="JU67" s="35" t="s">
        <v>1303</v>
      </c>
      <c r="JV67">
        <f>_xlfn.XLOOKUP(JU67,'KPI Impacts'!$B$2:$H$2,'KPI Impacts'!$B67:$H67)</f>
        <v>0</v>
      </c>
      <c r="JY67" s="12">
        <f t="shared" si="578"/>
        <v>0</v>
      </c>
      <c r="JZ67" s="12">
        <f t="shared" si="579"/>
        <v>0</v>
      </c>
      <c r="KA67" s="12">
        <f t="shared" si="580"/>
        <v>0</v>
      </c>
      <c r="KB67" s="12">
        <f t="shared" si="581"/>
        <v>0</v>
      </c>
      <c r="KC67" s="12">
        <f t="shared" si="582"/>
        <v>0</v>
      </c>
      <c r="KD67" s="12">
        <f t="shared" si="583"/>
        <v>0</v>
      </c>
      <c r="KE67" s="12">
        <f t="shared" si="584"/>
        <v>0</v>
      </c>
      <c r="KF67" s="12">
        <f t="shared" si="585"/>
        <v>0</v>
      </c>
      <c r="KG67" s="12">
        <f t="shared" si="586"/>
        <v>0</v>
      </c>
      <c r="KI67" t="s">
        <v>1303</v>
      </c>
      <c r="KJ67">
        <f>_xlfn.XLOOKUP(KI67,'KPI Impacts'!$B$2:$H$2,'KPI Impacts'!$B67:$H67)</f>
        <v>0</v>
      </c>
      <c r="KK67" s="35" t="s">
        <v>1303</v>
      </c>
      <c r="KL67">
        <f>_xlfn.XLOOKUP(KK67,'KPI Impacts'!$B$2:$H$2,'KPI Impacts'!$B67:$H67)</f>
        <v>0</v>
      </c>
      <c r="KO67" s="12">
        <f t="shared" si="587"/>
        <v>0</v>
      </c>
      <c r="KP67" s="12">
        <f t="shared" si="588"/>
        <v>0</v>
      </c>
      <c r="KQ67" s="12">
        <f t="shared" si="589"/>
        <v>0</v>
      </c>
      <c r="KR67" s="12">
        <f t="shared" si="590"/>
        <v>0</v>
      </c>
      <c r="KS67" s="12">
        <f t="shared" si="591"/>
        <v>0</v>
      </c>
      <c r="KT67" s="12">
        <f t="shared" si="592"/>
        <v>0</v>
      </c>
      <c r="KU67" s="12">
        <f t="shared" si="593"/>
        <v>0</v>
      </c>
      <c r="KV67" s="12">
        <f t="shared" si="594"/>
        <v>0</v>
      </c>
      <c r="KW67" s="12">
        <f t="shared" si="595"/>
        <v>0</v>
      </c>
      <c r="KY67" t="s">
        <v>1303</v>
      </c>
      <c r="KZ67">
        <f>_xlfn.XLOOKUP(KY67,'KPI Impacts'!$B$2:$H$2,'KPI Impacts'!$B67:$H67)</f>
        <v>0</v>
      </c>
      <c r="LA67" s="35" t="s">
        <v>1303</v>
      </c>
      <c r="LB67">
        <f>_xlfn.XLOOKUP(LA67,'KPI Impacts'!$B$2:$H$2,'KPI Impacts'!$B67:$H67)</f>
        <v>0</v>
      </c>
      <c r="LE67" s="12">
        <f t="shared" si="596"/>
        <v>0</v>
      </c>
      <c r="LF67" s="12">
        <f t="shared" si="597"/>
        <v>0</v>
      </c>
      <c r="LG67" s="12">
        <f t="shared" si="598"/>
        <v>0</v>
      </c>
      <c r="LH67" s="12">
        <f t="shared" si="599"/>
        <v>0</v>
      </c>
      <c r="LI67" s="12">
        <f t="shared" si="600"/>
        <v>0</v>
      </c>
      <c r="LJ67" s="12">
        <f t="shared" si="601"/>
        <v>0</v>
      </c>
      <c r="LK67" s="12">
        <f t="shared" si="602"/>
        <v>0</v>
      </c>
      <c r="LL67" s="12">
        <f t="shared" si="603"/>
        <v>0</v>
      </c>
      <c r="LM67" s="12">
        <f t="shared" si="604"/>
        <v>0</v>
      </c>
      <c r="LO67" t="s">
        <v>1303</v>
      </c>
      <c r="LP67">
        <f>_xlfn.XLOOKUP(LO67,'KPI Impacts'!$B$2:$H$2,'KPI Impacts'!$B67:$H67)</f>
        <v>0</v>
      </c>
      <c r="LQ67" s="35" t="s">
        <v>1303</v>
      </c>
      <c r="LR67">
        <f>_xlfn.XLOOKUP(LQ67,'KPI Impacts'!$B$2:$H$2,'KPI Impacts'!$B67:$H67)</f>
        <v>0</v>
      </c>
      <c r="LU67" s="12">
        <f t="shared" si="605"/>
        <v>0</v>
      </c>
      <c r="LV67" s="12">
        <f t="shared" si="606"/>
        <v>0</v>
      </c>
      <c r="LW67" s="12">
        <f t="shared" si="607"/>
        <v>0</v>
      </c>
      <c r="LX67" s="12">
        <f t="shared" si="608"/>
        <v>0</v>
      </c>
      <c r="LY67" s="12">
        <f t="shared" si="609"/>
        <v>0</v>
      </c>
      <c r="LZ67" s="12">
        <f t="shared" si="610"/>
        <v>0</v>
      </c>
      <c r="MA67" s="12">
        <f t="shared" si="611"/>
        <v>0</v>
      </c>
      <c r="MB67" s="12">
        <f t="shared" si="612"/>
        <v>0</v>
      </c>
      <c r="MC67" s="12">
        <f t="shared" si="613"/>
        <v>0</v>
      </c>
      <c r="ME67" t="s">
        <v>1303</v>
      </c>
      <c r="MF67">
        <f>_xlfn.XLOOKUP(ME67,'KPI Impacts'!$B$2:$H$2,'KPI Impacts'!$B67:$H67)</f>
        <v>0</v>
      </c>
      <c r="MG67" s="35" t="s">
        <v>1303</v>
      </c>
      <c r="MH67">
        <f>_xlfn.XLOOKUP(MG67,'KPI Impacts'!$B$2:$H$2,'KPI Impacts'!$B67:$H67)</f>
        <v>0</v>
      </c>
      <c r="MK67" s="12">
        <f t="shared" si="614"/>
        <v>0</v>
      </c>
      <c r="ML67" s="12">
        <f t="shared" si="615"/>
        <v>0</v>
      </c>
      <c r="MM67" s="12">
        <f t="shared" si="616"/>
        <v>0</v>
      </c>
      <c r="MN67" s="12">
        <f t="shared" si="617"/>
        <v>0</v>
      </c>
      <c r="MO67" s="12">
        <f t="shared" si="618"/>
        <v>0</v>
      </c>
      <c r="MP67" s="12">
        <f t="shared" si="619"/>
        <v>0</v>
      </c>
      <c r="MQ67" s="12">
        <f t="shared" si="620"/>
        <v>0</v>
      </c>
      <c r="MR67" s="12">
        <f t="shared" si="621"/>
        <v>0</v>
      </c>
      <c r="MS67" s="12">
        <f t="shared" si="622"/>
        <v>0</v>
      </c>
      <c r="MU67" t="s">
        <v>1303</v>
      </c>
      <c r="MV67">
        <f>_xlfn.XLOOKUP(MU67,'KPI Impacts'!$B$2:$H$2,'KPI Impacts'!$B67:$H67)</f>
        <v>0</v>
      </c>
      <c r="MW67" s="35" t="s">
        <v>1303</v>
      </c>
      <c r="MX67">
        <f>_xlfn.XLOOKUP(MW67,'KPI Impacts'!$B$2:$H$2,'KPI Impacts'!$B67:$H67)</f>
        <v>0</v>
      </c>
      <c r="NA67" s="12">
        <f t="shared" si="623"/>
        <v>0</v>
      </c>
      <c r="NB67" s="12">
        <f t="shared" si="624"/>
        <v>0</v>
      </c>
      <c r="NC67" s="12">
        <f t="shared" si="625"/>
        <v>0</v>
      </c>
      <c r="ND67" s="12">
        <f t="shared" si="626"/>
        <v>0</v>
      </c>
      <c r="NE67" s="12">
        <f t="shared" si="627"/>
        <v>0</v>
      </c>
      <c r="NF67" s="12">
        <f t="shared" si="628"/>
        <v>0</v>
      </c>
      <c r="NG67" s="12">
        <f t="shared" si="629"/>
        <v>0</v>
      </c>
      <c r="NH67" s="12">
        <f t="shared" si="630"/>
        <v>0</v>
      </c>
      <c r="NI67" s="12">
        <f t="shared" si="631"/>
        <v>0</v>
      </c>
      <c r="NK67" t="s">
        <v>1303</v>
      </c>
      <c r="NL67">
        <f>_xlfn.XLOOKUP(NK67,'KPI Impacts'!$B$2:$H$2,'KPI Impacts'!$B67:$H67)</f>
        <v>0</v>
      </c>
      <c r="NM67" s="35" t="s">
        <v>1303</v>
      </c>
      <c r="NN67">
        <f>_xlfn.XLOOKUP(NM67,'KPI Impacts'!$B$2:$H$2,'KPI Impacts'!$B67:$H67)</f>
        <v>0</v>
      </c>
      <c r="NQ67" s="12">
        <f t="shared" si="632"/>
        <v>0</v>
      </c>
      <c r="NR67" s="12">
        <f t="shared" si="633"/>
        <v>0</v>
      </c>
      <c r="NS67" s="12">
        <f t="shared" si="634"/>
        <v>0</v>
      </c>
      <c r="NT67" s="12">
        <f t="shared" si="635"/>
        <v>0</v>
      </c>
      <c r="NU67" s="12">
        <f t="shared" si="636"/>
        <v>0</v>
      </c>
      <c r="NV67" s="12">
        <f t="shared" si="637"/>
        <v>0</v>
      </c>
      <c r="NW67" s="12">
        <f t="shared" si="638"/>
        <v>0</v>
      </c>
      <c r="NX67" s="12">
        <f t="shared" si="639"/>
        <v>0</v>
      </c>
      <c r="NY67" s="12">
        <f t="shared" si="640"/>
        <v>0</v>
      </c>
      <c r="OA67" t="s">
        <v>1303</v>
      </c>
      <c r="OB67">
        <f>_xlfn.XLOOKUP(OA67,'KPI Impacts'!$B$2:$H$2,'KPI Impacts'!$B67:$H67)</f>
        <v>0</v>
      </c>
      <c r="OC67" s="35" t="s">
        <v>1303</v>
      </c>
      <c r="OD67">
        <f>_xlfn.XLOOKUP(OC67,'KPI Impacts'!$B$2:$H$2,'KPI Impacts'!$B67:$H67)</f>
        <v>0</v>
      </c>
      <c r="OG67" s="12">
        <f t="shared" si="641"/>
        <v>0</v>
      </c>
      <c r="OH67" s="12">
        <f t="shared" si="642"/>
        <v>0</v>
      </c>
      <c r="OI67" s="12">
        <f t="shared" si="643"/>
        <v>0</v>
      </c>
      <c r="OJ67" s="12">
        <f t="shared" si="644"/>
        <v>0</v>
      </c>
      <c r="OK67" s="12">
        <f t="shared" si="645"/>
        <v>0</v>
      </c>
      <c r="OL67" s="12">
        <f t="shared" si="646"/>
        <v>0</v>
      </c>
      <c r="OM67" s="12">
        <f t="shared" si="647"/>
        <v>0</v>
      </c>
      <c r="ON67" s="12">
        <f t="shared" si="648"/>
        <v>0</v>
      </c>
      <c r="OO67" s="12">
        <f t="shared" si="649"/>
        <v>0</v>
      </c>
      <c r="OQ67" t="s">
        <v>1303</v>
      </c>
      <c r="OR67">
        <f>_xlfn.XLOOKUP(OQ67,'KPI Impacts'!$B$2:$H$2,'KPI Impacts'!$B67:$H67)</f>
        <v>0</v>
      </c>
      <c r="OS67" s="35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442"/>
        <v>0</v>
      </c>
      <c r="C68" s="12">
        <f t="shared" si="650"/>
        <v>0</v>
      </c>
      <c r="D68" s="12">
        <f t="shared" si="651"/>
        <v>0</v>
      </c>
      <c r="E68" s="12">
        <f t="shared" si="652"/>
        <v>0</v>
      </c>
      <c r="F68" s="12">
        <f t="shared" si="653"/>
        <v>0</v>
      </c>
      <c r="G68" s="12">
        <f t="shared" si="654"/>
        <v>0</v>
      </c>
      <c r="H68" s="12">
        <f t="shared" si="655"/>
        <v>0</v>
      </c>
      <c r="I68" s="12">
        <f t="shared" si="444"/>
        <v>0</v>
      </c>
      <c r="J68" s="12">
        <f t="shared" si="444"/>
        <v>0</v>
      </c>
      <c r="M68">
        <f t="shared" si="445"/>
        <v>0</v>
      </c>
      <c r="N68">
        <f t="shared" si="446"/>
        <v>0</v>
      </c>
      <c r="O68">
        <f t="shared" si="447"/>
        <v>0</v>
      </c>
      <c r="P68">
        <f t="shared" si="448"/>
        <v>0</v>
      </c>
      <c r="Q68">
        <f t="shared" si="449"/>
        <v>0</v>
      </c>
      <c r="R68">
        <f t="shared" si="450"/>
        <v>0</v>
      </c>
      <c r="S68">
        <f t="shared" si="451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41">
        <f t="shared" si="452"/>
        <v>0</v>
      </c>
      <c r="BJ68" s="41">
        <f t="shared" si="453"/>
        <v>0</v>
      </c>
      <c r="BK68" s="41">
        <f t="shared" si="454"/>
        <v>0</v>
      </c>
      <c r="BL68" s="41">
        <f t="shared" si="455"/>
        <v>0</v>
      </c>
      <c r="BM68" s="41">
        <f t="shared" si="456"/>
        <v>0</v>
      </c>
      <c r="BN68" s="41">
        <f t="shared" si="457"/>
        <v>0</v>
      </c>
      <c r="BO68" s="41">
        <f t="shared" si="458"/>
        <v>0</v>
      </c>
      <c r="BP68" s="41">
        <f t="shared" si="459"/>
        <v>0</v>
      </c>
      <c r="BQ68" s="41">
        <f t="shared" si="460"/>
        <v>0</v>
      </c>
      <c r="BS68" s="30" t="s">
        <v>1309</v>
      </c>
      <c r="BT68">
        <f>_xlfn.XLOOKUP(BS68,'KPI Impacts'!$B$2:$H$2,'KPI Impacts'!$B68:$H68)</f>
        <v>4</v>
      </c>
      <c r="BU68" s="35" t="s">
        <v>1303</v>
      </c>
      <c r="BV68">
        <f>_xlfn.XLOOKUP(BU68,'KPI Impacts'!$B$2:$H$2,'KPI Impacts'!$B68:$H68)</f>
        <v>0</v>
      </c>
      <c r="BY68" s="12">
        <f t="shared" si="461"/>
        <v>0</v>
      </c>
      <c r="BZ68" s="12">
        <f t="shared" si="462"/>
        <v>0</v>
      </c>
      <c r="CA68" s="12">
        <f t="shared" si="463"/>
        <v>0</v>
      </c>
      <c r="CB68" s="12">
        <f t="shared" si="464"/>
        <v>0</v>
      </c>
      <c r="CC68" s="12">
        <f t="shared" si="465"/>
        <v>0</v>
      </c>
      <c r="CD68" s="12">
        <f t="shared" si="466"/>
        <v>0</v>
      </c>
      <c r="CE68" s="12">
        <f t="shared" si="467"/>
        <v>0</v>
      </c>
      <c r="CF68" s="12">
        <f t="shared" si="468"/>
        <v>0</v>
      </c>
      <c r="CG68" s="12">
        <f t="shared" si="469"/>
        <v>0</v>
      </c>
      <c r="CI68" s="30" t="s">
        <v>1309</v>
      </c>
      <c r="CJ68">
        <f>_xlfn.XLOOKUP(CI68,'KPI Impacts'!$B$2:$H$2,'KPI Impacts'!$B68:$H68)</f>
        <v>4</v>
      </c>
      <c r="CK68" s="35" t="s">
        <v>1303</v>
      </c>
      <c r="CL68">
        <f>_xlfn.XLOOKUP(CK68,'KPI Impacts'!$B$2:$H$2,'KPI Impacts'!$B68:$H68)</f>
        <v>0</v>
      </c>
      <c r="CO68" s="12">
        <f t="shared" si="470"/>
        <v>0</v>
      </c>
      <c r="CP68" s="12">
        <f t="shared" si="471"/>
        <v>0</v>
      </c>
      <c r="CQ68" s="12">
        <f t="shared" si="472"/>
        <v>0</v>
      </c>
      <c r="CR68" s="12">
        <f t="shared" si="473"/>
        <v>0</v>
      </c>
      <c r="CS68" s="12">
        <f t="shared" si="474"/>
        <v>0</v>
      </c>
      <c r="CT68" s="12">
        <f t="shared" si="475"/>
        <v>0</v>
      </c>
      <c r="CU68" s="12">
        <f t="shared" si="476"/>
        <v>0</v>
      </c>
      <c r="CV68" s="12">
        <f t="shared" si="477"/>
        <v>0</v>
      </c>
      <c r="CW68" s="12">
        <f t="shared" si="478"/>
        <v>0</v>
      </c>
      <c r="CY68" s="16" t="s">
        <v>1303</v>
      </c>
      <c r="CZ68">
        <f>_xlfn.XLOOKUP(CY68,'KPI Impacts'!$B$2:$H$2,'KPI Impacts'!$B68:$H68)</f>
        <v>0</v>
      </c>
      <c r="DA68" s="35" t="s">
        <v>1303</v>
      </c>
      <c r="DB68">
        <f>_xlfn.XLOOKUP(DA68,'KPI Impacts'!$B$2:$H$2,'KPI Impacts'!$B68:$H68)</f>
        <v>0</v>
      </c>
      <c r="DE68" s="12">
        <f t="shared" si="479"/>
        <v>0</v>
      </c>
      <c r="DF68" s="12">
        <f t="shared" si="480"/>
        <v>0</v>
      </c>
      <c r="DG68" s="12">
        <f t="shared" si="481"/>
        <v>0</v>
      </c>
      <c r="DH68" s="12">
        <f t="shared" si="482"/>
        <v>0</v>
      </c>
      <c r="DI68" s="12">
        <f t="shared" si="483"/>
        <v>0</v>
      </c>
      <c r="DJ68" s="12">
        <f t="shared" si="484"/>
        <v>0</v>
      </c>
      <c r="DK68" s="12">
        <f t="shared" si="485"/>
        <v>0</v>
      </c>
      <c r="DL68" s="12">
        <f t="shared" si="486"/>
        <v>0</v>
      </c>
      <c r="DM68" s="12">
        <f t="shared" si="487"/>
        <v>0</v>
      </c>
      <c r="DO68" s="30" t="s">
        <v>1307</v>
      </c>
      <c r="DP68">
        <f>_xlfn.XLOOKUP(DO68,'KPI Impacts'!$B$2:$H$2,'KPI Impacts'!$B68:$H68)</f>
        <v>2</v>
      </c>
      <c r="DQ68" s="35" t="s">
        <v>1303</v>
      </c>
      <c r="DR68">
        <f>_xlfn.XLOOKUP(DQ68,'KPI Impacts'!$B$2:$H$2,'KPI Impacts'!$B68:$H68)</f>
        <v>0</v>
      </c>
      <c r="DU68" s="12">
        <f t="shared" si="488"/>
        <v>0</v>
      </c>
      <c r="DV68" s="12">
        <f t="shared" si="489"/>
        <v>0</v>
      </c>
      <c r="DW68" s="12">
        <f t="shared" si="490"/>
        <v>0</v>
      </c>
      <c r="DX68" s="12">
        <f t="shared" si="491"/>
        <v>0</v>
      </c>
      <c r="DY68" s="12">
        <f t="shared" si="492"/>
        <v>0</v>
      </c>
      <c r="DZ68" s="12">
        <f t="shared" si="493"/>
        <v>0</v>
      </c>
      <c r="EA68" s="12">
        <f t="shared" si="494"/>
        <v>0</v>
      </c>
      <c r="EB68" s="12">
        <f t="shared" si="495"/>
        <v>0</v>
      </c>
      <c r="EC68" s="12">
        <f t="shared" si="496"/>
        <v>0</v>
      </c>
      <c r="EE68" s="16" t="s">
        <v>1303</v>
      </c>
      <c r="EF68">
        <f>_xlfn.XLOOKUP(EE68,'KPI Impacts'!$B$2:$H$2,'KPI Impacts'!$B68:$H68)</f>
        <v>0</v>
      </c>
      <c r="EG68" s="35" t="s">
        <v>1303</v>
      </c>
      <c r="EH68">
        <f>_xlfn.XLOOKUP(EG68,'KPI Impacts'!$B$2:$H$2,'KPI Impacts'!$B68:$H68)</f>
        <v>0</v>
      </c>
      <c r="EK68" s="12">
        <f t="shared" si="497"/>
        <v>0</v>
      </c>
      <c r="EL68" s="12">
        <f t="shared" si="498"/>
        <v>0</v>
      </c>
      <c r="EM68" s="12">
        <f t="shared" si="499"/>
        <v>0</v>
      </c>
      <c r="EN68" s="12">
        <f t="shared" si="500"/>
        <v>0</v>
      </c>
      <c r="EO68" s="12">
        <f t="shared" si="501"/>
        <v>0</v>
      </c>
      <c r="EP68" s="12">
        <f t="shared" si="502"/>
        <v>0</v>
      </c>
      <c r="EQ68" s="12">
        <f t="shared" si="503"/>
        <v>0</v>
      </c>
      <c r="ER68" s="12">
        <f t="shared" si="504"/>
        <v>0</v>
      </c>
      <c r="ES68" s="12">
        <f t="shared" si="505"/>
        <v>0</v>
      </c>
      <c r="EU68" s="30" t="s">
        <v>1307</v>
      </c>
      <c r="EV68">
        <f>_xlfn.XLOOKUP(EU68,'KPI Impacts'!$B$2:$H$2,'KPI Impacts'!$B68:$H68)</f>
        <v>2</v>
      </c>
      <c r="EW68" s="35" t="s">
        <v>1303</v>
      </c>
      <c r="EX68">
        <f>_xlfn.XLOOKUP(EW68,'KPI Impacts'!$B$2:$H$2,'KPI Impacts'!$B68:$H68)</f>
        <v>0</v>
      </c>
      <c r="FA68" s="12">
        <f t="shared" si="506"/>
        <v>0</v>
      </c>
      <c r="FB68" s="12">
        <f t="shared" si="507"/>
        <v>0</v>
      </c>
      <c r="FC68" s="12">
        <f t="shared" si="508"/>
        <v>0</v>
      </c>
      <c r="FD68" s="12">
        <f t="shared" si="509"/>
        <v>0</v>
      </c>
      <c r="FE68" s="12">
        <f t="shared" si="510"/>
        <v>0</v>
      </c>
      <c r="FF68" s="12">
        <f t="shared" si="511"/>
        <v>0</v>
      </c>
      <c r="FG68" s="12">
        <f t="shared" si="512"/>
        <v>0</v>
      </c>
      <c r="FH68" s="12">
        <f t="shared" si="513"/>
        <v>0</v>
      </c>
      <c r="FI68" s="12">
        <f t="shared" si="514"/>
        <v>0</v>
      </c>
      <c r="FK68" s="16" t="s">
        <v>1303</v>
      </c>
      <c r="FL68">
        <f>_xlfn.XLOOKUP(FK68,'KPI Impacts'!$B$2:$H$2,'KPI Impacts'!$B68:$H68)</f>
        <v>0</v>
      </c>
      <c r="FM68" s="16" t="s">
        <v>1303</v>
      </c>
      <c r="FN68">
        <f>_xlfn.XLOOKUP(FM68,'KPI Impacts'!$B$2:$H$2,'KPI Impacts'!$B68:$H68)</f>
        <v>0</v>
      </c>
      <c r="FQ68" s="12">
        <f t="shared" si="515"/>
        <v>0</v>
      </c>
      <c r="FR68" s="12">
        <f t="shared" si="516"/>
        <v>0</v>
      </c>
      <c r="FS68" s="12">
        <f t="shared" si="517"/>
        <v>0</v>
      </c>
      <c r="FT68" s="12">
        <f t="shared" si="518"/>
        <v>0</v>
      </c>
      <c r="FU68" s="12">
        <f t="shared" si="519"/>
        <v>0</v>
      </c>
      <c r="FV68" s="12">
        <f t="shared" si="520"/>
        <v>0</v>
      </c>
      <c r="FW68" s="12">
        <f t="shared" si="521"/>
        <v>0</v>
      </c>
      <c r="FX68" s="12">
        <f t="shared" si="522"/>
        <v>0</v>
      </c>
      <c r="FY68" s="12">
        <f t="shared" si="523"/>
        <v>0</v>
      </c>
      <c r="GA68" s="16" t="s">
        <v>1303</v>
      </c>
      <c r="GB68">
        <f>_xlfn.XLOOKUP(GA68,'KPI Impacts'!$B$2:$H$2,'KPI Impacts'!$B68:$H68)</f>
        <v>0</v>
      </c>
      <c r="GC68" s="35" t="s">
        <v>1303</v>
      </c>
      <c r="GD68">
        <f>_xlfn.XLOOKUP(GC68,'KPI Impacts'!$B$2:$H$2,'KPI Impacts'!$B68:$H68)</f>
        <v>0</v>
      </c>
      <c r="GG68" s="12">
        <f t="shared" si="524"/>
        <v>0</v>
      </c>
      <c r="GH68" s="12">
        <f t="shared" si="525"/>
        <v>0</v>
      </c>
      <c r="GI68" s="12">
        <f t="shared" si="526"/>
        <v>0</v>
      </c>
      <c r="GJ68" s="12">
        <f t="shared" si="527"/>
        <v>0</v>
      </c>
      <c r="GK68" s="12">
        <f t="shared" si="528"/>
        <v>0</v>
      </c>
      <c r="GL68" s="12">
        <f t="shared" si="529"/>
        <v>0</v>
      </c>
      <c r="GM68" s="12">
        <f t="shared" si="530"/>
        <v>0</v>
      </c>
      <c r="GN68" s="12">
        <f t="shared" si="531"/>
        <v>0</v>
      </c>
      <c r="GO68" s="12">
        <f t="shared" si="532"/>
        <v>0</v>
      </c>
      <c r="GQ68" s="30" t="s">
        <v>1309</v>
      </c>
      <c r="GR68">
        <f>_xlfn.XLOOKUP(GQ68,'KPI Impacts'!$B$2:$H$2,'KPI Impacts'!$B68:$H68)</f>
        <v>4</v>
      </c>
      <c r="GS68" s="35" t="s">
        <v>1303</v>
      </c>
      <c r="GT68">
        <f>_xlfn.XLOOKUP(GS68,'KPI Impacts'!$B$2:$H$2,'KPI Impacts'!$B68:$H68)</f>
        <v>0</v>
      </c>
      <c r="GW68" s="12">
        <f t="shared" si="533"/>
        <v>0</v>
      </c>
      <c r="GX68" s="12">
        <f t="shared" si="534"/>
        <v>0</v>
      </c>
      <c r="GY68" s="12">
        <f t="shared" si="535"/>
        <v>0</v>
      </c>
      <c r="GZ68" s="12">
        <f t="shared" si="536"/>
        <v>0</v>
      </c>
      <c r="HA68" s="12">
        <f t="shared" si="537"/>
        <v>0</v>
      </c>
      <c r="HB68" s="12">
        <f t="shared" si="538"/>
        <v>0</v>
      </c>
      <c r="HC68" s="12">
        <f t="shared" si="539"/>
        <v>0</v>
      </c>
      <c r="HD68" s="12">
        <f t="shared" si="540"/>
        <v>0</v>
      </c>
      <c r="HE68" s="12">
        <f t="shared" si="541"/>
        <v>0</v>
      </c>
      <c r="HG68" s="16" t="s">
        <v>1303</v>
      </c>
      <c r="HH68">
        <f>_xlfn.XLOOKUP(HG68,'KPI Impacts'!$B$2:$H$2,'KPI Impacts'!$B68:$H68)</f>
        <v>0</v>
      </c>
      <c r="HI68" s="35" t="s">
        <v>1303</v>
      </c>
      <c r="HJ68">
        <f>_xlfn.XLOOKUP(HI68,'KPI Impacts'!$B$2:$H$2,'KPI Impacts'!$B68:$H68)</f>
        <v>0</v>
      </c>
      <c r="HM68" s="12">
        <f t="shared" si="542"/>
        <v>0</v>
      </c>
      <c r="HN68" s="12">
        <f t="shared" si="543"/>
        <v>0</v>
      </c>
      <c r="HO68" s="12">
        <f t="shared" si="544"/>
        <v>0</v>
      </c>
      <c r="HP68" s="12">
        <f t="shared" si="545"/>
        <v>0</v>
      </c>
      <c r="HQ68" s="12">
        <f t="shared" si="546"/>
        <v>0</v>
      </c>
      <c r="HR68" s="12">
        <f t="shared" si="547"/>
        <v>0</v>
      </c>
      <c r="HS68" s="12">
        <f t="shared" si="548"/>
        <v>0</v>
      </c>
      <c r="HT68" s="12">
        <f t="shared" si="549"/>
        <v>0</v>
      </c>
      <c r="HU68" s="12">
        <f t="shared" si="550"/>
        <v>0</v>
      </c>
      <c r="HW68" s="16" t="s">
        <v>1303</v>
      </c>
      <c r="HX68">
        <f>_xlfn.XLOOKUP(HW68,'KPI Impacts'!$B$2:$H$2,'KPI Impacts'!$B68:$H68)</f>
        <v>0</v>
      </c>
      <c r="HY68" s="35" t="s">
        <v>1303</v>
      </c>
      <c r="HZ68">
        <f>_xlfn.XLOOKUP(HY68,'KPI Impacts'!$B$2:$H$2,'KPI Impacts'!$B68:$H68)</f>
        <v>0</v>
      </c>
      <c r="IC68" s="12">
        <f t="shared" si="551"/>
        <v>0</v>
      </c>
      <c r="ID68" s="12">
        <f t="shared" si="552"/>
        <v>0</v>
      </c>
      <c r="IE68" s="12">
        <f t="shared" si="553"/>
        <v>0</v>
      </c>
      <c r="IF68" s="12">
        <f t="shared" si="554"/>
        <v>0</v>
      </c>
      <c r="IG68" s="12">
        <f t="shared" si="555"/>
        <v>0</v>
      </c>
      <c r="IH68" s="12">
        <f t="shared" si="556"/>
        <v>0</v>
      </c>
      <c r="II68" s="12">
        <f t="shared" si="557"/>
        <v>0</v>
      </c>
      <c r="IJ68" s="12">
        <f t="shared" si="558"/>
        <v>0</v>
      </c>
      <c r="IK68" s="12">
        <f t="shared" si="559"/>
        <v>0</v>
      </c>
      <c r="IM68" t="s">
        <v>1303</v>
      </c>
      <c r="IN68">
        <f>_xlfn.XLOOKUP(IM68,'KPI Impacts'!$B$2:$H$2,'KPI Impacts'!$B68:$H68)</f>
        <v>0</v>
      </c>
      <c r="IO68" s="35" t="s">
        <v>1303</v>
      </c>
      <c r="IP68">
        <f>_xlfn.XLOOKUP(IO68,'KPI Impacts'!$B$2:$H$2,'KPI Impacts'!$B68:$H68)</f>
        <v>0</v>
      </c>
      <c r="IS68" s="12">
        <f t="shared" si="560"/>
        <v>0</v>
      </c>
      <c r="IT68" s="12">
        <f t="shared" si="561"/>
        <v>0</v>
      </c>
      <c r="IU68" s="12">
        <f t="shared" si="562"/>
        <v>0</v>
      </c>
      <c r="IV68" s="12">
        <f t="shared" si="563"/>
        <v>0</v>
      </c>
      <c r="IW68" s="12">
        <f t="shared" si="564"/>
        <v>0</v>
      </c>
      <c r="IX68" s="12">
        <f t="shared" si="565"/>
        <v>0</v>
      </c>
      <c r="IY68" s="12">
        <f t="shared" si="566"/>
        <v>0</v>
      </c>
      <c r="IZ68" s="12">
        <f t="shared" si="567"/>
        <v>0</v>
      </c>
      <c r="JA68" s="12">
        <f t="shared" si="568"/>
        <v>0</v>
      </c>
      <c r="JC68" t="s">
        <v>1303</v>
      </c>
      <c r="JD68">
        <f>_xlfn.XLOOKUP(JC68,'KPI Impacts'!$B$2:$H$2,'KPI Impacts'!$B68:$H68)</f>
        <v>0</v>
      </c>
      <c r="JE68" s="35" t="s">
        <v>1303</v>
      </c>
      <c r="JF68">
        <f>_xlfn.XLOOKUP(JE68,'KPI Impacts'!$B$2:$H$2,'KPI Impacts'!$B68:$H68)</f>
        <v>0</v>
      </c>
      <c r="JI68" s="12">
        <f t="shared" si="569"/>
        <v>0</v>
      </c>
      <c r="JJ68" s="12">
        <f t="shared" si="570"/>
        <v>0</v>
      </c>
      <c r="JK68" s="12">
        <f t="shared" si="571"/>
        <v>0</v>
      </c>
      <c r="JL68" s="12">
        <f t="shared" si="572"/>
        <v>0</v>
      </c>
      <c r="JM68" s="12">
        <f t="shared" si="573"/>
        <v>0</v>
      </c>
      <c r="JN68" s="12">
        <f t="shared" si="574"/>
        <v>0</v>
      </c>
      <c r="JO68" s="12">
        <f t="shared" si="575"/>
        <v>0</v>
      </c>
      <c r="JP68" s="12">
        <f t="shared" si="576"/>
        <v>0</v>
      </c>
      <c r="JQ68" s="12">
        <f t="shared" si="577"/>
        <v>0</v>
      </c>
      <c r="JS68" t="s">
        <v>1303</v>
      </c>
      <c r="JT68">
        <f>_xlfn.XLOOKUP(JS68,'KPI Impacts'!$B$2:$H$2,'KPI Impacts'!$B68:$H68)</f>
        <v>0</v>
      </c>
      <c r="JU68" s="35" t="s">
        <v>1303</v>
      </c>
      <c r="JV68">
        <f>_xlfn.XLOOKUP(JU68,'KPI Impacts'!$B$2:$H$2,'KPI Impacts'!$B68:$H68)</f>
        <v>0</v>
      </c>
      <c r="JY68" s="12">
        <f t="shared" si="578"/>
        <v>0</v>
      </c>
      <c r="JZ68" s="12">
        <f t="shared" si="579"/>
        <v>0</v>
      </c>
      <c r="KA68" s="12">
        <f t="shared" si="580"/>
        <v>0</v>
      </c>
      <c r="KB68" s="12">
        <f t="shared" si="581"/>
        <v>0</v>
      </c>
      <c r="KC68" s="12">
        <f t="shared" si="582"/>
        <v>0</v>
      </c>
      <c r="KD68" s="12">
        <f t="shared" si="583"/>
        <v>0</v>
      </c>
      <c r="KE68" s="12">
        <f t="shared" si="584"/>
        <v>0</v>
      </c>
      <c r="KF68" s="12">
        <f t="shared" si="585"/>
        <v>0</v>
      </c>
      <c r="KG68" s="12">
        <f t="shared" si="586"/>
        <v>0</v>
      </c>
      <c r="KI68" t="s">
        <v>1303</v>
      </c>
      <c r="KJ68">
        <f>_xlfn.XLOOKUP(KI68,'KPI Impacts'!$B$2:$H$2,'KPI Impacts'!$B68:$H68)</f>
        <v>0</v>
      </c>
      <c r="KK68" s="35" t="s">
        <v>1303</v>
      </c>
      <c r="KL68">
        <f>_xlfn.XLOOKUP(KK68,'KPI Impacts'!$B$2:$H$2,'KPI Impacts'!$B68:$H68)</f>
        <v>0</v>
      </c>
      <c r="KO68" s="12">
        <f t="shared" si="587"/>
        <v>0</v>
      </c>
      <c r="KP68" s="12">
        <f t="shared" si="588"/>
        <v>0</v>
      </c>
      <c r="KQ68" s="12">
        <f t="shared" si="589"/>
        <v>0</v>
      </c>
      <c r="KR68" s="12">
        <f t="shared" si="590"/>
        <v>0</v>
      </c>
      <c r="KS68" s="12">
        <f t="shared" si="591"/>
        <v>0</v>
      </c>
      <c r="KT68" s="12">
        <f t="shared" si="592"/>
        <v>0</v>
      </c>
      <c r="KU68" s="12">
        <f t="shared" si="593"/>
        <v>0</v>
      </c>
      <c r="KV68" s="12">
        <f t="shared" si="594"/>
        <v>0</v>
      </c>
      <c r="KW68" s="12">
        <f t="shared" si="595"/>
        <v>0</v>
      </c>
      <c r="KY68" t="s">
        <v>1303</v>
      </c>
      <c r="KZ68">
        <f>_xlfn.XLOOKUP(KY68,'KPI Impacts'!$B$2:$H$2,'KPI Impacts'!$B68:$H68)</f>
        <v>0</v>
      </c>
      <c r="LA68" s="35" t="s">
        <v>1303</v>
      </c>
      <c r="LB68">
        <f>_xlfn.XLOOKUP(LA68,'KPI Impacts'!$B$2:$H$2,'KPI Impacts'!$B68:$H68)</f>
        <v>0</v>
      </c>
      <c r="LE68" s="12">
        <f t="shared" si="596"/>
        <v>0</v>
      </c>
      <c r="LF68" s="12">
        <f t="shared" si="597"/>
        <v>0</v>
      </c>
      <c r="LG68" s="12">
        <f t="shared" si="598"/>
        <v>0</v>
      </c>
      <c r="LH68" s="12">
        <f t="shared" si="599"/>
        <v>0</v>
      </c>
      <c r="LI68" s="12">
        <f t="shared" si="600"/>
        <v>0</v>
      </c>
      <c r="LJ68" s="12">
        <f t="shared" si="601"/>
        <v>0</v>
      </c>
      <c r="LK68" s="12">
        <f t="shared" si="602"/>
        <v>0</v>
      </c>
      <c r="LL68" s="12">
        <f t="shared" si="603"/>
        <v>0</v>
      </c>
      <c r="LM68" s="12">
        <f t="shared" si="604"/>
        <v>0</v>
      </c>
      <c r="LO68" t="s">
        <v>1303</v>
      </c>
      <c r="LP68">
        <f>_xlfn.XLOOKUP(LO68,'KPI Impacts'!$B$2:$H$2,'KPI Impacts'!$B68:$H68)</f>
        <v>0</v>
      </c>
      <c r="LQ68" s="35" t="s">
        <v>1303</v>
      </c>
      <c r="LR68">
        <f>_xlfn.XLOOKUP(LQ68,'KPI Impacts'!$B$2:$H$2,'KPI Impacts'!$B68:$H68)</f>
        <v>0</v>
      </c>
      <c r="LU68" s="12">
        <f t="shared" si="605"/>
        <v>0</v>
      </c>
      <c r="LV68" s="12">
        <f t="shared" si="606"/>
        <v>0</v>
      </c>
      <c r="LW68" s="12">
        <f t="shared" si="607"/>
        <v>0</v>
      </c>
      <c r="LX68" s="12">
        <f t="shared" si="608"/>
        <v>0</v>
      </c>
      <c r="LY68" s="12">
        <f t="shared" si="609"/>
        <v>0</v>
      </c>
      <c r="LZ68" s="12">
        <f t="shared" si="610"/>
        <v>0</v>
      </c>
      <c r="MA68" s="12">
        <f t="shared" si="611"/>
        <v>0</v>
      </c>
      <c r="MB68" s="12">
        <f t="shared" si="612"/>
        <v>0</v>
      </c>
      <c r="MC68" s="12">
        <f t="shared" si="613"/>
        <v>0</v>
      </c>
      <c r="ME68" t="s">
        <v>1303</v>
      </c>
      <c r="MF68">
        <f>_xlfn.XLOOKUP(ME68,'KPI Impacts'!$B$2:$H$2,'KPI Impacts'!$B68:$H68)</f>
        <v>0</v>
      </c>
      <c r="MG68" s="35" t="s">
        <v>1303</v>
      </c>
      <c r="MH68">
        <f>_xlfn.XLOOKUP(MG68,'KPI Impacts'!$B$2:$H$2,'KPI Impacts'!$B68:$H68)</f>
        <v>0</v>
      </c>
      <c r="MK68" s="12">
        <f t="shared" si="614"/>
        <v>0</v>
      </c>
      <c r="ML68" s="12">
        <f t="shared" si="615"/>
        <v>0</v>
      </c>
      <c r="MM68" s="12">
        <f t="shared" si="616"/>
        <v>0</v>
      </c>
      <c r="MN68" s="12">
        <f t="shared" si="617"/>
        <v>0</v>
      </c>
      <c r="MO68" s="12">
        <f t="shared" si="618"/>
        <v>0</v>
      </c>
      <c r="MP68" s="12">
        <f t="shared" si="619"/>
        <v>0</v>
      </c>
      <c r="MQ68" s="12">
        <f t="shared" si="620"/>
        <v>0</v>
      </c>
      <c r="MR68" s="12">
        <f t="shared" si="621"/>
        <v>0</v>
      </c>
      <c r="MS68" s="12">
        <f t="shared" si="622"/>
        <v>0</v>
      </c>
      <c r="MU68" t="s">
        <v>1303</v>
      </c>
      <c r="MV68">
        <f>_xlfn.XLOOKUP(MU68,'KPI Impacts'!$B$2:$H$2,'KPI Impacts'!$B68:$H68)</f>
        <v>0</v>
      </c>
      <c r="MW68" s="35" t="s">
        <v>1303</v>
      </c>
      <c r="MX68">
        <f>_xlfn.XLOOKUP(MW68,'KPI Impacts'!$B$2:$H$2,'KPI Impacts'!$B68:$H68)</f>
        <v>0</v>
      </c>
      <c r="NA68" s="12">
        <f t="shared" si="623"/>
        <v>0</v>
      </c>
      <c r="NB68" s="12">
        <f t="shared" si="624"/>
        <v>0</v>
      </c>
      <c r="NC68" s="12">
        <f t="shared" si="625"/>
        <v>0</v>
      </c>
      <c r="ND68" s="12">
        <f t="shared" si="626"/>
        <v>0</v>
      </c>
      <c r="NE68" s="12">
        <f t="shared" si="627"/>
        <v>0</v>
      </c>
      <c r="NF68" s="12">
        <f t="shared" si="628"/>
        <v>0</v>
      </c>
      <c r="NG68" s="12">
        <f t="shared" si="629"/>
        <v>0</v>
      </c>
      <c r="NH68" s="12">
        <f t="shared" si="630"/>
        <v>0</v>
      </c>
      <c r="NI68" s="12">
        <f t="shared" si="631"/>
        <v>0</v>
      </c>
      <c r="NK68" t="s">
        <v>1303</v>
      </c>
      <c r="NL68">
        <f>_xlfn.XLOOKUP(NK68,'KPI Impacts'!$B$2:$H$2,'KPI Impacts'!$B68:$H68)</f>
        <v>0</v>
      </c>
      <c r="NM68" s="35" t="s">
        <v>1303</v>
      </c>
      <c r="NN68">
        <f>_xlfn.XLOOKUP(NM68,'KPI Impacts'!$B$2:$H$2,'KPI Impacts'!$B68:$H68)</f>
        <v>0</v>
      </c>
      <c r="NQ68" s="12">
        <f t="shared" si="632"/>
        <v>0</v>
      </c>
      <c r="NR68" s="12">
        <f t="shared" si="633"/>
        <v>0</v>
      </c>
      <c r="NS68" s="12">
        <f t="shared" si="634"/>
        <v>0</v>
      </c>
      <c r="NT68" s="12">
        <f t="shared" si="635"/>
        <v>0</v>
      </c>
      <c r="NU68" s="12">
        <f t="shared" si="636"/>
        <v>0</v>
      </c>
      <c r="NV68" s="12">
        <f t="shared" si="637"/>
        <v>0</v>
      </c>
      <c r="NW68" s="12">
        <f t="shared" si="638"/>
        <v>0</v>
      </c>
      <c r="NX68" s="12">
        <f t="shared" si="639"/>
        <v>0</v>
      </c>
      <c r="NY68" s="12">
        <f t="shared" si="640"/>
        <v>0</v>
      </c>
      <c r="OA68" t="s">
        <v>1303</v>
      </c>
      <c r="OB68">
        <f>_xlfn.XLOOKUP(OA68,'KPI Impacts'!$B$2:$H$2,'KPI Impacts'!$B68:$H68)</f>
        <v>0</v>
      </c>
      <c r="OC68" s="35" t="s">
        <v>1303</v>
      </c>
      <c r="OD68">
        <f>_xlfn.XLOOKUP(OC68,'KPI Impacts'!$B$2:$H$2,'KPI Impacts'!$B68:$H68)</f>
        <v>0</v>
      </c>
      <c r="OG68" s="12">
        <f t="shared" si="641"/>
        <v>0</v>
      </c>
      <c r="OH68" s="12">
        <f t="shared" si="642"/>
        <v>0</v>
      </c>
      <c r="OI68" s="12">
        <f t="shared" si="643"/>
        <v>0</v>
      </c>
      <c r="OJ68" s="12">
        <f t="shared" si="644"/>
        <v>0</v>
      </c>
      <c r="OK68" s="12">
        <f t="shared" si="645"/>
        <v>0</v>
      </c>
      <c r="OL68" s="12">
        <f t="shared" si="646"/>
        <v>0</v>
      </c>
      <c r="OM68" s="12">
        <f t="shared" si="647"/>
        <v>0</v>
      </c>
      <c r="ON68" s="12">
        <f t="shared" si="648"/>
        <v>0</v>
      </c>
      <c r="OO68" s="12">
        <f t="shared" si="649"/>
        <v>0</v>
      </c>
      <c r="OQ68" t="s">
        <v>1303</v>
      </c>
      <c r="OR68">
        <f>_xlfn.XLOOKUP(OQ68,'KPI Impacts'!$B$2:$H$2,'KPI Impacts'!$B68:$H68)</f>
        <v>0</v>
      </c>
      <c r="OS68" s="35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442"/>
        <v>0</v>
      </c>
      <c r="C69" s="12">
        <f t="shared" si="650"/>
        <v>0</v>
      </c>
      <c r="D69" s="12">
        <f t="shared" si="651"/>
        <v>0</v>
      </c>
      <c r="E69" s="12">
        <f t="shared" si="652"/>
        <v>0</v>
      </c>
      <c r="F69" s="12">
        <f t="shared" si="653"/>
        <v>0</v>
      </c>
      <c r="G69" s="12">
        <f t="shared" si="654"/>
        <v>0</v>
      </c>
      <c r="H69" s="12">
        <f t="shared" si="655"/>
        <v>0</v>
      </c>
      <c r="I69" s="12">
        <f t="shared" si="444"/>
        <v>0</v>
      </c>
      <c r="J69" s="12">
        <f t="shared" si="444"/>
        <v>0</v>
      </c>
      <c r="M69">
        <f t="shared" si="445"/>
        <v>0</v>
      </c>
      <c r="N69">
        <f t="shared" si="446"/>
        <v>0</v>
      </c>
      <c r="O69">
        <f t="shared" si="447"/>
        <v>0</v>
      </c>
      <c r="P69">
        <f t="shared" si="448"/>
        <v>0</v>
      </c>
      <c r="Q69">
        <f t="shared" si="449"/>
        <v>0</v>
      </c>
      <c r="R69">
        <f t="shared" si="450"/>
        <v>0</v>
      </c>
      <c r="S69">
        <f t="shared" si="451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41">
        <f t="shared" si="452"/>
        <v>0</v>
      </c>
      <c r="BJ69" s="41">
        <f t="shared" si="453"/>
        <v>0</v>
      </c>
      <c r="BK69" s="41">
        <f t="shared" si="454"/>
        <v>0</v>
      </c>
      <c r="BL69" s="41">
        <f t="shared" si="455"/>
        <v>0</v>
      </c>
      <c r="BM69" s="41">
        <f t="shared" si="456"/>
        <v>0</v>
      </c>
      <c r="BN69" s="41">
        <f t="shared" si="457"/>
        <v>0</v>
      </c>
      <c r="BO69" s="41">
        <f t="shared" si="458"/>
        <v>0</v>
      </c>
      <c r="BP69" s="41">
        <f t="shared" si="459"/>
        <v>0</v>
      </c>
      <c r="BQ69" s="41">
        <f t="shared" si="460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461"/>
        <v>0</v>
      </c>
      <c r="BZ69" s="12">
        <f t="shared" si="462"/>
        <v>0</v>
      </c>
      <c r="CA69" s="12">
        <f t="shared" si="463"/>
        <v>0</v>
      </c>
      <c r="CB69" s="12">
        <f t="shared" si="464"/>
        <v>0</v>
      </c>
      <c r="CC69" s="12">
        <f t="shared" si="465"/>
        <v>0</v>
      </c>
      <c r="CD69" s="12">
        <f t="shared" si="466"/>
        <v>0</v>
      </c>
      <c r="CE69" s="12">
        <f t="shared" si="467"/>
        <v>0</v>
      </c>
      <c r="CF69" s="12">
        <f t="shared" si="468"/>
        <v>0</v>
      </c>
      <c r="CG69" s="12">
        <f t="shared" si="469"/>
        <v>0</v>
      </c>
      <c r="CI69" s="30" t="s">
        <v>1309</v>
      </c>
      <c r="CJ69">
        <f>_xlfn.XLOOKUP(CI69,'KPI Impacts'!$B$2:$H$2,'KPI Impacts'!$B69:$H69)</f>
        <v>4</v>
      </c>
      <c r="CK69" s="35" t="s">
        <v>1303</v>
      </c>
      <c r="CL69">
        <f>_xlfn.XLOOKUP(CK69,'KPI Impacts'!$B$2:$H$2,'KPI Impacts'!$B69:$H69)</f>
        <v>0</v>
      </c>
      <c r="CO69" s="12">
        <f t="shared" si="470"/>
        <v>0</v>
      </c>
      <c r="CP69" s="12">
        <f t="shared" si="471"/>
        <v>0</v>
      </c>
      <c r="CQ69" s="12">
        <f t="shared" si="472"/>
        <v>0</v>
      </c>
      <c r="CR69" s="12">
        <f t="shared" si="473"/>
        <v>0</v>
      </c>
      <c r="CS69" s="12">
        <f t="shared" si="474"/>
        <v>0</v>
      </c>
      <c r="CT69" s="12">
        <f t="shared" si="475"/>
        <v>0</v>
      </c>
      <c r="CU69" s="12">
        <f t="shared" si="476"/>
        <v>0</v>
      </c>
      <c r="CV69" s="12">
        <f t="shared" si="477"/>
        <v>0</v>
      </c>
      <c r="CW69" s="12">
        <f t="shared" si="478"/>
        <v>0</v>
      </c>
      <c r="CY69" s="16" t="s">
        <v>1303</v>
      </c>
      <c r="CZ69">
        <f>_xlfn.XLOOKUP(CY69,'KPI Impacts'!$B$2:$H$2,'KPI Impacts'!$B69:$H69)</f>
        <v>0</v>
      </c>
      <c r="DA69" s="35" t="s">
        <v>1303</v>
      </c>
      <c r="DB69">
        <f>_xlfn.XLOOKUP(DA69,'KPI Impacts'!$B$2:$H$2,'KPI Impacts'!$B69:$H69)</f>
        <v>0</v>
      </c>
      <c r="DE69" s="12">
        <f t="shared" si="479"/>
        <v>0</v>
      </c>
      <c r="DF69" s="12">
        <f t="shared" si="480"/>
        <v>0</v>
      </c>
      <c r="DG69" s="12">
        <f t="shared" si="481"/>
        <v>0</v>
      </c>
      <c r="DH69" s="12">
        <f t="shared" si="482"/>
        <v>0</v>
      </c>
      <c r="DI69" s="12">
        <f t="shared" si="483"/>
        <v>0</v>
      </c>
      <c r="DJ69" s="12">
        <f t="shared" si="484"/>
        <v>0</v>
      </c>
      <c r="DK69" s="12">
        <f t="shared" si="485"/>
        <v>0</v>
      </c>
      <c r="DL69" s="12">
        <f t="shared" si="486"/>
        <v>0</v>
      </c>
      <c r="DM69" s="12">
        <f t="shared" si="487"/>
        <v>0</v>
      </c>
      <c r="DO69" s="29" t="s">
        <v>1304</v>
      </c>
      <c r="DP69">
        <f>_xlfn.XLOOKUP(DO69,'KPI Impacts'!$B$2:$H$2,'KPI Impacts'!$B69:$H69)</f>
        <v>-1.6</v>
      </c>
      <c r="DQ69" s="35" t="s">
        <v>1303</v>
      </c>
      <c r="DR69">
        <f>_xlfn.XLOOKUP(DQ69,'KPI Impacts'!$B$2:$H$2,'KPI Impacts'!$B69:$H69)</f>
        <v>0</v>
      </c>
      <c r="DU69" s="12">
        <f t="shared" si="488"/>
        <v>0</v>
      </c>
      <c r="DV69" s="12">
        <f t="shared" si="489"/>
        <v>0</v>
      </c>
      <c r="DW69" s="12">
        <f t="shared" si="490"/>
        <v>0</v>
      </c>
      <c r="DX69" s="12">
        <f t="shared" si="491"/>
        <v>0</v>
      </c>
      <c r="DY69" s="12">
        <f t="shared" si="492"/>
        <v>0</v>
      </c>
      <c r="DZ69" s="12">
        <f t="shared" si="493"/>
        <v>0</v>
      </c>
      <c r="EA69" s="12">
        <f t="shared" si="494"/>
        <v>0</v>
      </c>
      <c r="EB69" s="12">
        <f t="shared" si="495"/>
        <v>0</v>
      </c>
      <c r="EC69" s="12">
        <f t="shared" si="496"/>
        <v>0</v>
      </c>
      <c r="EE69" s="30" t="s">
        <v>1309</v>
      </c>
      <c r="EF69">
        <f>_xlfn.XLOOKUP(EE69,'KPI Impacts'!$B$2:$H$2,'KPI Impacts'!$B69:$H69)</f>
        <v>4</v>
      </c>
      <c r="EG69" s="35" t="s">
        <v>1303</v>
      </c>
      <c r="EH69">
        <f>_xlfn.XLOOKUP(EG69,'KPI Impacts'!$B$2:$H$2,'KPI Impacts'!$B69:$H69)</f>
        <v>0</v>
      </c>
      <c r="EK69" s="12">
        <f t="shared" si="497"/>
        <v>0</v>
      </c>
      <c r="EL69" s="12">
        <f t="shared" si="498"/>
        <v>0</v>
      </c>
      <c r="EM69" s="12">
        <f t="shared" si="499"/>
        <v>0</v>
      </c>
      <c r="EN69" s="12">
        <f t="shared" si="500"/>
        <v>0</v>
      </c>
      <c r="EO69" s="12">
        <f t="shared" si="501"/>
        <v>0</v>
      </c>
      <c r="EP69" s="12">
        <f t="shared" si="502"/>
        <v>0</v>
      </c>
      <c r="EQ69" s="12">
        <f t="shared" si="503"/>
        <v>0</v>
      </c>
      <c r="ER69" s="12">
        <f t="shared" si="504"/>
        <v>0</v>
      </c>
      <c r="ES69" s="12">
        <f t="shared" si="505"/>
        <v>0</v>
      </c>
      <c r="EU69" s="30" t="s">
        <v>1307</v>
      </c>
      <c r="EV69">
        <f>_xlfn.XLOOKUP(EU69,'KPI Impacts'!$B$2:$H$2,'KPI Impacts'!$B69:$H69)</f>
        <v>2</v>
      </c>
      <c r="EW69" s="35" t="s">
        <v>1303</v>
      </c>
      <c r="EX69">
        <f>_xlfn.XLOOKUP(EW69,'KPI Impacts'!$B$2:$H$2,'KPI Impacts'!$B69:$H69)</f>
        <v>0</v>
      </c>
      <c r="FA69" s="12">
        <f t="shared" si="506"/>
        <v>0</v>
      </c>
      <c r="FB69" s="12">
        <f t="shared" si="507"/>
        <v>0</v>
      </c>
      <c r="FC69" s="12">
        <f t="shared" si="508"/>
        <v>0</v>
      </c>
      <c r="FD69" s="12">
        <f t="shared" si="509"/>
        <v>0</v>
      </c>
      <c r="FE69" s="12">
        <f t="shared" si="510"/>
        <v>0</v>
      </c>
      <c r="FF69" s="12">
        <f t="shared" si="511"/>
        <v>0</v>
      </c>
      <c r="FG69" s="12">
        <f t="shared" si="512"/>
        <v>0</v>
      </c>
      <c r="FH69" s="12">
        <f t="shared" si="513"/>
        <v>0</v>
      </c>
      <c r="FI69" s="12">
        <f t="shared" si="514"/>
        <v>0</v>
      </c>
      <c r="FK69" s="16" t="s">
        <v>1303</v>
      </c>
      <c r="FL69">
        <f>_xlfn.XLOOKUP(FK69,'KPI Impacts'!$B$2:$H$2,'KPI Impacts'!$B69:$H69)</f>
        <v>0</v>
      </c>
      <c r="FM69" s="16" t="s">
        <v>1303</v>
      </c>
      <c r="FN69">
        <f>_xlfn.XLOOKUP(FM69,'KPI Impacts'!$B$2:$H$2,'KPI Impacts'!$B69:$H69)</f>
        <v>0</v>
      </c>
      <c r="FQ69" s="12">
        <f t="shared" si="515"/>
        <v>0</v>
      </c>
      <c r="FR69" s="12">
        <f t="shared" si="516"/>
        <v>0</v>
      </c>
      <c r="FS69" s="12">
        <f t="shared" si="517"/>
        <v>0</v>
      </c>
      <c r="FT69" s="12">
        <f t="shared" si="518"/>
        <v>0</v>
      </c>
      <c r="FU69" s="12">
        <f t="shared" si="519"/>
        <v>0</v>
      </c>
      <c r="FV69" s="12">
        <f t="shared" si="520"/>
        <v>0</v>
      </c>
      <c r="FW69" s="12">
        <f t="shared" si="521"/>
        <v>0</v>
      </c>
      <c r="FX69" s="12">
        <f t="shared" si="522"/>
        <v>0</v>
      </c>
      <c r="FY69" s="12">
        <f t="shared" si="523"/>
        <v>0</v>
      </c>
      <c r="GA69" s="30" t="s">
        <v>1309</v>
      </c>
      <c r="GB69">
        <f>_xlfn.XLOOKUP(GA69,'KPI Impacts'!$B$2:$H$2,'KPI Impacts'!$B69:$H69)</f>
        <v>4</v>
      </c>
      <c r="GC69" s="35" t="s">
        <v>1303</v>
      </c>
      <c r="GD69">
        <f>_xlfn.XLOOKUP(GC69,'KPI Impacts'!$B$2:$H$2,'KPI Impacts'!$B69:$H69)</f>
        <v>0</v>
      </c>
      <c r="GG69" s="12">
        <f t="shared" si="524"/>
        <v>0</v>
      </c>
      <c r="GH69" s="12">
        <f t="shared" si="525"/>
        <v>0</v>
      </c>
      <c r="GI69" s="12">
        <f t="shared" si="526"/>
        <v>0</v>
      </c>
      <c r="GJ69" s="12">
        <f t="shared" si="527"/>
        <v>0</v>
      </c>
      <c r="GK69" s="12">
        <f t="shared" si="528"/>
        <v>0</v>
      </c>
      <c r="GL69" s="12">
        <f t="shared" si="529"/>
        <v>0</v>
      </c>
      <c r="GM69" s="12">
        <f t="shared" si="530"/>
        <v>0</v>
      </c>
      <c r="GN69" s="12">
        <f t="shared" si="531"/>
        <v>0</v>
      </c>
      <c r="GO69" s="12">
        <f t="shared" si="532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533"/>
        <v>0</v>
      </c>
      <c r="GX69" s="12">
        <f t="shared" si="534"/>
        <v>0</v>
      </c>
      <c r="GY69" s="12">
        <f t="shared" si="535"/>
        <v>0</v>
      </c>
      <c r="GZ69" s="12">
        <f t="shared" si="536"/>
        <v>0</v>
      </c>
      <c r="HA69" s="12">
        <f t="shared" si="537"/>
        <v>0</v>
      </c>
      <c r="HB69" s="12">
        <f t="shared" si="538"/>
        <v>0</v>
      </c>
      <c r="HC69" s="12">
        <f t="shared" si="539"/>
        <v>0</v>
      </c>
      <c r="HD69" s="12">
        <f t="shared" si="540"/>
        <v>0</v>
      </c>
      <c r="HE69" s="12">
        <f t="shared" si="541"/>
        <v>0</v>
      </c>
      <c r="HG69" s="16" t="s">
        <v>1303</v>
      </c>
      <c r="HH69">
        <f>_xlfn.XLOOKUP(HG69,'KPI Impacts'!$B$2:$H$2,'KPI Impacts'!$B69:$H69)</f>
        <v>0</v>
      </c>
      <c r="HI69" s="35" t="s">
        <v>1303</v>
      </c>
      <c r="HJ69">
        <f>_xlfn.XLOOKUP(HI69,'KPI Impacts'!$B$2:$H$2,'KPI Impacts'!$B69:$H69)</f>
        <v>0</v>
      </c>
      <c r="HM69" s="12">
        <f t="shared" si="542"/>
        <v>0</v>
      </c>
      <c r="HN69" s="12">
        <f t="shared" si="543"/>
        <v>0</v>
      </c>
      <c r="HO69" s="12">
        <f t="shared" si="544"/>
        <v>0</v>
      </c>
      <c r="HP69" s="12">
        <f t="shared" si="545"/>
        <v>0</v>
      </c>
      <c r="HQ69" s="12">
        <f t="shared" si="546"/>
        <v>0</v>
      </c>
      <c r="HR69" s="12">
        <f t="shared" si="547"/>
        <v>0</v>
      </c>
      <c r="HS69" s="12">
        <f t="shared" si="548"/>
        <v>0</v>
      </c>
      <c r="HT69" s="12">
        <f t="shared" si="549"/>
        <v>0</v>
      </c>
      <c r="HU69" s="12">
        <f t="shared" si="550"/>
        <v>0</v>
      </c>
      <c r="HW69" s="16" t="s">
        <v>1303</v>
      </c>
      <c r="HX69">
        <f>_xlfn.XLOOKUP(HW69,'KPI Impacts'!$B$2:$H$2,'KPI Impacts'!$B69:$H69)</f>
        <v>0</v>
      </c>
      <c r="HY69" s="35" t="s">
        <v>1303</v>
      </c>
      <c r="HZ69">
        <f>_xlfn.XLOOKUP(HY69,'KPI Impacts'!$B$2:$H$2,'KPI Impacts'!$B69:$H69)</f>
        <v>0</v>
      </c>
      <c r="IC69" s="12">
        <f t="shared" si="551"/>
        <v>0</v>
      </c>
      <c r="ID69" s="12">
        <f t="shared" si="552"/>
        <v>0</v>
      </c>
      <c r="IE69" s="12">
        <f t="shared" si="553"/>
        <v>0</v>
      </c>
      <c r="IF69" s="12">
        <f t="shared" si="554"/>
        <v>0</v>
      </c>
      <c r="IG69" s="12">
        <f t="shared" si="555"/>
        <v>0</v>
      </c>
      <c r="IH69" s="12">
        <f t="shared" si="556"/>
        <v>0</v>
      </c>
      <c r="II69" s="12">
        <f t="shared" si="557"/>
        <v>0</v>
      </c>
      <c r="IJ69" s="12">
        <f t="shared" si="558"/>
        <v>0</v>
      </c>
      <c r="IK69" s="12">
        <f t="shared" si="559"/>
        <v>0</v>
      </c>
      <c r="IM69" t="s">
        <v>1303</v>
      </c>
      <c r="IN69">
        <f>_xlfn.XLOOKUP(IM69,'KPI Impacts'!$B$2:$H$2,'KPI Impacts'!$B69:$H69)</f>
        <v>0</v>
      </c>
      <c r="IO69" s="35" t="s">
        <v>1303</v>
      </c>
      <c r="IP69">
        <f>_xlfn.XLOOKUP(IO69,'KPI Impacts'!$B$2:$H$2,'KPI Impacts'!$B69:$H69)</f>
        <v>0</v>
      </c>
      <c r="IS69" s="12">
        <f t="shared" si="560"/>
        <v>0</v>
      </c>
      <c r="IT69" s="12">
        <f t="shared" si="561"/>
        <v>0</v>
      </c>
      <c r="IU69" s="12">
        <f t="shared" si="562"/>
        <v>0</v>
      </c>
      <c r="IV69" s="12">
        <f t="shared" si="563"/>
        <v>0</v>
      </c>
      <c r="IW69" s="12">
        <f t="shared" si="564"/>
        <v>0</v>
      </c>
      <c r="IX69" s="12">
        <f t="shared" si="565"/>
        <v>0</v>
      </c>
      <c r="IY69" s="12">
        <f t="shared" si="566"/>
        <v>0</v>
      </c>
      <c r="IZ69" s="12">
        <f t="shared" si="567"/>
        <v>0</v>
      </c>
      <c r="JA69" s="12">
        <f t="shared" si="568"/>
        <v>0</v>
      </c>
      <c r="JC69" t="s">
        <v>1303</v>
      </c>
      <c r="JD69">
        <f>_xlfn.XLOOKUP(JC69,'KPI Impacts'!$B$2:$H$2,'KPI Impacts'!$B69:$H69)</f>
        <v>0</v>
      </c>
      <c r="JE69" s="35" t="s">
        <v>1303</v>
      </c>
      <c r="JF69">
        <f>_xlfn.XLOOKUP(JE69,'KPI Impacts'!$B$2:$H$2,'KPI Impacts'!$B69:$H69)</f>
        <v>0</v>
      </c>
      <c r="JI69" s="12">
        <f t="shared" si="569"/>
        <v>0</v>
      </c>
      <c r="JJ69" s="12">
        <f t="shared" si="570"/>
        <v>0</v>
      </c>
      <c r="JK69" s="12">
        <f t="shared" si="571"/>
        <v>0</v>
      </c>
      <c r="JL69" s="12">
        <f t="shared" si="572"/>
        <v>0</v>
      </c>
      <c r="JM69" s="12">
        <f t="shared" si="573"/>
        <v>0</v>
      </c>
      <c r="JN69" s="12">
        <f t="shared" si="574"/>
        <v>0</v>
      </c>
      <c r="JO69" s="12">
        <f t="shared" si="575"/>
        <v>0</v>
      </c>
      <c r="JP69" s="12">
        <f t="shared" si="576"/>
        <v>0</v>
      </c>
      <c r="JQ69" s="12">
        <f t="shared" si="577"/>
        <v>0</v>
      </c>
      <c r="JS69" t="s">
        <v>1303</v>
      </c>
      <c r="JT69">
        <f>_xlfn.XLOOKUP(JS69,'KPI Impacts'!$B$2:$H$2,'KPI Impacts'!$B69:$H69)</f>
        <v>0</v>
      </c>
      <c r="JU69" s="35" t="s">
        <v>1303</v>
      </c>
      <c r="JV69">
        <f>_xlfn.XLOOKUP(JU69,'KPI Impacts'!$B$2:$H$2,'KPI Impacts'!$B69:$H69)</f>
        <v>0</v>
      </c>
      <c r="JY69" s="12">
        <f t="shared" si="578"/>
        <v>0</v>
      </c>
      <c r="JZ69" s="12">
        <f t="shared" si="579"/>
        <v>0</v>
      </c>
      <c r="KA69" s="12">
        <f t="shared" si="580"/>
        <v>0</v>
      </c>
      <c r="KB69" s="12">
        <f t="shared" si="581"/>
        <v>0</v>
      </c>
      <c r="KC69" s="12">
        <f t="shared" si="582"/>
        <v>0</v>
      </c>
      <c r="KD69" s="12">
        <f t="shared" si="583"/>
        <v>0</v>
      </c>
      <c r="KE69" s="12">
        <f t="shared" si="584"/>
        <v>0</v>
      </c>
      <c r="KF69" s="12">
        <f t="shared" si="585"/>
        <v>0</v>
      </c>
      <c r="KG69" s="12">
        <f t="shared" si="586"/>
        <v>0</v>
      </c>
      <c r="KI69" t="s">
        <v>1303</v>
      </c>
      <c r="KJ69">
        <f>_xlfn.XLOOKUP(KI69,'KPI Impacts'!$B$2:$H$2,'KPI Impacts'!$B69:$H69)</f>
        <v>0</v>
      </c>
      <c r="KK69" s="35" t="s">
        <v>1303</v>
      </c>
      <c r="KL69">
        <f>_xlfn.XLOOKUP(KK69,'KPI Impacts'!$B$2:$H$2,'KPI Impacts'!$B69:$H69)</f>
        <v>0</v>
      </c>
      <c r="KO69" s="12">
        <f t="shared" si="587"/>
        <v>0</v>
      </c>
      <c r="KP69" s="12">
        <f t="shared" si="588"/>
        <v>0</v>
      </c>
      <c r="KQ69" s="12">
        <f t="shared" si="589"/>
        <v>0</v>
      </c>
      <c r="KR69" s="12">
        <f t="shared" si="590"/>
        <v>0</v>
      </c>
      <c r="KS69" s="12">
        <f t="shared" si="591"/>
        <v>0</v>
      </c>
      <c r="KT69" s="12">
        <f t="shared" si="592"/>
        <v>0</v>
      </c>
      <c r="KU69" s="12">
        <f t="shared" si="593"/>
        <v>0</v>
      </c>
      <c r="KV69" s="12">
        <f t="shared" si="594"/>
        <v>0</v>
      </c>
      <c r="KW69" s="12">
        <f t="shared" si="595"/>
        <v>0</v>
      </c>
      <c r="KY69" t="s">
        <v>1303</v>
      </c>
      <c r="KZ69">
        <f>_xlfn.XLOOKUP(KY69,'KPI Impacts'!$B$2:$H$2,'KPI Impacts'!$B69:$H69)</f>
        <v>0</v>
      </c>
      <c r="LA69" s="35" t="s">
        <v>1303</v>
      </c>
      <c r="LB69">
        <f>_xlfn.XLOOKUP(LA69,'KPI Impacts'!$B$2:$H$2,'KPI Impacts'!$B69:$H69)</f>
        <v>0</v>
      </c>
      <c r="LE69" s="12">
        <f t="shared" si="596"/>
        <v>0</v>
      </c>
      <c r="LF69" s="12">
        <f t="shared" si="597"/>
        <v>0</v>
      </c>
      <c r="LG69" s="12">
        <f t="shared" si="598"/>
        <v>0</v>
      </c>
      <c r="LH69" s="12">
        <f t="shared" si="599"/>
        <v>0</v>
      </c>
      <c r="LI69" s="12">
        <f t="shared" si="600"/>
        <v>0</v>
      </c>
      <c r="LJ69" s="12">
        <f t="shared" si="601"/>
        <v>0</v>
      </c>
      <c r="LK69" s="12">
        <f t="shared" si="602"/>
        <v>0</v>
      </c>
      <c r="LL69" s="12">
        <f t="shared" si="603"/>
        <v>0</v>
      </c>
      <c r="LM69" s="12">
        <f t="shared" si="604"/>
        <v>0</v>
      </c>
      <c r="LO69" t="s">
        <v>1303</v>
      </c>
      <c r="LP69">
        <f>_xlfn.XLOOKUP(LO69,'KPI Impacts'!$B$2:$H$2,'KPI Impacts'!$B69:$H69)</f>
        <v>0</v>
      </c>
      <c r="LQ69" s="35" t="s">
        <v>1303</v>
      </c>
      <c r="LR69">
        <f>_xlfn.XLOOKUP(LQ69,'KPI Impacts'!$B$2:$H$2,'KPI Impacts'!$B69:$H69)</f>
        <v>0</v>
      </c>
      <c r="LU69" s="12">
        <f t="shared" si="605"/>
        <v>0</v>
      </c>
      <c r="LV69" s="12">
        <f t="shared" si="606"/>
        <v>0</v>
      </c>
      <c r="LW69" s="12">
        <f t="shared" si="607"/>
        <v>0</v>
      </c>
      <c r="LX69" s="12">
        <f t="shared" si="608"/>
        <v>0</v>
      </c>
      <c r="LY69" s="12">
        <f t="shared" si="609"/>
        <v>0</v>
      </c>
      <c r="LZ69" s="12">
        <f t="shared" si="610"/>
        <v>0</v>
      </c>
      <c r="MA69" s="12">
        <f t="shared" si="611"/>
        <v>0</v>
      </c>
      <c r="MB69" s="12">
        <f t="shared" si="612"/>
        <v>0</v>
      </c>
      <c r="MC69" s="12">
        <f t="shared" si="613"/>
        <v>0</v>
      </c>
      <c r="ME69" t="s">
        <v>1303</v>
      </c>
      <c r="MF69">
        <f>_xlfn.XLOOKUP(ME69,'KPI Impacts'!$B$2:$H$2,'KPI Impacts'!$B69:$H69)</f>
        <v>0</v>
      </c>
      <c r="MG69" s="35" t="s">
        <v>1303</v>
      </c>
      <c r="MH69">
        <f>_xlfn.XLOOKUP(MG69,'KPI Impacts'!$B$2:$H$2,'KPI Impacts'!$B69:$H69)</f>
        <v>0</v>
      </c>
      <c r="MK69" s="12">
        <f t="shared" si="614"/>
        <v>0</v>
      </c>
      <c r="ML69" s="12">
        <f t="shared" si="615"/>
        <v>0</v>
      </c>
      <c r="MM69" s="12">
        <f t="shared" si="616"/>
        <v>0</v>
      </c>
      <c r="MN69" s="12">
        <f t="shared" si="617"/>
        <v>0</v>
      </c>
      <c r="MO69" s="12">
        <f t="shared" si="618"/>
        <v>0</v>
      </c>
      <c r="MP69" s="12">
        <f t="shared" si="619"/>
        <v>0</v>
      </c>
      <c r="MQ69" s="12">
        <f t="shared" si="620"/>
        <v>0</v>
      </c>
      <c r="MR69" s="12">
        <f t="shared" si="621"/>
        <v>0</v>
      </c>
      <c r="MS69" s="12">
        <f t="shared" si="622"/>
        <v>0</v>
      </c>
      <c r="MU69" t="s">
        <v>1303</v>
      </c>
      <c r="MV69">
        <f>_xlfn.XLOOKUP(MU69,'KPI Impacts'!$B$2:$H$2,'KPI Impacts'!$B69:$H69)</f>
        <v>0</v>
      </c>
      <c r="MW69" s="35" t="s">
        <v>1303</v>
      </c>
      <c r="MX69">
        <f>_xlfn.XLOOKUP(MW69,'KPI Impacts'!$B$2:$H$2,'KPI Impacts'!$B69:$H69)</f>
        <v>0</v>
      </c>
      <c r="NA69" s="12">
        <f t="shared" si="623"/>
        <v>0</v>
      </c>
      <c r="NB69" s="12">
        <f t="shared" si="624"/>
        <v>0</v>
      </c>
      <c r="NC69" s="12">
        <f t="shared" si="625"/>
        <v>0</v>
      </c>
      <c r="ND69" s="12">
        <f t="shared" si="626"/>
        <v>0</v>
      </c>
      <c r="NE69" s="12">
        <f t="shared" si="627"/>
        <v>0</v>
      </c>
      <c r="NF69" s="12">
        <f t="shared" si="628"/>
        <v>0</v>
      </c>
      <c r="NG69" s="12">
        <f t="shared" si="629"/>
        <v>0</v>
      </c>
      <c r="NH69" s="12">
        <f t="shared" si="630"/>
        <v>0</v>
      </c>
      <c r="NI69" s="12">
        <f t="shared" si="631"/>
        <v>0</v>
      </c>
      <c r="NK69" t="s">
        <v>1303</v>
      </c>
      <c r="NL69">
        <f>_xlfn.XLOOKUP(NK69,'KPI Impacts'!$B$2:$H$2,'KPI Impacts'!$B69:$H69)</f>
        <v>0</v>
      </c>
      <c r="NM69" s="35" t="s">
        <v>1303</v>
      </c>
      <c r="NN69">
        <f>_xlfn.XLOOKUP(NM69,'KPI Impacts'!$B$2:$H$2,'KPI Impacts'!$B69:$H69)</f>
        <v>0</v>
      </c>
      <c r="NQ69" s="12">
        <f t="shared" si="632"/>
        <v>0</v>
      </c>
      <c r="NR69" s="12">
        <f t="shared" si="633"/>
        <v>0</v>
      </c>
      <c r="NS69" s="12">
        <f t="shared" si="634"/>
        <v>0</v>
      </c>
      <c r="NT69" s="12">
        <f t="shared" si="635"/>
        <v>0</v>
      </c>
      <c r="NU69" s="12">
        <f t="shared" si="636"/>
        <v>0</v>
      </c>
      <c r="NV69" s="12">
        <f t="shared" si="637"/>
        <v>0</v>
      </c>
      <c r="NW69" s="12">
        <f t="shared" si="638"/>
        <v>0</v>
      </c>
      <c r="NX69" s="12">
        <f t="shared" si="639"/>
        <v>0</v>
      </c>
      <c r="NY69" s="12">
        <f t="shared" si="640"/>
        <v>0</v>
      </c>
      <c r="OA69" t="s">
        <v>1303</v>
      </c>
      <c r="OB69">
        <f>_xlfn.XLOOKUP(OA69,'KPI Impacts'!$B$2:$H$2,'KPI Impacts'!$B69:$H69)</f>
        <v>0</v>
      </c>
      <c r="OC69" s="35" t="s">
        <v>1303</v>
      </c>
      <c r="OD69">
        <f>_xlfn.XLOOKUP(OC69,'KPI Impacts'!$B$2:$H$2,'KPI Impacts'!$B69:$H69)</f>
        <v>0</v>
      </c>
      <c r="OG69" s="12">
        <f t="shared" si="641"/>
        <v>0</v>
      </c>
      <c r="OH69" s="12">
        <f t="shared" si="642"/>
        <v>0</v>
      </c>
      <c r="OI69" s="12">
        <f t="shared" si="643"/>
        <v>0</v>
      </c>
      <c r="OJ69" s="12">
        <f t="shared" si="644"/>
        <v>0</v>
      </c>
      <c r="OK69" s="12">
        <f t="shared" si="645"/>
        <v>0</v>
      </c>
      <c r="OL69" s="12">
        <f t="shared" si="646"/>
        <v>0</v>
      </c>
      <c r="OM69" s="12">
        <f t="shared" si="647"/>
        <v>0</v>
      </c>
      <c r="ON69" s="12">
        <f t="shared" si="648"/>
        <v>0</v>
      </c>
      <c r="OO69" s="12">
        <f t="shared" si="649"/>
        <v>0</v>
      </c>
      <c r="OQ69" t="s">
        <v>1303</v>
      </c>
      <c r="OR69">
        <f>_xlfn.XLOOKUP(OQ69,'KPI Impacts'!$B$2:$H$2,'KPI Impacts'!$B69:$H69)</f>
        <v>0</v>
      </c>
      <c r="OS69" s="35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9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9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9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9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9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9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16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9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9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9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9"/>
      <c r="IC70" s="12"/>
      <c r="ID70" s="12"/>
      <c r="IE70" s="12"/>
      <c r="IF70" s="12"/>
      <c r="IG70" s="12"/>
      <c r="IH70" s="12"/>
      <c r="II70" s="12"/>
      <c r="IJ70" s="12"/>
      <c r="IK70" s="12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9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9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9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9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9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9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16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9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9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9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9"/>
      <c r="IC71" s="12"/>
      <c r="ID71" s="12"/>
      <c r="IE71" s="12"/>
      <c r="IF71" s="12"/>
      <c r="IG71" s="12"/>
      <c r="IH71" s="12"/>
      <c r="II71" s="12"/>
      <c r="IJ71" s="12"/>
      <c r="IK71" s="12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9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9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9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9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9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9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16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9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9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9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9"/>
      <c r="IC72" s="12"/>
      <c r="ID72" s="12"/>
      <c r="IE72" s="12"/>
      <c r="IF72" s="12"/>
      <c r="IG72" s="12"/>
      <c r="IH72" s="12"/>
      <c r="II72" s="12"/>
      <c r="IJ72" s="12"/>
      <c r="IK72" s="12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>M73+Y73+AQ73+BI73+BY73+CO73+DE73+DU73+EK73+FA73+FQ73+GG73+GW73+HM73+IC73+IS73+JI73+JY73+KO73+LE73+LU73+MK73+NA73+NQ73+OG73</f>
        <v>0</v>
      </c>
      <c r="C73" s="12">
        <f t="shared" ref="C73:C76" si="656">N73+Z73+AR73+BJ73+BZ73+CP73+DF73+DV73+EL73+FB73+FR73+GH73+GX73+HN73+ID73+IT73+JJ73+JZ73+KP73+LF73+LV73+ML73+NB73+NR73+OH73</f>
        <v>0</v>
      </c>
      <c r="D73" s="12">
        <f t="shared" ref="D73:D76" si="657">O73+AA73+AS73+BK73+CA73+CQ73+DG73+DW73+EM73+FC73+FS73+GI73+GY73+HO73+IE73+IU73+JK73+KA73+KQ73+LG73+LW73+MM73+NC73+NS73+OI73</f>
        <v>0</v>
      </c>
      <c r="E73" s="12">
        <f t="shared" ref="E73:E76" si="658">P73+AB73+AT73+BL73+CB73+CR73+DH73+DX73+EN73+FD73+FT73+GJ73+GZ73+HP73+IF73+IV73+JL73+KB73+KR73+LH73+LX73+MN73+ND73+NT73+OJ73</f>
        <v>0</v>
      </c>
      <c r="F73" s="12">
        <f t="shared" ref="F73:F76" si="659">Q73+AC73+AU73+BM73+CC73+CS73+DI73+DY73+EO73+FE73+FU73+GK73+HA73+HQ73+IG73+IW73+JM73+KC73+KS73+LI73+LY73+MO73+NE73+NU73+OK73</f>
        <v>0</v>
      </c>
      <c r="G73" s="12">
        <f t="shared" ref="G73:G76" si="660">R73+AD73+AV73+BN73+CD73+CT73+DJ73+DZ73+EP73+FF73+FV73+GL73+HB73+HR73+IH73+IX73+JN73+KD73+KT73+LJ73+LZ73+MP73+NF73+NV73+OL73</f>
        <v>0</v>
      </c>
      <c r="H73" s="12">
        <f t="shared" ref="H73:H76" si="661">S73+AE73+AW73+BO73+CE73+CU73+DK73+EA73+EQ73+FG73+FW73+GM73+HC73+HS73+II73+IY73+JO73+KE73+KU73+LK73+MA73+MQ73+NG73+NW73+OM73</f>
        <v>0</v>
      </c>
      <c r="I73" s="12">
        <f t="shared" ref="I73:J76" si="662">AF73+AX73+BP73+CF73+CV73+DL73+EB73+ER73+FH73+FX73+GN73+HD73+HT73+IJ73+IZ73+JP73+KF73+KV73+LL73+MB73+MR73+NH73+NX73+ON73</f>
        <v>0</v>
      </c>
      <c r="J73" s="12">
        <f t="shared" si="662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1309</v>
      </c>
      <c r="V73">
        <f>_xlfn.XLOOKUP(U73,'KPI Impacts'!$B$2:$H$2,'KPI Impacts'!$B73:$H73)</f>
        <v>0.75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1307</v>
      </c>
      <c r="AJ73">
        <f>_xlfn.XLOOKUP(AI73,'KPI Impacts'!$K$2:$Q$2,'KPI Impacts'!$K73:$Q73)</f>
        <v>0.12</v>
      </c>
      <c r="AK73" t="s">
        <v>1307</v>
      </c>
      <c r="AL73">
        <f>_xlfn.XLOOKUP(AK73,'KPI Impacts'!$K$2:$Q$2,'KPI Impacts'!$K73:$Q73)</f>
        <v>0.12</v>
      </c>
      <c r="AM73" t="s">
        <v>1309</v>
      </c>
      <c r="AN73">
        <f>_xlfn.XLOOKUP(AM73,'KPI Impacts'!$K$2:$Q$2,'KPI Impacts'!$K73:$Q73)</f>
        <v>0.24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1307</v>
      </c>
      <c r="BB73">
        <f>_xlfn.XLOOKUP(BA73,'KPI Impacts'!$K$2:$Q$2,'KPI Impacts'!$K73:$Q73)</f>
        <v>0.12</v>
      </c>
      <c r="BC73" t="s">
        <v>1309</v>
      </c>
      <c r="BD73">
        <f>_xlfn.XLOOKUP(BC73,'KPI Impacts'!$K$2:$Q$2,'KPI Impacts'!$K73:$Q73)</f>
        <v>0.24</v>
      </c>
      <c r="BE73" t="s">
        <v>1308</v>
      </c>
      <c r="BF73">
        <f>_xlfn.XLOOKUP(BE73,'KPI Impacts'!$K$2:$Q$2,'KPI Impacts'!$K73:$Q73)</f>
        <v>0.36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30" t="s">
        <v>1309</v>
      </c>
      <c r="BT73">
        <f>_xlfn.XLOOKUP(BS73,'KPI Impacts'!$B$2:$H$2,'KPI Impacts'!$B73:$H73)</f>
        <v>0.75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30" t="s">
        <v>1309</v>
      </c>
      <c r="CJ73">
        <f>_xlfn.XLOOKUP(CI73,'KPI Impacts'!$B$2:$H$2,'KPI Impacts'!$B73:$H73)</f>
        <v>0.75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30" t="s">
        <v>1309</v>
      </c>
      <c r="CZ73">
        <f>_xlfn.XLOOKUP(CY73,'KPI Impacts'!$B$2:$H$2,'KPI Impacts'!$B73:$H73)</f>
        <v>0.75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30" t="s">
        <v>1309</v>
      </c>
      <c r="DP73">
        <f>_xlfn.XLOOKUP(DO73,'KPI Impacts'!$B$2:$H$2,'KPI Impacts'!$B73:$H73)</f>
        <v>0.75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29" t="s">
        <v>1304</v>
      </c>
      <c r="EF73">
        <f>_xlfn.XLOOKUP(EE73,'KPI Impacts'!$B$2:$H$2,'KPI Impacts'!$B73:$H73)</f>
        <v>-0.32000000000000006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30" t="s">
        <v>1307</v>
      </c>
      <c r="EV73">
        <f>_xlfn.XLOOKUP(EU73,'KPI Impacts'!$B$2:$H$2,'KPI Impacts'!$B73:$H73)</f>
        <v>0.4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30" t="s">
        <v>1309</v>
      </c>
      <c r="FL73">
        <f>_xlfn.XLOOKUP(FK73,'KPI Impacts'!$B$2:$H$2,'KPI Impacts'!$B73:$H73)</f>
        <v>0.75</v>
      </c>
      <c r="FM73" s="30" t="s">
        <v>1308</v>
      </c>
      <c r="FN73">
        <f>_xlfn.XLOOKUP(FM73,'KPI Impacts'!$B$2:$H$2,'KPI Impacts'!$B73:$H73)</f>
        <v>1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30" t="s">
        <v>1309</v>
      </c>
      <c r="GR73">
        <f>_xlfn.XLOOKUP(GQ73,'KPI Impacts'!$B$2:$H$2,'KPI Impacts'!$B73:$H73)</f>
        <v>0.75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30" t="s">
        <v>1308</v>
      </c>
      <c r="HH73">
        <f>_xlfn.XLOOKUP(HG73,'KPI Impacts'!$B$2:$H$2,'KPI Impacts'!$B73:$H73)</f>
        <v>1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30" t="s">
        <v>1308</v>
      </c>
      <c r="HX73">
        <f>_xlfn.XLOOKUP(HW73,'KPI Impacts'!$B$2:$H$2,'KPI Impacts'!$B73:$H73)</f>
        <v>1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t="s">
        <v>1303</v>
      </c>
      <c r="IN73">
        <f>_xlfn.XLOOKUP(IM73,'KPI Impacts'!$B$2:$H$2,'KPI Impacts'!$B73:$H73)</f>
        <v>0</v>
      </c>
      <c r="IO73" s="35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t="s">
        <v>1303</v>
      </c>
      <c r="JD73">
        <f>_xlfn.XLOOKUP(JC73,'KPI Impacts'!$B$2:$H$2,'KPI Impacts'!$B73:$H73)</f>
        <v>0</v>
      </c>
      <c r="JE73" s="35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35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35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35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35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35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35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35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35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35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>M74+Y74+AQ74+BI74+BY74+CO74+DE74+DU74+EK74+FA74+FQ74+GG74+GW74+HM74+IC74+IS74+JI74+JY74+KO74+LE74+LU74+MK74+NA74+NQ74+OG74</f>
        <v>0</v>
      </c>
      <c r="C74" s="12">
        <f t="shared" si="656"/>
        <v>0</v>
      </c>
      <c r="D74" s="12">
        <f t="shared" si="657"/>
        <v>0</v>
      </c>
      <c r="E74" s="12">
        <f t="shared" si="658"/>
        <v>0</v>
      </c>
      <c r="F74" s="12">
        <f t="shared" si="659"/>
        <v>0</v>
      </c>
      <c r="G74" s="12">
        <f t="shared" si="660"/>
        <v>0</v>
      </c>
      <c r="H74" s="12">
        <f t="shared" si="661"/>
        <v>0</v>
      </c>
      <c r="I74" s="12">
        <f t="shared" si="662"/>
        <v>0</v>
      </c>
      <c r="J74" s="12">
        <f t="shared" si="662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1309</v>
      </c>
      <c r="V74">
        <f>_xlfn.XLOOKUP(U74,'KPI Impacts'!$B$2:$H$2,'KPI Impacts'!$B74:$H74)</f>
        <v>4000000000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1307</v>
      </c>
      <c r="AJ74">
        <f>_xlfn.XLOOKUP(AI74,'KPI Impacts'!$K$2:$Q$2,'KPI Impacts'!$K74:$Q74)</f>
        <v>1200000000</v>
      </c>
      <c r="AK74" t="s">
        <v>1309</v>
      </c>
      <c r="AL74">
        <f>_xlfn.XLOOKUP(AK74,'KPI Impacts'!$K$2:$Q$2,'KPI Impacts'!$K74:$Q74)</f>
        <v>2400000000</v>
      </c>
      <c r="AM74" t="s">
        <v>1308</v>
      </c>
      <c r="AN74">
        <f>_xlfn.XLOOKUP(AM74,'KPI Impacts'!$K$2:$Q$2,'KPI Impacts'!$K74:$Q74)</f>
        <v>3600000000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30" t="s">
        <v>1307</v>
      </c>
      <c r="BT74">
        <f>_xlfn.XLOOKUP(BS74,'KPI Impacts'!$B$2:$H$2,'KPI Impacts'!$B74:$H74)</f>
        <v>2000000000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30" t="s">
        <v>1309</v>
      </c>
      <c r="CZ74">
        <f>_xlfn.XLOOKUP(CY74,'KPI Impacts'!$B$2:$H$2,'KPI Impacts'!$B74:$H74)</f>
        <v>4000000000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30" t="s">
        <v>1308</v>
      </c>
      <c r="DP74">
        <f>_xlfn.XLOOKUP(DO74,'KPI Impacts'!$B$2:$H$2,'KPI Impacts'!$B74:$H74)</f>
        <v>6000000000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29" t="s">
        <v>1304</v>
      </c>
      <c r="EF74">
        <f>_xlfn.XLOOKUP(EE74,'KPI Impacts'!$B$2:$H$2,'KPI Impacts'!$B74:$H74)</f>
        <v>-1600000000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30" t="s">
        <v>1307</v>
      </c>
      <c r="EV74">
        <f>_xlfn.XLOOKUP(EU74,'KPI Impacts'!$B$2:$H$2,'KPI Impacts'!$B74:$H74)</f>
        <v>2000000000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30" t="s">
        <v>1307</v>
      </c>
      <c r="FL74">
        <f>_xlfn.XLOOKUP(FK74,'KPI Impacts'!$B$2:$H$2,'KPI Impacts'!$B74:$H74)</f>
        <v>2000000000</v>
      </c>
      <c r="FM74" s="30" t="s">
        <v>1309</v>
      </c>
      <c r="FN74">
        <f>_xlfn.XLOOKUP(FM74,'KPI Impacts'!$B$2:$H$2,'KPI Impacts'!$B74:$H74)</f>
        <v>4000000000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29" t="s">
        <v>1306</v>
      </c>
      <c r="GR74">
        <f>_xlfn.XLOOKUP(GQ74,'KPI Impacts'!$B$2:$H$2,'KPI Impacts'!$B74:$H74)</f>
        <v>-3200000000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30" t="s">
        <v>1309</v>
      </c>
      <c r="HH74">
        <f>_xlfn.XLOOKUP(HG74,'KPI Impacts'!$B$2:$H$2,'KPI Impacts'!$B74:$H74)</f>
        <v>4000000000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30" t="s">
        <v>1308</v>
      </c>
      <c r="HX74">
        <f>_xlfn.XLOOKUP(HW74,'KPI Impacts'!$B$2:$H$2,'KPI Impacts'!$B74:$H74)</f>
        <v>6000000000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t="s">
        <v>1303</v>
      </c>
      <c r="IN74">
        <f>_xlfn.XLOOKUP(IM74,'KPI Impacts'!$B$2:$H$2,'KPI Impacts'!$B74:$H74)</f>
        <v>0</v>
      </c>
      <c r="IO74" s="35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t="s">
        <v>1303</v>
      </c>
      <c r="JD74">
        <f>_xlfn.XLOOKUP(JC74,'KPI Impacts'!$B$2:$H$2,'KPI Impacts'!$B74:$H74)</f>
        <v>0</v>
      </c>
      <c r="JE74" s="35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35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35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35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35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35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35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35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35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35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>M75+Y75+AQ75+BI75+BY75+CO75+DE75+DU75+EK75+FA75+FQ75+GG75+GW75+HM75+IC75+IS75+JI75+JY75+KO75+LE75+LU75+MK75+NA75+NQ75+OG75</f>
        <v>0</v>
      </c>
      <c r="C75" s="12">
        <f t="shared" si="656"/>
        <v>0</v>
      </c>
      <c r="D75" s="12">
        <f t="shared" si="657"/>
        <v>0</v>
      </c>
      <c r="E75" s="12">
        <f t="shared" si="658"/>
        <v>0</v>
      </c>
      <c r="F75" s="12">
        <f t="shared" si="659"/>
        <v>0</v>
      </c>
      <c r="G75" s="12">
        <f t="shared" si="660"/>
        <v>0</v>
      </c>
      <c r="H75" s="12">
        <f t="shared" si="661"/>
        <v>0</v>
      </c>
      <c r="I75" s="12">
        <f t="shared" si="662"/>
        <v>0</v>
      </c>
      <c r="J75" s="12">
        <f t="shared" si="662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1307</v>
      </c>
      <c r="V75">
        <f>_xlfn.XLOOKUP(U75,'KPI Impacts'!$B$2:$H$2,'KPI Impacts'!$B75:$H75)</f>
        <v>25000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1307</v>
      </c>
      <c r="AL75">
        <f>_xlfn.XLOOKUP(AK75,'KPI Impacts'!$K$2:$Q$2,'KPI Impacts'!$K75:$Q75)</f>
        <v>30000</v>
      </c>
      <c r="AM75" t="s">
        <v>1309</v>
      </c>
      <c r="AN75">
        <f>_xlfn.XLOOKUP(AM75,'KPI Impacts'!$K$2:$Q$2,'KPI Impacts'!$K75:$Q75)</f>
        <v>90000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1307</v>
      </c>
      <c r="BB75">
        <f>_xlfn.XLOOKUP(BA75,'KPI Impacts'!$K$2:$Q$2,'KPI Impacts'!$K75:$Q75)</f>
        <v>30000</v>
      </c>
      <c r="BC75" t="s">
        <v>1309</v>
      </c>
      <c r="BD75">
        <f>_xlfn.XLOOKUP(BC75,'KPI Impacts'!$K$2:$Q$2,'KPI Impacts'!$K75:$Q75)</f>
        <v>90000</v>
      </c>
      <c r="BE75" t="s">
        <v>1308</v>
      </c>
      <c r="BF75">
        <f>_xlfn.XLOOKUP(BE75,'KPI Impacts'!$K$2:$Q$2,'KPI Impacts'!$K75:$Q75)</f>
        <v>90000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30" t="s">
        <v>1307</v>
      </c>
      <c r="BT75">
        <f>_xlfn.XLOOKUP(BS75,'KPI Impacts'!$B$2:$H$2,'KPI Impacts'!$B75:$H75)</f>
        <v>25000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30" t="s">
        <v>1307</v>
      </c>
      <c r="CZ75">
        <f>_xlfn.XLOOKUP(CY75,'KPI Impacts'!$B$2:$H$2,'KPI Impacts'!$B75:$H75)</f>
        <v>25000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30" t="s">
        <v>1307</v>
      </c>
      <c r="DP75">
        <f>_xlfn.XLOOKUP(DO75,'KPI Impacts'!$B$2:$H$2,'KPI Impacts'!$B75:$H75)</f>
        <v>25000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30" t="s">
        <v>1307</v>
      </c>
      <c r="EV75">
        <f>_xlfn.XLOOKUP(EU75,'KPI Impacts'!$B$2:$H$2,'KPI Impacts'!$B75:$H75)</f>
        <v>25000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0" t="s">
        <v>1307</v>
      </c>
      <c r="FN75">
        <f>_xlfn.XLOOKUP(FM75,'KPI Impacts'!$B$2:$H$2,'KPI Impacts'!$B75:$H75)</f>
        <v>25000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30" t="s">
        <v>1309</v>
      </c>
      <c r="GR75">
        <f>_xlfn.XLOOKUP(GQ75,'KPI Impacts'!$B$2:$H$2,'KPI Impacts'!$B75:$H75)</f>
        <v>50000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30" t="s">
        <v>1307</v>
      </c>
      <c r="HH75">
        <f>_xlfn.XLOOKUP(HG75,'KPI Impacts'!$B$2:$H$2,'KPI Impacts'!$B75:$H75)</f>
        <v>25000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30" t="s">
        <v>1307</v>
      </c>
      <c r="HX75">
        <f>_xlfn.XLOOKUP(HW75,'KPI Impacts'!$B$2:$H$2,'KPI Impacts'!$B75:$H75)</f>
        <v>25000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t="s">
        <v>1303</v>
      </c>
      <c r="IN75">
        <f>_xlfn.XLOOKUP(IM75,'KPI Impacts'!$B$2:$H$2,'KPI Impacts'!$B75:$H75)</f>
        <v>0</v>
      </c>
      <c r="IO75" s="35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t="s">
        <v>1303</v>
      </c>
      <c r="JD75">
        <f>_xlfn.XLOOKUP(JC75,'KPI Impacts'!$B$2:$H$2,'KPI Impacts'!$B75:$H75)</f>
        <v>0</v>
      </c>
      <c r="JE75" s="35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35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35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35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35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35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35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35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35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35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>M76+Y76+AQ76+BI76+BY76+CO76+DE76+DU76+EK76+FA76+FQ76+GG76+GW76+HM76+IC76+IS76+JI76+JY76+KO76+LE76+LU76+MK76+NA76+NQ76+OG76</f>
        <v>0</v>
      </c>
      <c r="C76" s="12">
        <f t="shared" si="656"/>
        <v>0</v>
      </c>
      <c r="D76" s="12">
        <f t="shared" si="657"/>
        <v>0</v>
      </c>
      <c r="E76" s="12">
        <f t="shared" si="658"/>
        <v>0</v>
      </c>
      <c r="F76" s="12">
        <f t="shared" si="659"/>
        <v>0</v>
      </c>
      <c r="G76" s="12">
        <f t="shared" si="660"/>
        <v>0</v>
      </c>
      <c r="H76" s="12">
        <f t="shared" si="661"/>
        <v>0</v>
      </c>
      <c r="I76" s="12">
        <f t="shared" si="662"/>
        <v>0</v>
      </c>
      <c r="J76" s="12">
        <f t="shared" si="662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1307</v>
      </c>
      <c r="BD76">
        <f>_xlfn.XLOOKUP(BC76,'KPI Impacts'!$K$2:$Q$2,'KPI Impacts'!$K76:$Q76)</f>
        <v>30000</v>
      </c>
      <c r="BE76" t="s">
        <v>1307</v>
      </c>
      <c r="BF76">
        <f>_xlfn.XLOOKUP(BE76,'KPI Impacts'!$K$2:$Q$2,'KPI Impacts'!$K76:$Q76)</f>
        <v>30000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29" t="s">
        <v>1306</v>
      </c>
      <c r="EF76">
        <f>_xlfn.XLOOKUP(EE76,'KPI Impacts'!$B$2:$H$2,'KPI Impacts'!$B76:$H76)</f>
        <v>-80000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16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30" t="s">
        <v>1307</v>
      </c>
      <c r="GB76">
        <f>_xlfn.XLOOKUP(GA76,'KPI Impacts'!$B$2:$H$2,'KPI Impacts'!$B76:$H76)</f>
        <v>50000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30" t="s">
        <v>1309</v>
      </c>
      <c r="HX76">
        <f>_xlfn.XLOOKUP(HW76,'KPI Impacts'!$B$2:$H$2,'KPI Impacts'!$B76:$H76)</f>
        <v>100000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t="s">
        <v>1303</v>
      </c>
      <c r="IN76">
        <f>_xlfn.XLOOKUP(IM76,'KPI Impacts'!$B$2:$H$2,'KPI Impacts'!$B76:$H76)</f>
        <v>0</v>
      </c>
      <c r="IO76" s="35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t="s">
        <v>1303</v>
      </c>
      <c r="JD76">
        <f>_xlfn.XLOOKUP(JC76,'KPI Impacts'!$B$2:$H$2,'KPI Impacts'!$B76:$H76)</f>
        <v>0</v>
      </c>
      <c r="JE76" s="35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35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35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35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35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35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35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35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35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35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U77" s="9"/>
      <c r="BY77" s="12"/>
      <c r="BZ77" s="12"/>
      <c r="CA77" s="12"/>
      <c r="CB77" s="12"/>
      <c r="CC77" s="12"/>
      <c r="CD77" s="12"/>
      <c r="CE77" s="12"/>
      <c r="CF77" s="12"/>
      <c r="CG77" s="12"/>
      <c r="CK77" s="9"/>
      <c r="CO77" s="12"/>
      <c r="CP77" s="12"/>
      <c r="CQ77" s="12"/>
      <c r="CR77" s="12"/>
      <c r="CS77" s="12"/>
      <c r="CT77" s="12"/>
      <c r="CU77" s="12"/>
      <c r="CV77" s="12"/>
      <c r="CW77" s="12"/>
      <c r="DA77" s="9"/>
      <c r="DE77" s="12"/>
      <c r="DF77" s="12"/>
      <c r="DG77" s="12"/>
      <c r="DH77" s="12"/>
      <c r="DI77" s="12"/>
      <c r="DJ77" s="12"/>
      <c r="DK77" s="12"/>
      <c r="DL77" s="12"/>
      <c r="DM77" s="12"/>
      <c r="DQ77" s="9"/>
      <c r="DU77" s="12"/>
      <c r="DV77" s="12"/>
      <c r="DW77" s="12"/>
      <c r="DX77" s="12"/>
      <c r="DY77" s="12"/>
      <c r="DZ77" s="12"/>
      <c r="EA77" s="12"/>
      <c r="EB77" s="12"/>
      <c r="EC77" s="12"/>
      <c r="EG77" s="9"/>
      <c r="EK77" s="12"/>
      <c r="EL77" s="12"/>
      <c r="EM77" s="12"/>
      <c r="EN77" s="12"/>
      <c r="EO77" s="12"/>
      <c r="EP77" s="12"/>
      <c r="EQ77" s="12"/>
      <c r="ER77" s="12"/>
      <c r="ES77" s="12"/>
      <c r="EW77" s="9"/>
      <c r="FA77" s="12"/>
      <c r="FB77" s="12"/>
      <c r="FC77" s="12"/>
      <c r="FD77" s="12"/>
      <c r="FE77" s="12"/>
      <c r="FF77" s="12"/>
      <c r="FG77" s="12"/>
      <c r="FH77" s="12"/>
      <c r="FI77" s="12"/>
      <c r="FM77" s="9"/>
      <c r="FQ77" s="12"/>
      <c r="FR77" s="12"/>
      <c r="FS77" s="12"/>
      <c r="FT77" s="12"/>
      <c r="FU77" s="12"/>
      <c r="FV77" s="12"/>
      <c r="FW77" s="12"/>
      <c r="FX77" s="12"/>
      <c r="FY77" s="12"/>
      <c r="GC77" s="9"/>
      <c r="GG77" s="12"/>
      <c r="GH77" s="12"/>
      <c r="GI77" s="12"/>
      <c r="GJ77" s="12"/>
      <c r="GK77" s="12"/>
      <c r="GL77" s="12"/>
      <c r="GM77" s="12"/>
      <c r="GN77" s="12"/>
      <c r="GO77" s="12"/>
      <c r="GS77" s="9"/>
      <c r="GW77" s="12"/>
      <c r="GX77" s="12"/>
      <c r="GY77" s="12"/>
      <c r="GZ77" s="12"/>
      <c r="HA77" s="12"/>
      <c r="HB77" s="12"/>
      <c r="HC77" s="12"/>
      <c r="HD77" s="12"/>
      <c r="HE77" s="12"/>
      <c r="HI77" s="9"/>
      <c r="HM77" s="12"/>
      <c r="HN77" s="12"/>
      <c r="HO77" s="12"/>
      <c r="HP77" s="12"/>
      <c r="HQ77" s="12"/>
      <c r="HR77" s="12"/>
      <c r="HS77" s="12"/>
      <c r="HT77" s="12"/>
      <c r="HU77" s="12"/>
      <c r="HY77" s="9"/>
      <c r="IC77" s="12"/>
      <c r="ID77" s="12"/>
      <c r="IE77" s="12"/>
      <c r="IF77" s="12"/>
      <c r="IG77" s="12"/>
      <c r="IH77" s="12"/>
      <c r="II77" s="12"/>
      <c r="IJ77" s="12"/>
      <c r="IK77" s="12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U78" s="9"/>
      <c r="BY78" s="12"/>
      <c r="BZ78" s="12"/>
      <c r="CA78" s="12"/>
      <c r="CB78" s="12"/>
      <c r="CC78" s="12"/>
      <c r="CD78" s="12"/>
      <c r="CE78" s="12"/>
      <c r="CF78" s="12"/>
      <c r="CG78" s="12"/>
      <c r="CK78" s="9"/>
      <c r="CO78" s="12"/>
      <c r="CP78" s="12"/>
      <c r="CQ78" s="12"/>
      <c r="CR78" s="12"/>
      <c r="CS78" s="12"/>
      <c r="CT78" s="12"/>
      <c r="CU78" s="12"/>
      <c r="CV78" s="12"/>
      <c r="CW78" s="12"/>
      <c r="DA78" s="9"/>
      <c r="DE78" s="12"/>
      <c r="DF78" s="12"/>
      <c r="DG78" s="12"/>
      <c r="DH78" s="12"/>
      <c r="DI78" s="12"/>
      <c r="DJ78" s="12"/>
      <c r="DK78" s="12"/>
      <c r="DL78" s="12"/>
      <c r="DM78" s="12"/>
      <c r="DQ78" s="9"/>
      <c r="DU78" s="12"/>
      <c r="DV78" s="12"/>
      <c r="DW78" s="12"/>
      <c r="DX78" s="12"/>
      <c r="DY78" s="12"/>
      <c r="DZ78" s="12"/>
      <c r="EA78" s="12"/>
      <c r="EB78" s="12"/>
      <c r="EC78" s="12"/>
      <c r="EG78" s="9"/>
      <c r="EK78" s="12"/>
      <c r="EL78" s="12"/>
      <c r="EM78" s="12"/>
      <c r="EN78" s="12"/>
      <c r="EO78" s="12"/>
      <c r="EP78" s="12"/>
      <c r="EQ78" s="12"/>
      <c r="ER78" s="12"/>
      <c r="ES78" s="12"/>
      <c r="EW78" s="9"/>
      <c r="FA78" s="12"/>
      <c r="FB78" s="12"/>
      <c r="FC78" s="12"/>
      <c r="FD78" s="12"/>
      <c r="FE78" s="12"/>
      <c r="FF78" s="12"/>
      <c r="FG78" s="12"/>
      <c r="FH78" s="12"/>
      <c r="FI78" s="12"/>
      <c r="FM78" s="9"/>
      <c r="FQ78" s="12"/>
      <c r="FR78" s="12"/>
      <c r="FS78" s="12"/>
      <c r="FT78" s="12"/>
      <c r="FU78" s="12"/>
      <c r="FV78" s="12"/>
      <c r="FW78" s="12"/>
      <c r="FX78" s="12"/>
      <c r="FY78" s="12"/>
      <c r="GC78" s="9"/>
      <c r="GG78" s="12"/>
      <c r="GH78" s="12"/>
      <c r="GI78" s="12"/>
      <c r="GJ78" s="12"/>
      <c r="GK78" s="12"/>
      <c r="GL78" s="12"/>
      <c r="GM78" s="12"/>
      <c r="GN78" s="12"/>
      <c r="GO78" s="12"/>
      <c r="GS78" s="9"/>
      <c r="GW78" s="12"/>
      <c r="GX78" s="12"/>
      <c r="GY78" s="12"/>
      <c r="GZ78" s="12"/>
      <c r="HA78" s="12"/>
      <c r="HB78" s="12"/>
      <c r="HC78" s="12"/>
      <c r="HD78" s="12"/>
      <c r="HE78" s="12"/>
      <c r="HI78" s="9"/>
      <c r="HM78" s="12"/>
      <c r="HN78" s="12"/>
      <c r="HO78" s="12"/>
      <c r="HP78" s="12"/>
      <c r="HQ78" s="12"/>
      <c r="HR78" s="12"/>
      <c r="HS78" s="12"/>
      <c r="HT78" s="12"/>
      <c r="HU78" s="12"/>
      <c r="HY78" s="9"/>
      <c r="IC78" s="12"/>
      <c r="ID78" s="12"/>
      <c r="IE78" s="12"/>
      <c r="IF78" s="12"/>
      <c r="IG78" s="12"/>
      <c r="IH78" s="12"/>
      <c r="II78" s="12"/>
      <c r="IJ78" s="12"/>
      <c r="IK78" s="12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U79" s="9"/>
      <c r="BY79" s="12"/>
      <c r="BZ79" s="12"/>
      <c r="CA79" s="12"/>
      <c r="CB79" s="12"/>
      <c r="CC79" s="12"/>
      <c r="CD79" s="12"/>
      <c r="CE79" s="12"/>
      <c r="CF79" s="12"/>
      <c r="CG79" s="12"/>
      <c r="CK79" s="9"/>
      <c r="CO79" s="12"/>
      <c r="CP79" s="12"/>
      <c r="CQ79" s="12"/>
      <c r="CR79" s="12"/>
      <c r="CS79" s="12"/>
      <c r="CT79" s="12"/>
      <c r="CU79" s="12"/>
      <c r="CV79" s="12"/>
      <c r="CW79" s="12"/>
      <c r="DA79" s="9"/>
      <c r="DE79" s="12"/>
      <c r="DF79" s="12"/>
      <c r="DG79" s="12"/>
      <c r="DH79" s="12"/>
      <c r="DI79" s="12"/>
      <c r="DJ79" s="12"/>
      <c r="DK79" s="12"/>
      <c r="DL79" s="12"/>
      <c r="DM79" s="12"/>
      <c r="DQ79" s="9"/>
      <c r="DU79" s="12"/>
      <c r="DV79" s="12"/>
      <c r="DW79" s="12"/>
      <c r="DX79" s="12"/>
      <c r="DY79" s="12"/>
      <c r="DZ79" s="12"/>
      <c r="EA79" s="12"/>
      <c r="EB79" s="12"/>
      <c r="EC79" s="12"/>
      <c r="EG79" s="9"/>
      <c r="EK79" s="12"/>
      <c r="EL79" s="12"/>
      <c r="EM79" s="12"/>
      <c r="EN79" s="12"/>
      <c r="EO79" s="12"/>
      <c r="EP79" s="12"/>
      <c r="EQ79" s="12"/>
      <c r="ER79" s="12"/>
      <c r="ES79" s="12"/>
      <c r="EW79" s="9"/>
      <c r="FA79" s="12"/>
      <c r="FB79" s="12"/>
      <c r="FC79" s="12"/>
      <c r="FD79" s="12"/>
      <c r="FE79" s="12"/>
      <c r="FF79" s="12"/>
      <c r="FG79" s="12"/>
      <c r="FH79" s="12"/>
      <c r="FI79" s="12"/>
      <c r="FM79" s="9"/>
      <c r="FQ79" s="12"/>
      <c r="FR79" s="12"/>
      <c r="FS79" s="12"/>
      <c r="FT79" s="12"/>
      <c r="FU79" s="12"/>
      <c r="FV79" s="12"/>
      <c r="FW79" s="12"/>
      <c r="FX79" s="12"/>
      <c r="FY79" s="12"/>
      <c r="GC79" s="9"/>
      <c r="GG79" s="12"/>
      <c r="GH79" s="12"/>
      <c r="GI79" s="12"/>
      <c r="GJ79" s="12"/>
      <c r="GK79" s="12"/>
      <c r="GL79" s="12"/>
      <c r="GM79" s="12"/>
      <c r="GN79" s="12"/>
      <c r="GO79" s="12"/>
      <c r="GS79" s="9"/>
      <c r="GW79" s="12"/>
      <c r="GX79" s="12"/>
      <c r="GY79" s="12"/>
      <c r="GZ79" s="12"/>
      <c r="HA79" s="12"/>
      <c r="HB79" s="12"/>
      <c r="HC79" s="12"/>
      <c r="HD79" s="12"/>
      <c r="HE79" s="12"/>
      <c r="HI79" s="9"/>
      <c r="HM79" s="12"/>
      <c r="HN79" s="12"/>
      <c r="HO79" s="12"/>
      <c r="HP79" s="12"/>
      <c r="HQ79" s="12"/>
      <c r="HR79" s="12"/>
      <c r="HS79" s="12"/>
      <c r="HT79" s="12"/>
      <c r="HU79" s="12"/>
      <c r="HY79" s="9"/>
      <c r="IC79" s="12"/>
      <c r="ID79" s="12"/>
      <c r="IE79" s="12"/>
      <c r="IF79" s="12"/>
      <c r="IG79" s="12"/>
      <c r="IH79" s="12"/>
      <c r="II79" s="12"/>
      <c r="IJ79" s="12"/>
      <c r="IK79" s="12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U80" s="9"/>
      <c r="BY80" s="12"/>
      <c r="BZ80" s="12"/>
      <c r="CA80" s="12"/>
      <c r="CB80" s="12"/>
      <c r="CC80" s="12"/>
      <c r="CD80" s="12"/>
      <c r="CE80" s="12"/>
      <c r="CF80" s="12"/>
      <c r="CG80" s="12"/>
      <c r="CK80" s="9"/>
      <c r="CO80" s="12"/>
      <c r="CP80" s="12"/>
      <c r="CQ80" s="12"/>
      <c r="CR80" s="12"/>
      <c r="CS80" s="12"/>
      <c r="CT80" s="12"/>
      <c r="CU80" s="12"/>
      <c r="CV80" s="12"/>
      <c r="CW80" s="12"/>
      <c r="DA80" s="9"/>
      <c r="DE80" s="12"/>
      <c r="DF80" s="12"/>
      <c r="DG80" s="12"/>
      <c r="DH80" s="12"/>
      <c r="DI80" s="12"/>
      <c r="DJ80" s="12"/>
      <c r="DK80" s="12"/>
      <c r="DL80" s="12"/>
      <c r="DM80" s="12"/>
      <c r="DQ80" s="9"/>
      <c r="DU80" s="12"/>
      <c r="DV80" s="12"/>
      <c r="DW80" s="12"/>
      <c r="DX80" s="12"/>
      <c r="DY80" s="12"/>
      <c r="DZ80" s="12"/>
      <c r="EA80" s="12"/>
      <c r="EB80" s="12"/>
      <c r="EC80" s="12"/>
      <c r="EG80" s="9"/>
      <c r="EK80" s="12"/>
      <c r="EL80" s="12"/>
      <c r="EM80" s="12"/>
      <c r="EN80" s="12"/>
      <c r="EO80" s="12"/>
      <c r="EP80" s="12"/>
      <c r="EQ80" s="12"/>
      <c r="ER80" s="12"/>
      <c r="ES80" s="12"/>
      <c r="EW80" s="9"/>
      <c r="FA80" s="12"/>
      <c r="FB80" s="12"/>
      <c r="FC80" s="12"/>
      <c r="FD80" s="12"/>
      <c r="FE80" s="12"/>
      <c r="FF80" s="12"/>
      <c r="FG80" s="12"/>
      <c r="FH80" s="12"/>
      <c r="FI80" s="12"/>
      <c r="FM80" s="9"/>
      <c r="FQ80" s="12"/>
      <c r="FR80" s="12"/>
      <c r="FS80" s="12"/>
      <c r="FT80" s="12"/>
      <c r="FU80" s="12"/>
      <c r="FV80" s="12"/>
      <c r="FW80" s="12"/>
      <c r="FX80" s="12"/>
      <c r="FY80" s="12"/>
      <c r="GC80" s="9"/>
      <c r="GG80" s="12"/>
      <c r="GH80" s="12"/>
      <c r="GI80" s="12"/>
      <c r="GJ80" s="12"/>
      <c r="GK80" s="12"/>
      <c r="GL80" s="12"/>
      <c r="GM80" s="12"/>
      <c r="GN80" s="12"/>
      <c r="GO80" s="12"/>
      <c r="GS80" s="9"/>
      <c r="GW80" s="12"/>
      <c r="GX80" s="12"/>
      <c r="GY80" s="12"/>
      <c r="GZ80" s="12"/>
      <c r="HA80" s="12"/>
      <c r="HB80" s="12"/>
      <c r="HC80" s="12"/>
      <c r="HD80" s="12"/>
      <c r="HE80" s="12"/>
      <c r="HI80" s="9"/>
      <c r="HM80" s="12"/>
      <c r="HN80" s="12"/>
      <c r="HO80" s="12"/>
      <c r="HP80" s="12"/>
      <c r="HQ80" s="12"/>
      <c r="HR80" s="12"/>
      <c r="HS80" s="12"/>
      <c r="HT80" s="12"/>
      <c r="HU80" s="12"/>
      <c r="HY80" s="9"/>
      <c r="IC80" s="12"/>
      <c r="ID80" s="12"/>
      <c r="IE80" s="12"/>
      <c r="IF80" s="12"/>
      <c r="IG80" s="12"/>
      <c r="IH80" s="12"/>
      <c r="II80" s="12"/>
      <c r="IJ80" s="12"/>
      <c r="IK80" s="12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U81" s="9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K81" s="9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DA81" s="9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Q81" s="9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G81" s="9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W81" s="9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M81" s="9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C81" s="9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S81" s="9"/>
      <c r="GW81" s="12"/>
      <c r="GX81" s="12"/>
      <c r="GY81" s="12"/>
      <c r="GZ81" s="12"/>
      <c r="HA81" s="12"/>
      <c r="HB81" s="12"/>
      <c r="HC81" s="12"/>
      <c r="HD81" s="12"/>
      <c r="HE81" s="12"/>
      <c r="HI81" s="9"/>
      <c r="HM81" s="12"/>
      <c r="HN81" s="12"/>
      <c r="HO81" s="12"/>
      <c r="HP81" s="12"/>
      <c r="HQ81" s="12"/>
      <c r="HR81" s="12"/>
      <c r="HS81" s="12"/>
      <c r="HT81" s="12"/>
      <c r="HU81" s="12"/>
      <c r="HY81" s="9"/>
      <c r="IC81" s="12"/>
      <c r="ID81" s="12"/>
      <c r="IE81" s="12"/>
      <c r="IF81" s="12"/>
      <c r="IG81" s="12"/>
      <c r="IH81" s="12"/>
      <c r="II81" s="12"/>
      <c r="IJ81" s="12"/>
      <c r="IK81" s="12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U82" s="9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K82" s="9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DA82" s="9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Q82" s="9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G82" s="9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W82" s="9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M82" s="9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C82" s="9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S82" s="9"/>
      <c r="GW82" s="12"/>
      <c r="GX82" s="12"/>
      <c r="GY82" s="12"/>
      <c r="GZ82" s="12"/>
      <c r="HA82" s="12"/>
      <c r="HB82" s="12"/>
      <c r="HC82" s="12"/>
      <c r="HD82" s="12"/>
      <c r="HE82" s="12"/>
      <c r="HI82" s="9"/>
      <c r="HM82" s="12"/>
      <c r="HN82" s="12"/>
      <c r="HO82" s="12"/>
      <c r="HP82" s="12"/>
      <c r="HQ82" s="12"/>
      <c r="HR82" s="12"/>
      <c r="HS82" s="12"/>
      <c r="HT82" s="12"/>
      <c r="HU82" s="12"/>
      <c r="HY82" s="9"/>
      <c r="IC82" s="12"/>
      <c r="ID82" s="12"/>
      <c r="IE82" s="12"/>
      <c r="IF82" s="12"/>
      <c r="IG82" s="12"/>
      <c r="IH82" s="12"/>
      <c r="II82" s="12"/>
      <c r="IJ82" s="12"/>
      <c r="IK82" s="12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U83" s="9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K83" s="9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DA83" s="9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Q83" s="9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G83" s="9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W83" s="9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M83" s="9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C83" s="9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S83" s="9"/>
      <c r="GW83" s="12"/>
      <c r="GX83" s="12"/>
      <c r="GY83" s="12"/>
      <c r="GZ83" s="12"/>
      <c r="HA83" s="12"/>
      <c r="HB83" s="12"/>
      <c r="HC83" s="12"/>
      <c r="HD83" s="12"/>
      <c r="HE83" s="12"/>
      <c r="HI83" s="9"/>
      <c r="HM83" s="12"/>
      <c r="HN83" s="12"/>
      <c r="HO83" s="12"/>
      <c r="HP83" s="12"/>
      <c r="HQ83" s="12"/>
      <c r="HR83" s="12"/>
      <c r="HS83" s="12"/>
      <c r="HT83" s="12"/>
      <c r="HU83" s="12"/>
      <c r="HY83" s="9"/>
      <c r="IC83" s="12"/>
      <c r="ID83" s="12"/>
      <c r="IE83" s="12"/>
      <c r="IF83" s="12"/>
      <c r="IG83" s="12"/>
      <c r="IH83" s="12"/>
      <c r="II83" s="12"/>
      <c r="IJ83" s="12"/>
      <c r="IK83" s="12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>M84+Y84+AQ84+BI84+BY84+CO84+DE84+DU84+EK84+FA84+FQ84+GG84+GW84+HM84+IC84+IS84+JI84+JY84+KO84+LE84+LU84+MK84+NA84+NQ84+OG84</f>
        <v>0</v>
      </c>
      <c r="C84" s="12">
        <f t="shared" ref="C84:C86" si="663">N84+Z84+AR84+BJ84+BZ84+CP84+DF84+DV84+EL84+FB84+FR84+GH84+GX84+HN84+ID84+IT84+JJ84+JZ84+KP84+LF84+LV84+ML84+NB84+NR84+OH84</f>
        <v>0</v>
      </c>
      <c r="D84" s="12">
        <f t="shared" ref="D84:D86" si="664">O84+AA84+AS84+BK84+CA84+CQ84+DG84+DW84+EM84+FC84+FS84+GI84+GY84+HO84+IE84+IU84+JK84+KA84+KQ84+LG84+LW84+MM84+NC84+NS84+OI84</f>
        <v>0</v>
      </c>
      <c r="E84" s="12">
        <f t="shared" ref="E84:E86" si="665">P84+AB84+AT84+BL84+CB84+CR84+DH84+DX84+EN84+FD84+FT84+GJ84+GZ84+HP84+IF84+IV84+JL84+KB84+KR84+LH84+LX84+MN84+ND84+NT84+OJ84</f>
        <v>0</v>
      </c>
      <c r="F84" s="12">
        <f t="shared" ref="F84:F86" si="666">Q84+AC84+AU84+BM84+CC84+CS84+DI84+DY84+EO84+FE84+FU84+GK84+HA84+HQ84+IG84+IW84+JM84+KC84+KS84+LI84+LY84+MO84+NE84+NU84+OK84</f>
        <v>0</v>
      </c>
      <c r="G84" s="12">
        <f t="shared" ref="G84:G86" si="667">R84+AD84+AV84+BN84+CD84+CT84+DJ84+DZ84+EP84+FF84+FV84+GL84+HB84+HR84+IH84+IX84+JN84+KD84+KT84+LJ84+LZ84+MP84+NF84+NV84+OL84</f>
        <v>0</v>
      </c>
      <c r="H84" s="12">
        <f t="shared" ref="H84:H86" si="668">S84+AE84+AW84+BO84+CE84+CU84+DK84+EA84+EQ84+FG84+FW84+GM84+HC84+HS84+II84+IY84+JO84+KE84+KU84+LK84+MA84+MQ84+NG84+NW84+OM84</f>
        <v>0</v>
      </c>
      <c r="I84" s="12">
        <f t="shared" ref="I84:J86" si="669">AF84+AX84+BP84+CF84+CV84+DL84+EB84+ER84+FH84+FX84+GN84+HD84+HT84+IJ84+IZ84+JP84+KF84+KV84+LL84+MB84+MR84+NH84+NX84+ON84</f>
        <v>0</v>
      </c>
      <c r="J84" s="12">
        <f t="shared" si="669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t="s">
        <v>1303</v>
      </c>
      <c r="CJ84">
        <f>_xlfn.XLOOKUP(CI84,'KPI Impacts'!$B$2:$H$2,'KPI Impacts'!$B84:$H84)</f>
        <v>0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t="s">
        <v>1303</v>
      </c>
      <c r="GB84">
        <f>_xlfn.XLOOKUP(GA84,'KPI Impacts'!$B$2:$H$2,'KPI Impacts'!$B84:$H84)</f>
        <v>0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t="s">
        <v>1303</v>
      </c>
      <c r="GR84">
        <f>_xlfn.XLOOKUP(GQ84,'KPI Impacts'!$B$2:$H$2,'KPI Impacts'!$B84:$H84)</f>
        <v>0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t="s">
        <v>1303</v>
      </c>
      <c r="HH84">
        <f>_xlfn.XLOOKUP(HG84,'KPI Impacts'!$B$2:$H$2,'KPI Impacts'!$B84:$H84)</f>
        <v>0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t="s">
        <v>1303</v>
      </c>
      <c r="IN84">
        <f>_xlfn.XLOOKUP(IM84,'KPI Impacts'!$B$2:$H$2,'KPI Impacts'!$B84:$H84)</f>
        <v>0</v>
      </c>
      <c r="IO84" s="35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t="s">
        <v>1303</v>
      </c>
      <c r="JD84">
        <f>_xlfn.XLOOKUP(JC84,'KPI Impacts'!$B$2:$H$2,'KPI Impacts'!$B84:$H84)</f>
        <v>0</v>
      </c>
      <c r="JE84" s="35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35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35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35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35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35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35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35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35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35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>M85+Y85+AQ85+BI85+BY85+CO85+DE85+DU85+EK85+FA85+FQ85+GG85+GW85+HM85+IC85+IS85+JI85+JY85+KO85+LE85+LU85+MK85+NA85+NQ85+OG85</f>
        <v>0</v>
      </c>
      <c r="C85" s="12">
        <f t="shared" si="663"/>
        <v>0</v>
      </c>
      <c r="D85" s="12">
        <f t="shared" si="664"/>
        <v>0</v>
      </c>
      <c r="E85" s="12">
        <f t="shared" si="665"/>
        <v>0</v>
      </c>
      <c r="F85" s="12">
        <f t="shared" si="666"/>
        <v>0</v>
      </c>
      <c r="G85" s="12">
        <f t="shared" si="667"/>
        <v>0</v>
      </c>
      <c r="H85" s="12">
        <f t="shared" si="668"/>
        <v>0</v>
      </c>
      <c r="I85" s="12">
        <f t="shared" si="669"/>
        <v>0</v>
      </c>
      <c r="J85" s="12">
        <f t="shared" si="669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t="s">
        <v>1303</v>
      </c>
      <c r="GR85">
        <f>_xlfn.XLOOKUP(GQ85,'KPI Impacts'!$B$2:$H$2,'KPI Impacts'!$B85:$H85)</f>
        <v>0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t="s">
        <v>1303</v>
      </c>
      <c r="HH85">
        <f>_xlfn.XLOOKUP(HG85,'KPI Impacts'!$B$2:$H$2,'KPI Impacts'!$B85:$H85)</f>
        <v>0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t="s">
        <v>1303</v>
      </c>
      <c r="IN85">
        <f>_xlfn.XLOOKUP(IM85,'KPI Impacts'!$B$2:$H$2,'KPI Impacts'!$B85:$H85)</f>
        <v>0</v>
      </c>
      <c r="IO85" s="35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t="s">
        <v>1303</v>
      </c>
      <c r="JD85">
        <f>_xlfn.XLOOKUP(JC85,'KPI Impacts'!$B$2:$H$2,'KPI Impacts'!$B85:$H85)</f>
        <v>0</v>
      </c>
      <c r="JE85" s="35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35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35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35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35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35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35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35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35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35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>M86+Y86+AQ86+BI86+BY86+CO86+DE86+DU86+EK86+FA86+FQ86+GG86+GW86+HM86+IC86+IS86+JI86+JY86+KO86+LE86+LU86+MK86+NA86+NQ86+OG86</f>
        <v>0</v>
      </c>
      <c r="C86" s="12">
        <f t="shared" si="663"/>
        <v>0</v>
      </c>
      <c r="D86" s="12">
        <f t="shared" si="664"/>
        <v>0</v>
      </c>
      <c r="E86" s="12">
        <f t="shared" si="665"/>
        <v>0</v>
      </c>
      <c r="F86" s="12">
        <f t="shared" si="666"/>
        <v>0</v>
      </c>
      <c r="G86" s="12">
        <f t="shared" si="667"/>
        <v>0</v>
      </c>
      <c r="H86" s="12">
        <f t="shared" si="668"/>
        <v>0</v>
      </c>
      <c r="I86" s="12">
        <f t="shared" si="669"/>
        <v>0</v>
      </c>
      <c r="J86" s="12">
        <f t="shared" si="669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t="s">
        <v>1303</v>
      </c>
      <c r="CJ86">
        <f>_xlfn.XLOOKUP(CI86,'KPI Impacts'!$B$2:$H$2,'KPI Impacts'!$B86:$H86)</f>
        <v>0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t="s">
        <v>1303</v>
      </c>
      <c r="GR86">
        <f>_xlfn.XLOOKUP(GQ86,'KPI Impacts'!$B$2:$H$2,'KPI Impacts'!$B86:$H86)</f>
        <v>0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t="s">
        <v>1303</v>
      </c>
      <c r="HX86">
        <f>_xlfn.XLOOKUP(HW86,'KPI Impacts'!$B$2:$H$2,'KPI Impacts'!$B86:$H86)</f>
        <v>0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t="s">
        <v>1303</v>
      </c>
      <c r="IN86">
        <f>_xlfn.XLOOKUP(IM86,'KPI Impacts'!$B$2:$H$2,'KPI Impacts'!$B86:$H86)</f>
        <v>0</v>
      </c>
      <c r="IO86" s="35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t="s">
        <v>1303</v>
      </c>
      <c r="JD86">
        <f>_xlfn.XLOOKUP(JC86,'KPI Impacts'!$B$2:$H$2,'KPI Impacts'!$B86:$H86)</f>
        <v>0</v>
      </c>
      <c r="JE86" s="35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35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35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35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35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35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35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35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35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35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U87" s="9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K87" s="9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DA87" s="9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Q87" s="9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G87" s="9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W87" s="9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M87" s="9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C87" s="9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S87" s="9"/>
      <c r="GW87" s="12"/>
      <c r="GX87" s="12"/>
      <c r="GY87" s="12"/>
      <c r="GZ87" s="12"/>
      <c r="HA87" s="12"/>
      <c r="HB87" s="12"/>
      <c r="HC87" s="12"/>
      <c r="HD87" s="12"/>
      <c r="HE87" s="12"/>
      <c r="HI87" s="9"/>
      <c r="HM87" s="12"/>
      <c r="HN87" s="12"/>
      <c r="HO87" s="12"/>
      <c r="HP87" s="12"/>
      <c r="HQ87" s="12"/>
      <c r="HR87" s="12"/>
      <c r="HS87" s="12"/>
      <c r="HT87" s="12"/>
      <c r="HU87" s="12"/>
      <c r="HY87" s="9"/>
      <c r="IC87" s="12"/>
      <c r="ID87" s="12"/>
      <c r="IE87" s="12"/>
      <c r="IF87" s="12"/>
      <c r="IG87" s="12"/>
      <c r="IH87" s="12"/>
      <c r="II87" s="12"/>
      <c r="IJ87" s="12"/>
      <c r="IK87" s="12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>M88+Y88+AQ88+BI88+BY88+CO88+DE88+DU88+EK88+FA88+FQ88+GG88+GW88+HM88+IC88+IS88+JI88+JY88+KO88+LE88+LU88+MK88+NA88+NQ88+OG88</f>
        <v>0</v>
      </c>
      <c r="C88" s="12">
        <f t="shared" ref="C88" si="670">N88+Z88+AR88+BJ88+BZ88+CP88+DF88+DV88+EL88+FB88+FR88+GH88+GX88+HN88+ID88+IT88+JJ88+JZ88+KP88+LF88+LV88+ML88+NB88+NR88+OH88</f>
        <v>0</v>
      </c>
      <c r="D88" s="12">
        <f t="shared" ref="D88" si="671">O88+AA88+AS88+BK88+CA88+CQ88+DG88+DW88+EM88+FC88+FS88+GI88+GY88+HO88+IE88+IU88+JK88+KA88+KQ88+LG88+LW88+MM88+NC88+NS88+OI88</f>
        <v>0</v>
      </c>
      <c r="E88" s="12">
        <f t="shared" ref="E88" si="672">P88+AB88+AT88+BL88+CB88+CR88+DH88+DX88+EN88+FD88+FT88+GJ88+GZ88+HP88+IF88+IV88+JL88+KB88+KR88+LH88+LX88+MN88+ND88+NT88+OJ88</f>
        <v>0</v>
      </c>
      <c r="F88" s="12">
        <f t="shared" ref="F88" si="673">Q88+AC88+AU88+BM88+CC88+CS88+DI88+DY88+EO88+FE88+FU88+GK88+HA88+HQ88+IG88+IW88+JM88+KC88+KS88+LI88+LY88+MO88+NE88+NU88+OK88</f>
        <v>0</v>
      </c>
      <c r="G88" s="12">
        <f t="shared" ref="G88" si="674">R88+AD88+AV88+BN88+CD88+CT88+DJ88+DZ88+EP88+FF88+FV88+GL88+HB88+HR88+IH88+IX88+JN88+KD88+KT88+LJ88+LZ88+MP88+NF88+NV88+OL88</f>
        <v>0</v>
      </c>
      <c r="H88" s="12">
        <f t="shared" ref="H88" si="675">S88+AE88+AW88+BO88+CE88+CU88+DK88+EA88+EQ88+FG88+FW88+GM88+HC88+HS88+II88+IY88+JO88+KE88+KU88+LK88+MA88+MQ88+NG88+NW88+OM88</f>
        <v>0</v>
      </c>
      <c r="I88" s="12">
        <f>AF88+AX88+BP88+CF88+CV88+DL88+EB88+ER88+FH88+FX88+GN88+HD88+HT88+IJ88+IZ88+JP88+KF88+KV88+LL88+MB88+MR88+NH88+NX88+ON88</f>
        <v>0</v>
      </c>
      <c r="J88" s="12">
        <f>AG88+AY88+BQ88+CG88+CW88+DM88+EC88+ES88+FI88+FY88+GO88+HE88+HU88+IK88+JA88+JQ88+KG88+KW88+LM88+MC88+MS88+NI88+NY88+OO88</f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t="s">
        <v>1303</v>
      </c>
      <c r="CJ88">
        <f>_xlfn.XLOOKUP(CI88,'KPI Impacts'!$B$2:$H$2,'KPI Impacts'!$B88:$H88)</f>
        <v>0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t="s">
        <v>1303</v>
      </c>
      <c r="GB88">
        <f>_xlfn.XLOOKUP(GA88,'KPI Impacts'!$B$2:$H$2,'KPI Impacts'!$B88:$H88)</f>
        <v>0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t="s">
        <v>1303</v>
      </c>
      <c r="HX88">
        <f>_xlfn.XLOOKUP(HW88,'KPI Impacts'!$B$2:$H$2,'KPI Impacts'!$B88:$H88)</f>
        <v>0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t="s">
        <v>1303</v>
      </c>
      <c r="IN88">
        <f>_xlfn.XLOOKUP(IM88,'KPI Impacts'!$B$2:$H$2,'KPI Impacts'!$B88:$H88)</f>
        <v>0</v>
      </c>
      <c r="IO88" s="35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t="s">
        <v>1303</v>
      </c>
      <c r="JD88">
        <f>_xlfn.XLOOKUP(JC88,'KPI Impacts'!$B$2:$H$2,'KPI Impacts'!$B88:$H88)</f>
        <v>0</v>
      </c>
      <c r="JE88" s="35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35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35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35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35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35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35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35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35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35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U89" s="9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DA89" s="9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Q89" s="9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G89" s="9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W89" s="9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M89" s="9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U90" s="9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DA90" s="9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Q90" s="9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G90" s="9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W90" s="9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M90" s="9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U91" s="9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DA91" s="9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Q91" s="9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G91" s="9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W91" s="9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M91" s="9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U92" s="9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DA92" s="9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Q92" s="9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G92" s="9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W92" s="9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M92" s="9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>M93+Y93+AQ93+BI93+BY93+CO93+DE93+DU93+EK93+FA93+FQ93+GG93+GW93+HM93+IC93+IS93+JI93+JY93+KO93+LE93+LU93+MK93+NA93+NQ93+OG93</f>
        <v>0</v>
      </c>
      <c r="C93" s="12">
        <f t="shared" ref="C93:C96" si="676">N93+Z93+AR93+BJ93+BZ93+CP93+DF93+DV93+EL93+FB93+FR93+GH93+GX93+HN93+ID93+IT93+JJ93+JZ93+KP93+LF93+LV93+ML93+NB93+NR93+OH93</f>
        <v>0</v>
      </c>
      <c r="D93" s="12">
        <f>O93+AA93+AS93+BK93+CA93+CQ93+DG93+DW93+EM93+FC93+FS93+GI93+GY93+HO93+IE93+IU93+JK93+KA93+KQ93+LG93+LW93+MM93+NC93+NS93+OI93</f>
        <v>0</v>
      </c>
      <c r="E93" s="12">
        <f t="shared" ref="E93:E96" si="677">P93+AB93+AT93+BL93+CB93+CR93+DH93+DX93+EN93+FD93+FT93+GJ93+GZ93+HP93+IF93+IV93+JL93+KB93+KR93+LH93+LX93+MN93+ND93+NT93+OJ93</f>
        <v>0</v>
      </c>
      <c r="F93" s="12">
        <f t="shared" ref="F93:F96" si="678">Q93+AC93+AU93+BM93+CC93+CS93+DI93+DY93+EO93+FE93+FU93+GK93+HA93+HQ93+IG93+IW93+JM93+KC93+KS93+LI93+LY93+MO93+NE93+NU93+OK93</f>
        <v>0</v>
      </c>
      <c r="G93" s="12">
        <f t="shared" ref="G93:G96" si="679">R93+AD93+AV93+BN93+CD93+CT93+DJ93+DZ93+EP93+FF93+FV93+GL93+HB93+HR93+IH93+IX93+JN93+KD93+KT93+LJ93+LZ93+MP93+NF93+NV93+OL93</f>
        <v>0</v>
      </c>
      <c r="H93" s="12">
        <f t="shared" ref="H93:H96" si="680">S93+AE93+AW93+BO93+CE93+CU93+DK93+EA93+EQ93+FG93+FW93+GM93+HC93+HS93+II93+IY93+JO93+KE93+KU93+LK93+MA93+MQ93+NG93+NW93+OM93</f>
        <v>0</v>
      </c>
      <c r="I93" s="12">
        <f t="shared" ref="I93:J96" si="681">AF93+AX93+BP93+CF93+CV93+DL93+EB93+ER93+FH93+FX93+GN93+HD93+HT93+IJ93+IZ93+JP93+KF93+KV93+LL93+MB93+MR93+NH93+NX93+ON93</f>
        <v>0</v>
      </c>
      <c r="J93" s="12">
        <f t="shared" si="681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t="s">
        <v>1303</v>
      </c>
      <c r="CJ93">
        <f>_xlfn.XLOOKUP(CI93,'KPI Impacts'!$B$2:$H$2,'KPI Impacts'!$B93:$H93)</f>
        <v>0</v>
      </c>
      <c r="CK93" s="35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t="s">
        <v>1303</v>
      </c>
      <c r="DP93">
        <f>_xlfn.XLOOKUP(DO93,'KPI Impacts'!$B$2:$H$2,'KPI Impacts'!$B93:$H93)</f>
        <v>0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t="s">
        <v>1303</v>
      </c>
      <c r="EF93">
        <f>_xlfn.XLOOKUP(EE93,'KPI Impacts'!$B$2:$H$2,'KPI Impacts'!$B93:$H93)</f>
        <v>0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t="s">
        <v>1303</v>
      </c>
      <c r="FL93">
        <f>_xlfn.XLOOKUP(FK93,'KPI Impacts'!$B$2:$H$2,'KPI Impacts'!$B93:$H93)</f>
        <v>0</v>
      </c>
      <c r="FM93" s="35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t="s">
        <v>1303</v>
      </c>
      <c r="GB93">
        <f>_xlfn.XLOOKUP(GA93,'KPI Impacts'!$B$2:$H$2,'KPI Impacts'!$B93:$H93)</f>
        <v>0</v>
      </c>
      <c r="GC93" s="35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t="s">
        <v>1303</v>
      </c>
      <c r="GR93">
        <f>_xlfn.XLOOKUP(GQ93,'KPI Impacts'!$B$2:$H$2,'KPI Impacts'!$B93:$H93)</f>
        <v>0</v>
      </c>
      <c r="GS93" s="35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t="s">
        <v>1303</v>
      </c>
      <c r="HH93">
        <f>_xlfn.XLOOKUP(HG93,'KPI Impacts'!$B$2:$H$2,'KPI Impacts'!$B93:$H93)</f>
        <v>0</v>
      </c>
      <c r="HI93" s="35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t="s">
        <v>1303</v>
      </c>
      <c r="HX93">
        <f>_xlfn.XLOOKUP(HW93,'KPI Impacts'!$B$2:$H$2,'KPI Impacts'!$B93:$H93)</f>
        <v>0</v>
      </c>
      <c r="HY93" s="35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t="s">
        <v>1303</v>
      </c>
      <c r="IN93">
        <f>_xlfn.XLOOKUP(IM93,'KPI Impacts'!$B$2:$H$2,'KPI Impacts'!$B93:$H93)</f>
        <v>0</v>
      </c>
      <c r="IO93" s="35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35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35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35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35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35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35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35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35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35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35" t="s">
        <v>1303</v>
      </c>
      <c r="OT93">
        <f>_xlfn.XLOOKUP(OS93,'KPI Impacts'!$B$2:$H$2,'KPI Impacts'!$B93:$H93)</f>
        <v>0</v>
      </c>
    </row>
    <row r="94" spans="1:410" x14ac:dyDescent="0.2">
      <c r="A94" t="s">
        <v>1711</v>
      </c>
      <c r="B94" s="12">
        <f>M94+Y94+AQ94+BI94+BY94+CO94+DE94+DU94+EK94+FA94+FQ94+GG94+GW94+HM94+IC94+IS94+JI94+JY94+KO94+LE94+LU94+MK94+NA94+NQ94+OG94</f>
        <v>0</v>
      </c>
      <c r="C94" s="12">
        <f t="shared" si="676"/>
        <v>0</v>
      </c>
      <c r="D94" s="12">
        <f t="shared" ref="D94:D96" si="682">O94+AA94+AS94+BK94+CA94+CQ94+DG94+DW94+EM94+FC94+FS94+GI94+GY94+HO94+IE94+IU94+JK94+KA94+KQ94+LG94+LW94+MM94+NC94+NS94+OI94</f>
        <v>0</v>
      </c>
      <c r="E94" s="12">
        <f t="shared" si="677"/>
        <v>0</v>
      </c>
      <c r="F94" s="12">
        <f t="shared" si="678"/>
        <v>0</v>
      </c>
      <c r="G94" s="12">
        <f t="shared" si="679"/>
        <v>0</v>
      </c>
      <c r="H94" s="12">
        <f t="shared" si="680"/>
        <v>0</v>
      </c>
      <c r="I94" s="12">
        <f t="shared" si="681"/>
        <v>0</v>
      </c>
      <c r="J94" s="12">
        <f t="shared" si="681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t="s">
        <v>1303</v>
      </c>
      <c r="BT94">
        <f>_xlfn.XLOOKUP(BS94,'KPI Impacts'!$B$2:$H$2,'KPI Impacts'!$B94:$H94)</f>
        <v>0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t="s">
        <v>1303</v>
      </c>
      <c r="CJ94">
        <f>_xlfn.XLOOKUP(CI94,'KPI Impacts'!$B$2:$H$2,'KPI Impacts'!$B94:$H94)</f>
        <v>0</v>
      </c>
      <c r="CK94" s="35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t="s">
        <v>1303</v>
      </c>
      <c r="CZ94">
        <f>_xlfn.XLOOKUP(CY94,'KPI Impacts'!$B$2:$H$2,'KPI Impacts'!$B94:$H94)</f>
        <v>0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t="s">
        <v>1303</v>
      </c>
      <c r="DP94">
        <f>_xlfn.XLOOKUP(DO94,'KPI Impacts'!$B$2:$H$2,'KPI Impacts'!$B94:$H94)</f>
        <v>0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t="s">
        <v>1303</v>
      </c>
      <c r="EF94">
        <f>_xlfn.XLOOKUP(EE94,'KPI Impacts'!$B$2:$H$2,'KPI Impacts'!$B94:$H94)</f>
        <v>0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t="s">
        <v>1303</v>
      </c>
      <c r="EV94">
        <f>_xlfn.XLOOKUP(EU94,'KPI Impacts'!$B$2:$H$2,'KPI Impacts'!$B94:$H94)</f>
        <v>0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t="s">
        <v>1303</v>
      </c>
      <c r="FL94">
        <f>_xlfn.XLOOKUP(FK94,'KPI Impacts'!$B$2:$H$2,'KPI Impacts'!$B94:$H94)</f>
        <v>0</v>
      </c>
      <c r="FM94" s="35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t="s">
        <v>1303</v>
      </c>
      <c r="GB94">
        <f>_xlfn.XLOOKUP(GA94,'KPI Impacts'!$B$2:$H$2,'KPI Impacts'!$B94:$H94)</f>
        <v>0</v>
      </c>
      <c r="GC94" s="35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t="s">
        <v>1303</v>
      </c>
      <c r="GR94">
        <f>_xlfn.XLOOKUP(GQ94,'KPI Impacts'!$B$2:$H$2,'KPI Impacts'!$B94:$H94)</f>
        <v>0</v>
      </c>
      <c r="GS94" s="35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t="s">
        <v>1303</v>
      </c>
      <c r="HH94">
        <f>_xlfn.XLOOKUP(HG94,'KPI Impacts'!$B$2:$H$2,'KPI Impacts'!$B94:$H94)</f>
        <v>0</v>
      </c>
      <c r="HI94" s="35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t="s">
        <v>1303</v>
      </c>
      <c r="HX94">
        <f>_xlfn.XLOOKUP(HW94,'KPI Impacts'!$B$2:$H$2,'KPI Impacts'!$B94:$H94)</f>
        <v>0</v>
      </c>
      <c r="HY94" s="35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t="s">
        <v>1303</v>
      </c>
      <c r="IN94">
        <f>_xlfn.XLOOKUP(IM94,'KPI Impacts'!$B$2:$H$2,'KPI Impacts'!$B94:$H94)</f>
        <v>0</v>
      </c>
      <c r="IO94" s="35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35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35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35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35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35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35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35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35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35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35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>M95+Y95+AQ95+BI95+BY95+CO95+DE95+DU95+EK95+FA95+FQ95+GG95+GW95+HM95+IC95+IS95+JI95+JY95+KO95+LE95+LU95+MK95+NA95+NQ95+OG95</f>
        <v>0</v>
      </c>
      <c r="C95" s="12">
        <f t="shared" si="676"/>
        <v>0</v>
      </c>
      <c r="D95" s="12">
        <f t="shared" si="682"/>
        <v>0</v>
      </c>
      <c r="E95" s="12">
        <f t="shared" si="677"/>
        <v>0</v>
      </c>
      <c r="F95" s="12">
        <f t="shared" si="678"/>
        <v>0</v>
      </c>
      <c r="G95" s="12">
        <f t="shared" si="679"/>
        <v>0</v>
      </c>
      <c r="H95" s="12">
        <f t="shared" si="680"/>
        <v>0</v>
      </c>
      <c r="I95" s="12">
        <f t="shared" si="681"/>
        <v>0</v>
      </c>
      <c r="J95" s="12">
        <f t="shared" si="681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t="s">
        <v>1303</v>
      </c>
      <c r="CJ95">
        <f>_xlfn.XLOOKUP(CI95,'KPI Impacts'!$B$2:$H$2,'KPI Impacts'!$B95:$H95)</f>
        <v>0</v>
      </c>
      <c r="CK95" s="35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t="s">
        <v>1303</v>
      </c>
      <c r="CZ95">
        <f>_xlfn.XLOOKUP(CY95,'KPI Impacts'!$B$2:$H$2,'KPI Impacts'!$B95:$H95)</f>
        <v>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t="s">
        <v>1303</v>
      </c>
      <c r="EF95">
        <f>_xlfn.XLOOKUP(EE95,'KPI Impacts'!$B$2:$H$2,'KPI Impacts'!$B95:$H95)</f>
        <v>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t="s">
        <v>1303</v>
      </c>
      <c r="EV95">
        <f>_xlfn.XLOOKUP(EU95,'KPI Impacts'!$B$2:$H$2,'KPI Impacts'!$B95:$H95)</f>
        <v>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t="s">
        <v>1303</v>
      </c>
      <c r="FL95">
        <f>_xlfn.XLOOKUP(FK95,'KPI Impacts'!$B$2:$H$2,'KPI Impacts'!$B95:$H95)</f>
        <v>0</v>
      </c>
      <c r="FM95" s="35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t="s">
        <v>1303</v>
      </c>
      <c r="GB95">
        <f>_xlfn.XLOOKUP(GA95,'KPI Impacts'!$B$2:$H$2,'KPI Impacts'!$B95:$H95)</f>
        <v>0</v>
      </c>
      <c r="GC95" s="35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t="s">
        <v>1303</v>
      </c>
      <c r="GR95">
        <f>_xlfn.XLOOKUP(GQ95,'KPI Impacts'!$B$2:$H$2,'KPI Impacts'!$B95:$H95)</f>
        <v>0</v>
      </c>
      <c r="GS95" s="35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t="s">
        <v>1303</v>
      </c>
      <c r="HH95">
        <f>_xlfn.XLOOKUP(HG95,'KPI Impacts'!$B$2:$H$2,'KPI Impacts'!$B95:$H95)</f>
        <v>0</v>
      </c>
      <c r="HI95" s="35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t="s">
        <v>1303</v>
      </c>
      <c r="HX95">
        <f>_xlfn.XLOOKUP(HW95,'KPI Impacts'!$B$2:$H$2,'KPI Impacts'!$B95:$H95)</f>
        <v>0</v>
      </c>
      <c r="HY95" s="35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t="s">
        <v>1303</v>
      </c>
      <c r="IN95">
        <f>_xlfn.XLOOKUP(IM95,'KPI Impacts'!$B$2:$H$2,'KPI Impacts'!$B95:$H95)</f>
        <v>0</v>
      </c>
      <c r="IO95" s="35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35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35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35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35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35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35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35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35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35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35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>M96+Y96+AQ96+BI96+BY96+CO96+DE96+DU96+EK96+FA96+FQ96+GG96+GW96+HM96+IC96+IS96+JI96+JY96+KO96+LE96+LU96+MK96+NA96+NQ96+OG96</f>
        <v>0</v>
      </c>
      <c r="C96" s="12">
        <f t="shared" si="676"/>
        <v>0</v>
      </c>
      <c r="D96" s="12">
        <f t="shared" si="682"/>
        <v>0</v>
      </c>
      <c r="E96" s="12">
        <f t="shared" si="677"/>
        <v>0</v>
      </c>
      <c r="F96" s="12">
        <f t="shared" si="678"/>
        <v>0</v>
      </c>
      <c r="G96" s="12">
        <f t="shared" si="679"/>
        <v>0</v>
      </c>
      <c r="H96" s="12">
        <f t="shared" si="680"/>
        <v>0</v>
      </c>
      <c r="I96" s="12">
        <f t="shared" si="681"/>
        <v>0</v>
      </c>
      <c r="J96" s="12">
        <f t="shared" si="681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t="s">
        <v>1303</v>
      </c>
      <c r="BT96">
        <f>_xlfn.XLOOKUP(BS96,'KPI Impacts'!$B$2:$H$2,'KPI Impacts'!$B96:$H96)</f>
        <v>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t="s">
        <v>1303</v>
      </c>
      <c r="CJ96">
        <f>_xlfn.XLOOKUP(CI96,'KPI Impacts'!$B$2:$H$2,'KPI Impacts'!$B96:$H96)</f>
        <v>0</v>
      </c>
      <c r="CK96" s="35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t="s">
        <v>1303</v>
      </c>
      <c r="EF96">
        <f>_xlfn.XLOOKUP(EE96,'KPI Impacts'!$B$2:$H$2,'KPI Impacts'!$B96:$H96)</f>
        <v>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t="s">
        <v>1303</v>
      </c>
      <c r="EV96">
        <f>_xlfn.XLOOKUP(EU96,'KPI Impacts'!$B$2:$H$2,'KPI Impacts'!$B96:$H96)</f>
        <v>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t="s">
        <v>1303</v>
      </c>
      <c r="FL96">
        <f>_xlfn.XLOOKUP(FK96,'KPI Impacts'!$B$2:$H$2,'KPI Impacts'!$B96:$H96)</f>
        <v>0</v>
      </c>
      <c r="FM96" s="35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t="s">
        <v>1303</v>
      </c>
      <c r="GB96">
        <f>_xlfn.XLOOKUP(GA96,'KPI Impacts'!$B$2:$H$2,'KPI Impacts'!$B96:$H96)</f>
        <v>0</v>
      </c>
      <c r="GC96" s="35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t="s">
        <v>1303</v>
      </c>
      <c r="GR96">
        <f>_xlfn.XLOOKUP(GQ96,'KPI Impacts'!$B$2:$H$2,'KPI Impacts'!$B96:$H96)</f>
        <v>0</v>
      </c>
      <c r="GS96" s="35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t="s">
        <v>1303</v>
      </c>
      <c r="HH96">
        <f>_xlfn.XLOOKUP(HG96,'KPI Impacts'!$B$2:$H$2,'KPI Impacts'!$B96:$H96)</f>
        <v>0</v>
      </c>
      <c r="HI96" s="35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t="s">
        <v>1303</v>
      </c>
      <c r="HX96">
        <f>_xlfn.XLOOKUP(HW96,'KPI Impacts'!$B$2:$H$2,'KPI Impacts'!$B96:$H96)</f>
        <v>0</v>
      </c>
      <c r="HY96" s="35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t="s">
        <v>1303</v>
      </c>
      <c r="IN96">
        <f>_xlfn.XLOOKUP(IM96,'KPI Impacts'!$B$2:$H$2,'KPI Impacts'!$B96:$H96)</f>
        <v>0</v>
      </c>
      <c r="IO96" s="35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35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35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35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35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35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35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35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35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35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35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>M102+Y102+AQ102+BI102+BY102+CO102+DE102+DU102+EK102+FA102+FQ102+GG102+GW102+HM102+IC102+IS102+JI102+JY102+KO102+LE102+LU102+MK102+NA102+NQ102+OG102</f>
        <v>0</v>
      </c>
      <c r="C102" s="12">
        <f t="shared" ref="C102:C104" si="683">N102+Z102+AR102+BJ102+BZ102+CP102+DF102+DV102+EL102+FB102+FR102+GH102+GX102+HN102+ID102+IT102+JJ102+JZ102+KP102+LF102+LV102+ML102+NB102+NR102+OH102</f>
        <v>0</v>
      </c>
      <c r="D102" s="12">
        <f t="shared" ref="D102:D104" si="684">O102+AA102+AS102+BK102+CA102+CQ102+DG102+DW102+EM102+FC102+FS102+GI102+GY102+HO102+IE102+IU102+JK102+KA102+KQ102+LG102+LW102+MM102+NC102+NS102+OI102</f>
        <v>0</v>
      </c>
      <c r="E102" s="12">
        <f t="shared" ref="E102:E104" si="685">P102+AB102+AT102+BL102+CB102+CR102+DH102+DX102+EN102+FD102+FT102+GJ102+GZ102+HP102+IF102+IV102+JL102+KB102+KR102+LH102+LX102+MN102+ND102+NT102+OJ102</f>
        <v>0</v>
      </c>
      <c r="F102" s="12">
        <f t="shared" ref="F102:F104" si="686">Q102+AC102+AU102+BM102+CC102+CS102+DI102+DY102+EO102+FE102+FU102+GK102+HA102+HQ102+IG102+IW102+JM102+KC102+KS102+LI102+LY102+MO102+NE102+NU102+OK102</f>
        <v>0</v>
      </c>
      <c r="G102" s="12">
        <f t="shared" ref="G102:G104" si="687">R102+AD102+AV102+BN102+CD102+CT102+DJ102+DZ102+EP102+FF102+FV102+GL102+HB102+HR102+IH102+IX102+JN102+KD102+KT102+LJ102+LZ102+MP102+NF102+NV102+OL102</f>
        <v>0</v>
      </c>
      <c r="H102" s="12">
        <f t="shared" ref="H102:H104" si="688">S102+AE102+AW102+BO102+CE102+CU102+DK102+EA102+EQ102+FG102+FW102+GM102+HC102+HS102+II102+IY102+JO102+KE102+KU102+LK102+MA102+MQ102+NG102+NW102+OM102</f>
        <v>0</v>
      </c>
      <c r="I102" s="12">
        <f t="shared" ref="I102:J104" si="689">AF102+AX102+BP102+CF102+CV102+DL102+EB102+ER102+FH102+FX102+GN102+HD102+HT102+IJ102+IZ102+JP102+KF102+KV102+LL102+MB102+MR102+NH102+NX102+ON102</f>
        <v>0</v>
      </c>
      <c r="J102" s="12">
        <f t="shared" si="689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35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35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35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35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35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35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35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35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35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35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35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35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35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35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35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35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35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35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35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35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35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35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>M103+Y103+AQ103+BI103+BY103+CO103+DE103+DU103+EK103+FA103+FQ103+GG103+GW103+HM103+IC103+IS103+JI103+JY103+KO103+LE103+LU103+MK103+NA103+NQ103+OG103</f>
        <v>0</v>
      </c>
      <c r="C103" s="12">
        <f t="shared" si="683"/>
        <v>0</v>
      </c>
      <c r="D103" s="12">
        <f t="shared" si="684"/>
        <v>0</v>
      </c>
      <c r="E103" s="12">
        <f t="shared" si="685"/>
        <v>0</v>
      </c>
      <c r="F103" s="12">
        <f t="shared" si="686"/>
        <v>0</v>
      </c>
      <c r="G103" s="12">
        <f t="shared" si="687"/>
        <v>0</v>
      </c>
      <c r="H103" s="12">
        <f t="shared" si="688"/>
        <v>0</v>
      </c>
      <c r="I103" s="12">
        <f t="shared" si="689"/>
        <v>0</v>
      </c>
      <c r="J103" s="12">
        <f t="shared" si="689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35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35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35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35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35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35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35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35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35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35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35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35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35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35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35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35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35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35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35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35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35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35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>M104+Y104+AQ104+BI104+BY104+CO104+DE104+DU104+EK104+FA104+FQ104+GG104+GW104+HM104+IC104+IS104+JI104+JY104+KO104+LE104+LU104+MK104+NA104+NQ104+OG104</f>
        <v>0</v>
      </c>
      <c r="C104" s="12">
        <f t="shared" si="683"/>
        <v>0</v>
      </c>
      <c r="D104" s="12">
        <f t="shared" si="684"/>
        <v>0</v>
      </c>
      <c r="E104" s="12">
        <f t="shared" si="685"/>
        <v>0</v>
      </c>
      <c r="F104" s="12">
        <f t="shared" si="686"/>
        <v>0</v>
      </c>
      <c r="G104" s="12">
        <f t="shared" si="687"/>
        <v>0</v>
      </c>
      <c r="H104" s="12">
        <f t="shared" si="688"/>
        <v>0</v>
      </c>
      <c r="I104" s="12">
        <f t="shared" si="689"/>
        <v>0</v>
      </c>
      <c r="J104" s="12">
        <f t="shared" si="689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35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35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35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35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35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35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35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35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35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35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35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35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35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35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35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35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35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35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35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35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35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35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1329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1333</v>
      </c>
      <c r="B109" s="8">
        <f>Y6+AQ6+BI11+BY11+CO11+DE11+DU11+EK11+FA11+FQ11+GG11+GW11+HM11+IC11+IS11+JI11+JY11+KO11+LE11+LU11+MK11+NA11+NQ11+OG11</f>
        <v>0</v>
      </c>
      <c r="C109" s="8">
        <f t="shared" ref="C109:J109" si="690">Z6+AR6+BJ11+BZ11+CP11+DF11+DV11+EL11+FB11+FR11+GH11+GX11+HN11+ID11+IT11+JJ11+JZ11+KP11+LF11+LV11+ML11+NB11+NR11+OH11</f>
        <v>0</v>
      </c>
      <c r="D109" s="8">
        <f t="shared" si="690"/>
        <v>0</v>
      </c>
      <c r="E109" s="8">
        <f t="shared" si="690"/>
        <v>0</v>
      </c>
      <c r="F109" s="8">
        <f t="shared" si="690"/>
        <v>0</v>
      </c>
      <c r="G109" s="8">
        <f t="shared" si="690"/>
        <v>0</v>
      </c>
      <c r="H109" s="8">
        <f t="shared" si="690"/>
        <v>0</v>
      </c>
      <c r="I109" s="8">
        <f>AF6+AX6+BP11+CF11+CV11+DL11+EB11+ER11+FH11+FX11+GN11+HD11+HT11+IJ11+IZ11+JP11+KF11+KV11+LL11+MB11+MR11+NH11+NX11+ON11</f>
        <v>0</v>
      </c>
      <c r="J109" s="8">
        <f t="shared" si="690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1332</v>
      </c>
      <c r="B110" s="10">
        <f t="shared" ref="B110" si="691">BI13+BY13+CO13+DE13+DU13+EK13+FA13+FQ13+GG13+GW13+HM13+IC13+IS13+JI13+JY13+KO13+LE13+LU13+MK13+NA13+NQ13+OG13</f>
        <v>0</v>
      </c>
      <c r="C110" s="10">
        <f t="shared" ref="C110" si="692">BJ13+BZ13+CP13+DF13+DV13+EL13+FB13+FR13+GH13+GX13+HN13+ID13+IT13+JJ13+JZ13+KP13+LF13+LV13+ML13+NB13+NR13+OH13</f>
        <v>0</v>
      </c>
      <c r="D110" s="10">
        <f t="shared" ref="D110" si="693">BK13+CA13+CQ13+DG13+DW13+EM13+FC13+FS13+GI13+GY13+HO13+IE13+IU13+JK13+KA13+KQ13+LG13+LW13+MM13+NC13+NS13+OI13</f>
        <v>0</v>
      </c>
      <c r="E110" s="10">
        <f t="shared" ref="E110" si="694">BL13+CB13+CR13+DH13+DX13+EN13+FD13+FT13+GJ13+GZ13+HP13+IF13+IV13+JL13+KB13+KR13+LH13+LX13+MN13+ND13+NT13+OJ13</f>
        <v>0</v>
      </c>
      <c r="F110" s="10">
        <f t="shared" ref="F110" si="695">BM13+CC13+CS13+DI13+DY13+EO13+FE13+FU13+GK13+HA13+HQ13+IG13+IW13+JM13+KC13+KS13+LI13+LY13+MO13+NE13+NU13+OK13</f>
        <v>0</v>
      </c>
      <c r="G110" s="10">
        <f t="shared" ref="G110" si="696">BN13+CD13+CT13+DJ13+DZ13+EP13+FF13+FV13+GL13+HB13+HR13+IH13+IX13+JN13+KD13+KT13+LJ13+LZ13+MP13+NF13+NV13+OL13</f>
        <v>0</v>
      </c>
      <c r="H110" s="10">
        <f t="shared" ref="H110" si="697">BO13+CE13+CU13+DK13+EA13+EQ13+FG13+FW13+GM13+HC13+HS13+II13+IY13+JO13+KE13+KU13+LK13+MA13+MQ13+NG13+NW13+OM13</f>
        <v>0</v>
      </c>
      <c r="I110" s="10">
        <f t="shared" ref="I110:J110" si="698">BP13+CF13+CV13+DL13+EB13+ER13+FH13+FX13+GN13+HD13+HT13+IJ13+IZ13+JP13+KF13+KV13+LL13+MB13+MR13+NH13+NX13+ON13</f>
        <v>0</v>
      </c>
      <c r="J110" s="10">
        <f t="shared" si="698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1339</v>
      </c>
      <c r="B111" s="10">
        <f>B108-B110</f>
        <v>0</v>
      </c>
      <c r="C111" s="10">
        <f t="shared" ref="C111:J111" si="699">C108-C110</f>
        <v>100000000</v>
      </c>
      <c r="D111" s="10">
        <f t="shared" si="699"/>
        <v>100000000</v>
      </c>
      <c r="E111" s="10">
        <f t="shared" si="699"/>
        <v>100000000</v>
      </c>
      <c r="F111" s="10">
        <f t="shared" si="699"/>
        <v>100000000</v>
      </c>
      <c r="G111" s="10">
        <f t="shared" si="699"/>
        <v>100000000</v>
      </c>
      <c r="H111" s="10">
        <f t="shared" si="699"/>
        <v>100000000</v>
      </c>
      <c r="I111" s="10">
        <f t="shared" si="699"/>
        <v>100000000</v>
      </c>
      <c r="J111" s="10">
        <f t="shared" si="699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1330</v>
      </c>
      <c r="B112" s="8">
        <f>B109+B110</f>
        <v>0</v>
      </c>
      <c r="C112" s="8">
        <f t="shared" ref="C112:J112" si="700">C109+C110</f>
        <v>0</v>
      </c>
      <c r="D112" s="8">
        <f t="shared" si="700"/>
        <v>0</v>
      </c>
      <c r="E112" s="8">
        <f t="shared" si="700"/>
        <v>0</v>
      </c>
      <c r="F112" s="8">
        <f t="shared" si="700"/>
        <v>0</v>
      </c>
      <c r="G112" s="8">
        <f t="shared" si="700"/>
        <v>0</v>
      </c>
      <c r="H112" s="8">
        <f t="shared" si="700"/>
        <v>0</v>
      </c>
      <c r="I112" s="8">
        <f t="shared" si="700"/>
        <v>0</v>
      </c>
      <c r="J112" s="8">
        <f t="shared" si="700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1331</v>
      </c>
      <c r="B113" s="8">
        <f>B108-B112</f>
        <v>0</v>
      </c>
      <c r="C113" s="8">
        <f t="shared" ref="C113:J113" si="701">C108-C112</f>
        <v>100000000</v>
      </c>
      <c r="D113" s="8">
        <f t="shared" si="701"/>
        <v>100000000</v>
      </c>
      <c r="E113" s="8">
        <f t="shared" si="701"/>
        <v>100000000</v>
      </c>
      <c r="F113" s="8">
        <f t="shared" si="701"/>
        <v>100000000</v>
      </c>
      <c r="G113" s="8">
        <f t="shared" si="701"/>
        <v>100000000</v>
      </c>
      <c r="H113" s="8">
        <f t="shared" si="701"/>
        <v>100000000</v>
      </c>
      <c r="I113" s="8">
        <f t="shared" si="701"/>
        <v>100000000</v>
      </c>
      <c r="J113" s="8">
        <f t="shared" si="701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1340</v>
      </c>
      <c r="B114" s="8">
        <f>C110</f>
        <v>0</v>
      </c>
      <c r="C114" s="8">
        <f t="shared" ref="C114:I114" si="702">D110</f>
        <v>0</v>
      </c>
      <c r="D114" s="8">
        <f t="shared" si="702"/>
        <v>0</v>
      </c>
      <c r="E114" s="8">
        <f t="shared" si="702"/>
        <v>0</v>
      </c>
      <c r="F114" s="8">
        <f t="shared" si="702"/>
        <v>0</v>
      </c>
      <c r="G114" s="8">
        <f t="shared" si="702"/>
        <v>0</v>
      </c>
      <c r="H114" s="8">
        <f t="shared" si="702"/>
        <v>0</v>
      </c>
      <c r="I114" s="8">
        <f t="shared" si="702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  <row r="115" spans="1:409" x14ac:dyDescent="0.2">
      <c r="B115" s="8"/>
      <c r="C115" s="12"/>
      <c r="D115" s="12"/>
      <c r="E115" s="12"/>
      <c r="F115" s="12"/>
      <c r="G115" s="12"/>
      <c r="H115" s="12"/>
      <c r="I115" s="12"/>
      <c r="J115" s="12"/>
      <c r="V115" s="8"/>
    </row>
    <row r="116" spans="1:409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409" x14ac:dyDescent="0.2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409" x14ac:dyDescent="0.2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409" x14ac:dyDescent="0.2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1" spans="1:409" x14ac:dyDescent="0.2"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409" x14ac:dyDescent="0.2">
      <c r="B122" s="12"/>
      <c r="C122" s="12"/>
      <c r="D122" s="12"/>
      <c r="E122" s="12"/>
      <c r="F122" s="12"/>
      <c r="G122" s="12"/>
      <c r="H122" s="12"/>
      <c r="I122" s="12"/>
      <c r="J122" s="1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53D-D22F-BD4A-9534-3B02C291330B}">
  <dimension ref="A1:ST114"/>
  <sheetViews>
    <sheetView zoomScaleNormal="100" workbookViewId="0">
      <pane xSplit="1" ySplit="22" topLeftCell="AF77" activePane="bottomRight" state="frozen"/>
      <selection pane="topRight" activeCell="B1" sqref="B1"/>
      <selection pane="bottomLeft" activeCell="A23" sqref="A23"/>
      <selection pane="bottomRight" activeCell="AP82" sqref="AP82"/>
    </sheetView>
  </sheetViews>
  <sheetFormatPr baseColWidth="10" defaultColWidth="8.83203125" defaultRowHeight="15" x14ac:dyDescent="0.2"/>
  <cols>
    <col min="1" max="1" width="37.6640625" customWidth="1"/>
    <col min="2" max="10" width="16.1640625" customWidth="1"/>
    <col min="11" max="11" width="12.6640625" customWidth="1"/>
    <col min="12" max="12" width="24.83203125" customWidth="1"/>
    <col min="13" max="13" width="15.5" customWidth="1"/>
    <col min="14" max="23" width="16.83203125" customWidth="1"/>
    <col min="24" max="24" width="21.83203125" bestFit="1" customWidth="1"/>
    <col min="25" max="33" width="11.5" bestFit="1" customWidth="1"/>
    <col min="34" max="34" width="10.6640625" customWidth="1"/>
    <col min="35" max="35" width="12.6640625" customWidth="1"/>
    <col min="36" max="40" width="12.5" customWidth="1"/>
    <col min="42" max="42" width="19.6640625" customWidth="1"/>
    <col min="43" max="51" width="13.1640625" bestFit="1" customWidth="1"/>
    <col min="60" max="60" width="23" customWidth="1"/>
    <col min="61" max="69" width="14.5" customWidth="1"/>
    <col min="71" max="74" width="12.83203125" customWidth="1"/>
    <col min="76" max="76" width="22.5" customWidth="1"/>
    <col min="77" max="85" width="15.1640625" customWidth="1"/>
    <col min="87" max="87" width="10.5" bestFit="1" customWidth="1"/>
    <col min="92" max="92" width="22.6640625" customWidth="1"/>
    <col min="93" max="101" width="14.1640625" customWidth="1"/>
    <col min="103" max="103" width="10.6640625" customWidth="1"/>
    <col min="108" max="108" width="22.83203125" customWidth="1"/>
    <col min="109" max="117" width="14.83203125" customWidth="1"/>
    <col min="119" max="122" width="11.83203125" customWidth="1"/>
    <col min="124" max="124" width="22.83203125" customWidth="1"/>
    <col min="125" max="133" width="14.83203125" customWidth="1"/>
    <col min="140" max="140" width="22.83203125" customWidth="1"/>
    <col min="141" max="149" width="14.83203125" customWidth="1"/>
    <col min="156" max="156" width="22.83203125" customWidth="1"/>
    <col min="157" max="165" width="14.83203125" customWidth="1"/>
    <col min="167" max="167" width="11.5" bestFit="1" customWidth="1"/>
    <col min="172" max="172" width="24.1640625" customWidth="1"/>
    <col min="173" max="181" width="14.83203125" customWidth="1"/>
    <col min="183" max="183" width="11.5" bestFit="1" customWidth="1"/>
    <col min="188" max="188" width="23.83203125" customWidth="1"/>
    <col min="189" max="197" width="14.83203125" customWidth="1"/>
    <col min="199" max="199" width="10.5" bestFit="1" customWidth="1"/>
    <col min="204" max="204" width="23.83203125" customWidth="1"/>
    <col min="205" max="213" width="14.83203125" customWidth="1"/>
    <col min="214" max="216" width="11.5" bestFit="1" customWidth="1"/>
    <col min="217" max="218" width="11.5" customWidth="1"/>
    <col min="219" max="219" width="11.5" bestFit="1" customWidth="1"/>
    <col min="220" max="220" width="23.5" customWidth="1"/>
    <col min="221" max="229" width="14.83203125" customWidth="1"/>
    <col min="230" max="231" width="11.5" bestFit="1" customWidth="1"/>
    <col min="232" max="233" width="11.5" customWidth="1"/>
    <col min="234" max="235" width="11.5" bestFit="1" customWidth="1"/>
    <col min="236" max="236" width="24.33203125" customWidth="1"/>
    <col min="237" max="245" width="14.83203125" customWidth="1"/>
    <col min="247" max="250" width="11.5" customWidth="1"/>
    <col min="252" max="252" width="24.1640625" customWidth="1"/>
    <col min="253" max="261" width="14.83203125" customWidth="1"/>
    <col min="268" max="268" width="23.6640625" customWidth="1"/>
    <col min="269" max="277" width="14.83203125" customWidth="1"/>
    <col min="284" max="284" width="23.6640625" customWidth="1"/>
    <col min="285" max="293" width="14.83203125" customWidth="1"/>
    <col min="300" max="300" width="23.6640625" customWidth="1"/>
    <col min="301" max="309" width="14.83203125" customWidth="1"/>
    <col min="316" max="316" width="23.83203125" customWidth="1"/>
    <col min="317" max="325" width="14.83203125" customWidth="1"/>
    <col min="332" max="332" width="23.6640625" customWidth="1"/>
    <col min="333" max="341" width="14.83203125" customWidth="1"/>
    <col min="348" max="348" width="23.6640625" customWidth="1"/>
    <col min="349" max="357" width="14.83203125" customWidth="1"/>
    <col min="364" max="364" width="23.5" customWidth="1"/>
    <col min="365" max="373" width="14.83203125" customWidth="1"/>
    <col min="380" max="380" width="23.6640625" customWidth="1"/>
    <col min="381" max="389" width="14.83203125" customWidth="1"/>
    <col min="396" max="396" width="23.5" customWidth="1"/>
    <col min="397" max="405" width="14.83203125" customWidth="1"/>
    <col min="423" max="423" width="9.1640625" bestFit="1" customWidth="1"/>
    <col min="436" max="436" width="19.6640625" customWidth="1"/>
    <col min="463" max="463" width="19.6640625" customWidth="1"/>
    <col min="477" max="477" width="19.6640625" customWidth="1"/>
    <col min="491" max="491" width="19.33203125" customWidth="1"/>
    <col min="492" max="492" width="9.1640625" bestFit="1" customWidth="1"/>
    <col min="505" max="505" width="23" customWidth="1"/>
    <col min="506" max="506" width="10.1640625" customWidth="1"/>
  </cols>
  <sheetData>
    <row r="1" spans="1:514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4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4" x14ac:dyDescent="0.2">
      <c r="L3" s="34" t="s">
        <v>1942</v>
      </c>
      <c r="X3" s="5" t="s">
        <v>334</v>
      </c>
      <c r="AP3" s="5" t="s">
        <v>333</v>
      </c>
      <c r="BH3" s="5" t="s">
        <v>1790</v>
      </c>
      <c r="BU3" s="9"/>
      <c r="BX3" s="5" t="s">
        <v>1707</v>
      </c>
      <c r="CK3" s="9"/>
      <c r="CN3" s="5" t="s">
        <v>1791</v>
      </c>
      <c r="DA3" s="9"/>
      <c r="DD3" s="5" t="s">
        <v>1792</v>
      </c>
      <c r="DQ3" s="9"/>
      <c r="DT3" s="11" t="s">
        <v>1793</v>
      </c>
      <c r="EG3" s="9"/>
      <c r="EJ3" s="11" t="s">
        <v>1794</v>
      </c>
      <c r="EW3" s="9"/>
      <c r="EZ3" s="11" t="s">
        <v>1795</v>
      </c>
      <c r="FM3" s="9"/>
      <c r="FP3" s="11" t="s">
        <v>1796</v>
      </c>
      <c r="GC3" s="9"/>
      <c r="GF3" s="11" t="s">
        <v>1797</v>
      </c>
      <c r="GS3" s="9"/>
      <c r="GV3" s="11" t="s">
        <v>1798</v>
      </c>
      <c r="HI3" s="9"/>
      <c r="HL3" s="11" t="s">
        <v>1799</v>
      </c>
      <c r="HY3" s="9"/>
      <c r="IB3" s="11" t="s">
        <v>1800</v>
      </c>
      <c r="IO3" s="9"/>
      <c r="IR3" s="11" t="s">
        <v>1801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T3" s="5"/>
      <c r="QU3" s="5"/>
      <c r="RI3" s="5"/>
      <c r="RW3" s="5"/>
      <c r="SK3" s="5"/>
    </row>
    <row r="4" spans="1:514" x14ac:dyDescent="0.2">
      <c r="A4" s="2" t="s">
        <v>392</v>
      </c>
      <c r="B4" s="2"/>
      <c r="L4" t="s">
        <v>1945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1635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1638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393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394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395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396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397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398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399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400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401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S4" s="36"/>
      <c r="GV4" s="2" t="s">
        <v>402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403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404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O4" s="36"/>
      <c r="IR4" s="2" t="s">
        <v>405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406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407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408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409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410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411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412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413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414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T4" s="2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U4" s="2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I4" s="2"/>
      <c r="RJ4" s="1"/>
      <c r="RK4" s="1"/>
      <c r="RL4" s="1"/>
      <c r="RM4" s="1"/>
      <c r="RN4" s="1"/>
      <c r="RO4" s="1"/>
      <c r="RP4" s="1"/>
      <c r="RQ4" s="1"/>
      <c r="RR4" s="1"/>
      <c r="RW4" s="2"/>
      <c r="RX4" s="1"/>
      <c r="RY4" s="1"/>
      <c r="RZ4" s="1"/>
      <c r="SA4" s="1"/>
      <c r="SB4" s="1"/>
      <c r="SC4" s="1"/>
      <c r="SD4" s="1"/>
      <c r="SE4" s="1"/>
      <c r="SF4" s="1"/>
      <c r="SK4" s="2"/>
      <c r="SL4" s="1"/>
      <c r="SM4" s="1"/>
      <c r="SN4" s="1"/>
      <c r="SO4" s="1"/>
      <c r="SP4" s="1"/>
      <c r="SQ4" s="1"/>
      <c r="SR4" s="1"/>
      <c r="SS4" s="1"/>
      <c r="ST4" s="1"/>
    </row>
    <row r="5" spans="1:514" x14ac:dyDescent="0.2">
      <c r="A5" s="3" t="s">
        <v>415</v>
      </c>
      <c r="B5" s="3"/>
      <c r="L5" t="s">
        <v>1946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1636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1639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416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417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418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419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420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421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422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423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424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S5" s="36"/>
      <c r="GV5" s="3" t="s">
        <v>425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426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427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O5" s="36"/>
      <c r="IR5" s="3" t="s">
        <v>428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429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430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3" t="s">
        <v>1595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3" t="s">
        <v>1596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3" t="s">
        <v>1597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3" t="s">
        <v>1598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3" t="s">
        <v>1599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1600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1594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T5" s="2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U5" s="2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I5" s="2"/>
      <c r="RJ5" s="1"/>
      <c r="RK5" s="1"/>
      <c r="RL5" s="1"/>
      <c r="RM5" s="1"/>
      <c r="RN5" s="1"/>
      <c r="RO5" s="1"/>
      <c r="RP5" s="1"/>
      <c r="RQ5" s="1"/>
      <c r="RR5" s="1"/>
      <c r="RW5" s="2"/>
      <c r="RX5" s="1"/>
      <c r="RY5" s="1"/>
      <c r="RZ5" s="1"/>
      <c r="SA5" s="1"/>
      <c r="SB5" s="1"/>
      <c r="SC5" s="1"/>
      <c r="SD5" s="1"/>
      <c r="SE5" s="1"/>
      <c r="SF5" s="1"/>
      <c r="SK5" s="2"/>
      <c r="SL5" s="1"/>
      <c r="SM5" s="1"/>
      <c r="SN5" s="1"/>
      <c r="SO5" s="1"/>
      <c r="SP5" s="1"/>
      <c r="SQ5" s="1"/>
      <c r="SR5" s="1"/>
      <c r="SS5" s="1"/>
      <c r="ST5" s="1"/>
    </row>
    <row r="6" spans="1:514" x14ac:dyDescent="0.2">
      <c r="A6" s="3" t="s">
        <v>431</v>
      </c>
      <c r="B6" s="3"/>
      <c r="L6" t="s">
        <v>1952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1637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1640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432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433</v>
      </c>
      <c r="BY6" s="1">
        <v>2</v>
      </c>
      <c r="BZ6" s="1">
        <v>2</v>
      </c>
      <c r="CA6" s="1">
        <f t="shared" ref="CA6:CG6" si="176">IF(AND(BZ4=1,BZ5=1),1,IF(AND(BZ4=0,BZ5=1),3,0))</f>
        <v>0</v>
      </c>
      <c r="CB6" s="1">
        <f t="shared" si="176"/>
        <v>0</v>
      </c>
      <c r="CC6" s="1">
        <f t="shared" si="176"/>
        <v>0</v>
      </c>
      <c r="CD6" s="1">
        <f t="shared" si="176"/>
        <v>0</v>
      </c>
      <c r="CE6" s="1">
        <f t="shared" si="176"/>
        <v>0</v>
      </c>
      <c r="CF6" s="1">
        <f t="shared" si="176"/>
        <v>0</v>
      </c>
      <c r="CG6" s="1">
        <f t="shared" si="176"/>
        <v>0</v>
      </c>
      <c r="CH6" s="1"/>
      <c r="CI6" s="1"/>
      <c r="CK6" s="36"/>
      <c r="CN6" s="3" t="s">
        <v>434</v>
      </c>
      <c r="CO6" s="1">
        <v>0</v>
      </c>
      <c r="CP6" s="1">
        <f>IF(AND(CO4=1,CO5=1),1,IF(AND(CO4=0,CO5=1),3,0))</f>
        <v>0</v>
      </c>
      <c r="CQ6" s="1">
        <f t="shared" ref="CQ6:CW6" si="177">IF(AND(CP4=1,CP5=1),1,IF(AND(CP4=0,CP5=1),3,0))</f>
        <v>0</v>
      </c>
      <c r="CR6" s="1">
        <f t="shared" si="177"/>
        <v>0</v>
      </c>
      <c r="CS6" s="1">
        <f t="shared" si="177"/>
        <v>0</v>
      </c>
      <c r="CT6" s="1">
        <f t="shared" si="177"/>
        <v>0</v>
      </c>
      <c r="CU6" s="1">
        <f t="shared" si="177"/>
        <v>0</v>
      </c>
      <c r="CV6" s="1">
        <f t="shared" si="177"/>
        <v>0</v>
      </c>
      <c r="CW6" s="1">
        <f t="shared" si="177"/>
        <v>0</v>
      </c>
      <c r="CX6" s="1"/>
      <c r="CY6" s="1"/>
      <c r="DA6" s="36"/>
      <c r="DD6" s="3" t="s">
        <v>435</v>
      </c>
      <c r="DE6" s="1">
        <v>0</v>
      </c>
      <c r="DF6" s="1">
        <f t="shared" ref="DF6:DM6" si="178">IF(AND(DE4=1,DE5=1),1,IF(AND(DE4=0,DE5=1),3,0))</f>
        <v>0</v>
      </c>
      <c r="DG6" s="1">
        <f t="shared" si="178"/>
        <v>0</v>
      </c>
      <c r="DH6" s="1">
        <f t="shared" si="178"/>
        <v>0</v>
      </c>
      <c r="DI6" s="1">
        <f t="shared" si="178"/>
        <v>0</v>
      </c>
      <c r="DJ6" s="1">
        <f t="shared" si="178"/>
        <v>0</v>
      </c>
      <c r="DK6" s="1">
        <f t="shared" si="178"/>
        <v>0</v>
      </c>
      <c r="DL6" s="1">
        <f t="shared" si="178"/>
        <v>0</v>
      </c>
      <c r="DM6" s="1">
        <f t="shared" si="178"/>
        <v>0</v>
      </c>
      <c r="DN6" s="1"/>
      <c r="DO6" s="1"/>
      <c r="DQ6" s="36"/>
      <c r="DT6" s="3" t="s">
        <v>436</v>
      </c>
      <c r="DU6" s="1">
        <v>0</v>
      </c>
      <c r="DV6" s="1">
        <f t="shared" ref="DV6:EC6" si="179">IF(AND(DU4=1,DU5=1),1,IF(AND(DU4=0,DU5=1),3,0))</f>
        <v>0</v>
      </c>
      <c r="DW6" s="1">
        <f t="shared" si="179"/>
        <v>0</v>
      </c>
      <c r="DX6" s="1">
        <f t="shared" si="179"/>
        <v>0</v>
      </c>
      <c r="DY6" s="1">
        <f t="shared" si="179"/>
        <v>0</v>
      </c>
      <c r="DZ6" s="1">
        <f t="shared" si="179"/>
        <v>0</v>
      </c>
      <c r="EA6" s="1">
        <f t="shared" si="179"/>
        <v>0</v>
      </c>
      <c r="EB6" s="1">
        <f t="shared" si="179"/>
        <v>0</v>
      </c>
      <c r="EC6" s="1">
        <f t="shared" si="179"/>
        <v>0</v>
      </c>
      <c r="ED6" s="1"/>
      <c r="EE6" s="1"/>
      <c r="EG6" s="36"/>
      <c r="EJ6" s="3" t="s">
        <v>437</v>
      </c>
      <c r="EK6" s="1">
        <v>2</v>
      </c>
      <c r="EL6" s="1">
        <v>2</v>
      </c>
      <c r="EM6" s="1">
        <f t="shared" ref="EM6:ES6" si="180">IF(AND(EL4=1,EL5=1),1,IF(AND(EL4=0,EL5=1),3,0))</f>
        <v>0</v>
      </c>
      <c r="EN6" s="1">
        <f t="shared" si="180"/>
        <v>0</v>
      </c>
      <c r="EO6" s="1">
        <f t="shared" si="180"/>
        <v>0</v>
      </c>
      <c r="EP6" s="1">
        <f t="shared" si="180"/>
        <v>0</v>
      </c>
      <c r="EQ6" s="1">
        <f t="shared" si="180"/>
        <v>0</v>
      </c>
      <c r="ER6" s="1">
        <f t="shared" si="180"/>
        <v>0</v>
      </c>
      <c r="ES6" s="1">
        <f t="shared" si="180"/>
        <v>0</v>
      </c>
      <c r="ET6" s="1"/>
      <c r="EU6" s="1"/>
      <c r="EW6" s="36"/>
      <c r="EZ6" s="3" t="s">
        <v>438</v>
      </c>
      <c r="FA6" s="1">
        <v>2</v>
      </c>
      <c r="FB6" s="1">
        <v>2</v>
      </c>
      <c r="FC6" s="1">
        <v>2</v>
      </c>
      <c r="FD6" s="1">
        <f t="shared" ref="FD6:FI6" si="181">IF(AND(FC4=1,FC5=1),1,IF(AND(FC4=0,FC5=1),3,0))</f>
        <v>0</v>
      </c>
      <c r="FE6" s="1">
        <f t="shared" si="181"/>
        <v>0</v>
      </c>
      <c r="FF6" s="1">
        <f t="shared" si="181"/>
        <v>0</v>
      </c>
      <c r="FG6" s="1">
        <f t="shared" si="181"/>
        <v>0</v>
      </c>
      <c r="FH6" s="1">
        <f t="shared" si="181"/>
        <v>0</v>
      </c>
      <c r="FI6" s="1">
        <f t="shared" si="181"/>
        <v>0</v>
      </c>
      <c r="FJ6" s="1"/>
      <c r="FK6" s="1"/>
      <c r="FM6" s="36"/>
      <c r="FP6" s="3" t="s">
        <v>439</v>
      </c>
      <c r="FQ6" s="1">
        <v>2</v>
      </c>
      <c r="FR6" s="1">
        <v>2</v>
      </c>
      <c r="FS6" s="1">
        <v>2</v>
      </c>
      <c r="FT6" s="1">
        <f t="shared" ref="FT6:FY6" si="182">IF(AND(FS4=1,FS5=1),1,IF(AND(FS4=0,FS5=1),3,0))</f>
        <v>0</v>
      </c>
      <c r="FU6" s="1">
        <f t="shared" si="182"/>
        <v>0</v>
      </c>
      <c r="FV6" s="1">
        <f t="shared" si="182"/>
        <v>0</v>
      </c>
      <c r="FW6" s="1">
        <f t="shared" si="182"/>
        <v>0</v>
      </c>
      <c r="FX6" s="1">
        <f t="shared" si="182"/>
        <v>0</v>
      </c>
      <c r="FY6" s="1">
        <f t="shared" si="182"/>
        <v>0</v>
      </c>
      <c r="FZ6" s="1"/>
      <c r="GA6" s="1"/>
      <c r="GC6" s="36"/>
      <c r="GF6" s="3" t="s">
        <v>440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83">IF(AND(GJ4=1,GJ5=1),1,IF(AND(GJ4=0,GJ5=1),3,0))</f>
        <v>0</v>
      </c>
      <c r="GL6" s="1">
        <f t="shared" si="183"/>
        <v>0</v>
      </c>
      <c r="GM6" s="1">
        <f t="shared" si="183"/>
        <v>0</v>
      </c>
      <c r="GN6" s="1">
        <f t="shared" si="183"/>
        <v>0</v>
      </c>
      <c r="GO6" s="1">
        <f t="shared" si="183"/>
        <v>0</v>
      </c>
      <c r="GP6" s="1"/>
      <c r="GQ6" s="1"/>
      <c r="GS6" s="36"/>
      <c r="GV6" s="3" t="s">
        <v>441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84">IF(AND(GZ4=1,GZ5=1),1,IF(AND(GZ4=0,GZ5=1),3,0))</f>
        <v>0</v>
      </c>
      <c r="HB6" s="1">
        <f t="shared" si="184"/>
        <v>0</v>
      </c>
      <c r="HC6" s="1">
        <f t="shared" si="184"/>
        <v>0</v>
      </c>
      <c r="HD6" s="1">
        <f t="shared" si="184"/>
        <v>0</v>
      </c>
      <c r="HE6" s="1">
        <f t="shared" si="184"/>
        <v>0</v>
      </c>
      <c r="HF6" s="1"/>
      <c r="HG6" s="1"/>
      <c r="HH6" s="1"/>
      <c r="HI6" s="36"/>
      <c r="HJ6" s="1"/>
      <c r="HK6" s="1"/>
      <c r="HL6" s="3" t="s">
        <v>442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85">IF(AND(HQ4=1,HQ5=1),1,IF(AND(HQ4=0,HQ5=1),3,0))</f>
        <v>0</v>
      </c>
      <c r="HS6" s="1">
        <f t="shared" si="185"/>
        <v>0</v>
      </c>
      <c r="HT6" s="1">
        <f t="shared" si="185"/>
        <v>0</v>
      </c>
      <c r="HU6" s="1">
        <f t="shared" si="185"/>
        <v>0</v>
      </c>
      <c r="HV6" s="1"/>
      <c r="HW6" s="1"/>
      <c r="HX6" s="1"/>
      <c r="HY6" s="36"/>
      <c r="HZ6" s="1"/>
      <c r="IA6" s="1"/>
      <c r="IB6" s="3" t="s">
        <v>443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86">IF(AND(IG4=1,IG5=1),1,IF(AND(IG4=0,IG5=1),3,0))</f>
        <v>0</v>
      </c>
      <c r="II6" s="1">
        <f t="shared" si="186"/>
        <v>0</v>
      </c>
      <c r="IJ6" s="1">
        <f t="shared" si="186"/>
        <v>0</v>
      </c>
      <c r="IK6" s="1">
        <f t="shared" si="186"/>
        <v>0</v>
      </c>
      <c r="IL6" s="1"/>
      <c r="IM6" s="1"/>
      <c r="IO6" s="36"/>
      <c r="IR6" s="3" t="s">
        <v>444</v>
      </c>
      <c r="IS6" s="1">
        <v>2</v>
      </c>
      <c r="IT6" s="1">
        <v>2</v>
      </c>
      <c r="IU6" s="1">
        <v>2</v>
      </c>
      <c r="IV6" s="1">
        <v>2</v>
      </c>
      <c r="IW6" s="1">
        <v>2</v>
      </c>
      <c r="IX6" s="1">
        <v>2</v>
      </c>
      <c r="IY6" s="1">
        <f t="shared" ref="IY6:JA6" si="187">IF(AND(IX4=1,IX5=1),1,IF(AND(IX4=0,IX5=1),3,0))</f>
        <v>0</v>
      </c>
      <c r="IZ6" s="1">
        <f t="shared" si="187"/>
        <v>0</v>
      </c>
      <c r="JA6" s="1">
        <f t="shared" si="187"/>
        <v>0</v>
      </c>
      <c r="JB6" s="1"/>
      <c r="JC6" s="1"/>
      <c r="JD6" s="1"/>
      <c r="JE6" s="36"/>
      <c r="JF6" s="1"/>
      <c r="JH6" s="3" t="s">
        <v>445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88">IF(AND(JL4=1,JL5=1),1,IF(AND(JL4=0,JL5=1),3,0))</f>
        <v>0</v>
      </c>
      <c r="JN6" s="1">
        <f t="shared" si="188"/>
        <v>0</v>
      </c>
      <c r="JO6" s="1">
        <f t="shared" si="188"/>
        <v>0</v>
      </c>
      <c r="JP6" s="1">
        <f t="shared" si="188"/>
        <v>0</v>
      </c>
      <c r="JQ6" s="1">
        <f t="shared" si="188"/>
        <v>0</v>
      </c>
      <c r="JR6" s="1"/>
      <c r="JS6" s="1"/>
      <c r="JT6" s="1"/>
      <c r="JU6" s="36"/>
      <c r="JV6" s="1"/>
      <c r="JX6" s="3" t="s">
        <v>446</v>
      </c>
      <c r="JY6" s="1">
        <v>2</v>
      </c>
      <c r="JZ6" s="1">
        <v>2</v>
      </c>
      <c r="KA6" s="1">
        <v>2</v>
      </c>
      <c r="KB6" s="1">
        <v>2</v>
      </c>
      <c r="KC6" s="1">
        <f>IF(AND(KB4=1,KB5=1),1,IF(AND(KB4=0,KB5=1),3,0))</f>
        <v>0</v>
      </c>
      <c r="KD6" s="1">
        <f t="shared" ref="KD6:KG6" si="189">IF(AND(KC4=1,KC5=1),1,IF(AND(KC4=0,KC5=1),3,0))</f>
        <v>0</v>
      </c>
      <c r="KE6" s="1">
        <f t="shared" si="189"/>
        <v>0</v>
      </c>
      <c r="KF6" s="1">
        <f t="shared" si="189"/>
        <v>0</v>
      </c>
      <c r="KG6" s="1">
        <f t="shared" si="189"/>
        <v>0</v>
      </c>
      <c r="KH6" s="1"/>
      <c r="KI6" s="1"/>
      <c r="KJ6" s="1"/>
      <c r="KK6" s="36"/>
      <c r="KL6" s="1"/>
      <c r="KN6" s="3" t="s">
        <v>447</v>
      </c>
      <c r="KO6" s="1">
        <v>0</v>
      </c>
      <c r="KP6" s="1">
        <f>IF(AND(KO4=1,KO5=1),1,IF(AND(KO4=0,KO5=1),3,0))</f>
        <v>0</v>
      </c>
      <c r="KQ6" s="1">
        <f t="shared" ref="KQ6" si="190">IF(AND(KP4=1,KP5=1),1,IF(AND(KP4=0,KP5=1),3,0))</f>
        <v>0</v>
      </c>
      <c r="KR6" s="1">
        <f t="shared" ref="KR6" si="191">IF(AND(KQ4=1,KQ5=1),1,IF(AND(KQ4=0,KQ5=1),3,0))</f>
        <v>0</v>
      </c>
      <c r="KS6" s="1">
        <f t="shared" ref="KS6" si="192">IF(AND(KR4=1,KR5=1),1,IF(AND(KR4=0,KR5=1),3,0))</f>
        <v>0</v>
      </c>
      <c r="KT6" s="1">
        <f t="shared" ref="KT6" si="193">IF(AND(KS4=1,KS5=1),1,IF(AND(KS4=0,KS5=1),3,0))</f>
        <v>0</v>
      </c>
      <c r="KU6" s="1">
        <f t="shared" ref="KU6" si="194">IF(AND(KT4=1,KT5=1),1,IF(AND(KT4=0,KT5=1),3,0))</f>
        <v>0</v>
      </c>
      <c r="KV6" s="1">
        <f t="shared" ref="KV6" si="195">IF(AND(KU4=1,KU5=1),1,IF(AND(KU4=0,KU5=1),3,0))</f>
        <v>0</v>
      </c>
      <c r="KW6" s="1">
        <f t="shared" ref="KW6" si="196">IF(AND(KV4=1,KV5=1),1,IF(AND(KV4=0,KV5=1),3,0))</f>
        <v>0</v>
      </c>
      <c r="KX6" s="1"/>
      <c r="KY6" s="1"/>
      <c r="KZ6" s="1"/>
      <c r="LA6" s="36"/>
      <c r="LB6" s="1"/>
      <c r="LD6" s="3" t="s">
        <v>448</v>
      </c>
      <c r="LE6" s="1">
        <v>0</v>
      </c>
      <c r="LF6" s="1">
        <f>IF(AND(LE4=1,LE5=1),1,IF(AND(LE4=0,LE5=1),3,0))</f>
        <v>0</v>
      </c>
      <c r="LG6" s="1">
        <f t="shared" ref="LG6" si="197">IF(AND(LF4=1,LF5=1),1,IF(AND(LF4=0,LF5=1),3,0))</f>
        <v>0</v>
      </c>
      <c r="LH6" s="1">
        <f t="shared" ref="LH6" si="198">IF(AND(LG4=1,LG5=1),1,IF(AND(LG4=0,LG5=1),3,0))</f>
        <v>0</v>
      </c>
      <c r="LI6" s="1">
        <f t="shared" ref="LI6" si="199">IF(AND(LH4=1,LH5=1),1,IF(AND(LH4=0,LH5=1),3,0))</f>
        <v>0</v>
      </c>
      <c r="LJ6" s="1">
        <f t="shared" ref="LJ6" si="200">IF(AND(LI4=1,LI5=1),1,IF(AND(LI4=0,LI5=1),3,0))</f>
        <v>0</v>
      </c>
      <c r="LK6" s="1">
        <f t="shared" ref="LK6" si="201">IF(AND(LJ4=1,LJ5=1),1,IF(AND(LJ4=0,LJ5=1),3,0))</f>
        <v>0</v>
      </c>
      <c r="LL6" s="1">
        <f t="shared" ref="LL6" si="202">IF(AND(LK4=1,LK5=1),1,IF(AND(LK4=0,LK5=1),3,0))</f>
        <v>0</v>
      </c>
      <c r="LM6" s="1">
        <f t="shared" ref="LM6" si="203">IF(AND(LL4=1,LL5=1),1,IF(AND(LL4=0,LL5=1),3,0))</f>
        <v>0</v>
      </c>
      <c r="LN6" s="1"/>
      <c r="LO6" s="1"/>
      <c r="LP6" s="1"/>
      <c r="LQ6" s="36"/>
      <c r="LR6" s="1"/>
      <c r="LT6" s="3" t="s">
        <v>449</v>
      </c>
      <c r="LU6" s="1">
        <v>0</v>
      </c>
      <c r="LV6" s="1">
        <f>IF(AND(LU4=1,LU5=1),1,IF(AND(LU4=0,LU5=1),3,0))</f>
        <v>0</v>
      </c>
      <c r="LW6" s="1">
        <f t="shared" ref="LW6" si="204">IF(AND(LV4=1,LV5=1),1,IF(AND(LV4=0,LV5=1),3,0))</f>
        <v>0</v>
      </c>
      <c r="LX6" s="1">
        <f t="shared" ref="LX6" si="205">IF(AND(LW4=1,LW5=1),1,IF(AND(LW4=0,LW5=1),3,0))</f>
        <v>0</v>
      </c>
      <c r="LY6" s="1">
        <f t="shared" ref="LY6" si="206">IF(AND(LX4=1,LX5=1),1,IF(AND(LX4=0,LX5=1),3,0))</f>
        <v>0</v>
      </c>
      <c r="LZ6" s="1">
        <f t="shared" ref="LZ6" si="207">IF(AND(LY4=1,LY5=1),1,IF(AND(LY4=0,LY5=1),3,0))</f>
        <v>0</v>
      </c>
      <c r="MA6" s="1">
        <f t="shared" ref="MA6" si="208">IF(AND(LZ4=1,LZ5=1),1,IF(AND(LZ4=0,LZ5=1),3,0))</f>
        <v>0</v>
      </c>
      <c r="MB6" s="1">
        <f t="shared" ref="MB6" si="209">IF(AND(MA4=1,MA5=1),1,IF(AND(MA4=0,MA5=1),3,0))</f>
        <v>0</v>
      </c>
      <c r="MC6" s="1">
        <f t="shared" ref="MC6" si="210">IF(AND(MB4=1,MB5=1),1,IF(AND(MB4=0,MB5=1),3,0))</f>
        <v>0</v>
      </c>
      <c r="MD6" s="1"/>
      <c r="ME6" s="1"/>
      <c r="MF6" s="1"/>
      <c r="MG6" s="36"/>
      <c r="MH6" s="1"/>
      <c r="MJ6" s="3" t="s">
        <v>450</v>
      </c>
      <c r="MK6" s="1">
        <v>0</v>
      </c>
      <c r="ML6" s="1">
        <f>IF(AND(MK4=1,MK5=1),1,IF(AND(MK4=0,MK5=1),3,0))</f>
        <v>0</v>
      </c>
      <c r="MM6" s="1">
        <f t="shared" ref="MM6" si="211">IF(AND(ML4=1,ML5=1),1,IF(AND(ML4=0,ML5=1),3,0))</f>
        <v>0</v>
      </c>
      <c r="MN6" s="1">
        <f t="shared" ref="MN6" si="212">IF(AND(MM4=1,MM5=1),1,IF(AND(MM4=0,MM5=1),3,0))</f>
        <v>0</v>
      </c>
      <c r="MO6" s="1">
        <f t="shared" ref="MO6" si="213">IF(AND(MN4=1,MN5=1),1,IF(AND(MN4=0,MN5=1),3,0))</f>
        <v>0</v>
      </c>
      <c r="MP6" s="1">
        <f t="shared" ref="MP6" si="214">IF(AND(MO4=1,MO5=1),1,IF(AND(MO4=0,MO5=1),3,0))</f>
        <v>0</v>
      </c>
      <c r="MQ6" s="1">
        <f t="shared" ref="MQ6" si="215">IF(AND(MP4=1,MP5=1),1,IF(AND(MP4=0,MP5=1),3,0))</f>
        <v>0</v>
      </c>
      <c r="MR6" s="1">
        <f t="shared" ref="MR6" si="216">IF(AND(MQ4=1,MQ5=1),1,IF(AND(MQ4=0,MQ5=1),3,0))</f>
        <v>0</v>
      </c>
      <c r="MS6" s="1">
        <f t="shared" ref="MS6" si="217">IF(AND(MR4=1,MR5=1),1,IF(AND(MR4=0,MR5=1),3,0))</f>
        <v>0</v>
      </c>
      <c r="MT6" s="1"/>
      <c r="MU6" s="1"/>
      <c r="MV6" s="1"/>
      <c r="MW6" s="36"/>
      <c r="MX6" s="1"/>
      <c r="MZ6" s="3" t="s">
        <v>451</v>
      </c>
      <c r="NA6" s="1">
        <v>0</v>
      </c>
      <c r="NB6" s="1">
        <f>IF(AND(NA4=1,NA5=1),1,IF(AND(NA4=0,NA5=1),3,0))</f>
        <v>0</v>
      </c>
      <c r="NC6" s="1">
        <f t="shared" ref="NC6" si="218">IF(AND(NB4=1,NB5=1),1,IF(AND(NB4=0,NB5=1),3,0))</f>
        <v>0</v>
      </c>
      <c r="ND6" s="1">
        <f t="shared" ref="ND6" si="219">IF(AND(NC4=1,NC5=1),1,IF(AND(NC4=0,NC5=1),3,0))</f>
        <v>0</v>
      </c>
      <c r="NE6" s="1">
        <f t="shared" ref="NE6" si="220">IF(AND(ND4=1,ND5=1),1,IF(AND(ND4=0,ND5=1),3,0))</f>
        <v>0</v>
      </c>
      <c r="NF6" s="1">
        <f t="shared" ref="NF6" si="221">IF(AND(NE4=1,NE5=1),1,IF(AND(NE4=0,NE5=1),3,0))</f>
        <v>0</v>
      </c>
      <c r="NG6" s="1">
        <f t="shared" ref="NG6" si="222">IF(AND(NF4=1,NF5=1),1,IF(AND(NF4=0,NF5=1),3,0))</f>
        <v>0</v>
      </c>
      <c r="NH6" s="1">
        <f t="shared" ref="NH6" si="223">IF(AND(NG4=1,NG5=1),1,IF(AND(NG4=0,NG5=1),3,0))</f>
        <v>0</v>
      </c>
      <c r="NI6" s="1">
        <f t="shared" ref="NI6" si="224">IF(AND(NH4=1,NH5=1),1,IF(AND(NH4=0,NH5=1),3,0))</f>
        <v>0</v>
      </c>
      <c r="NJ6" s="1"/>
      <c r="NK6" s="1"/>
      <c r="NL6" s="1"/>
      <c r="NM6" s="36"/>
      <c r="NN6" s="1"/>
      <c r="NP6" s="3" t="s">
        <v>452</v>
      </c>
      <c r="NQ6" s="1">
        <v>0</v>
      </c>
      <c r="NR6" s="1">
        <f>IF(AND(NQ4=1,NQ5=1),1,IF(AND(NQ4=0,NQ5=1),3,0))</f>
        <v>0</v>
      </c>
      <c r="NS6" s="1">
        <f t="shared" ref="NS6" si="225">IF(AND(NR4=1,NR5=1),1,IF(AND(NR4=0,NR5=1),3,0))</f>
        <v>0</v>
      </c>
      <c r="NT6" s="1">
        <f t="shared" ref="NT6" si="226">IF(AND(NS4=1,NS5=1),1,IF(AND(NS4=0,NS5=1),3,0))</f>
        <v>0</v>
      </c>
      <c r="NU6" s="1">
        <f t="shared" ref="NU6" si="227">IF(AND(NT4=1,NT5=1),1,IF(AND(NT4=0,NT5=1),3,0))</f>
        <v>0</v>
      </c>
      <c r="NV6" s="1">
        <f t="shared" ref="NV6" si="228">IF(AND(NU4=1,NU5=1),1,IF(AND(NU4=0,NU5=1),3,0))</f>
        <v>0</v>
      </c>
      <c r="NW6" s="1">
        <f t="shared" ref="NW6" si="229">IF(AND(NV4=1,NV5=1),1,IF(AND(NV4=0,NV5=1),3,0))</f>
        <v>0</v>
      </c>
      <c r="NX6" s="1">
        <f t="shared" ref="NX6" si="230">IF(AND(NW4=1,NW5=1),1,IF(AND(NW4=0,NW5=1),3,0))</f>
        <v>0</v>
      </c>
      <c r="NY6" s="1">
        <f t="shared" ref="NY6" si="231">IF(AND(NX4=1,NX5=1),1,IF(AND(NX4=0,NX5=1),3,0))</f>
        <v>0</v>
      </c>
      <c r="NZ6" s="1"/>
      <c r="OA6" s="1"/>
      <c r="OB6" s="1"/>
      <c r="OC6" s="36"/>
      <c r="OD6" s="1"/>
      <c r="OF6" s="3" t="s">
        <v>453</v>
      </c>
      <c r="OG6" s="1">
        <v>0</v>
      </c>
      <c r="OH6" s="1">
        <f>IF(AND(OG4=1,OG5=1),1,IF(AND(OG4=0,OG5=1),3,0))</f>
        <v>0</v>
      </c>
      <c r="OI6" s="1">
        <f t="shared" ref="OI6" si="232">IF(AND(OH4=1,OH5=1),1,IF(AND(OH4=0,OH5=1),3,0))</f>
        <v>0</v>
      </c>
      <c r="OJ6" s="1">
        <f t="shared" ref="OJ6" si="233">IF(AND(OI4=1,OI5=1),1,IF(AND(OI4=0,OI5=1),3,0))</f>
        <v>0</v>
      </c>
      <c r="OK6" s="1">
        <f t="shared" ref="OK6" si="234">IF(AND(OJ4=1,OJ5=1),1,IF(AND(OJ4=0,OJ5=1),3,0))</f>
        <v>0</v>
      </c>
      <c r="OL6" s="1">
        <f t="shared" ref="OL6" si="235">IF(AND(OK4=1,OK5=1),1,IF(AND(OK4=0,OK5=1),3,0))</f>
        <v>0</v>
      </c>
      <c r="OM6" s="1">
        <f t="shared" ref="OM6" si="236">IF(AND(OL4=1,OL5=1),1,IF(AND(OL4=0,OL5=1),3,0))</f>
        <v>0</v>
      </c>
      <c r="ON6" s="1">
        <f t="shared" ref="ON6" si="237">IF(AND(OM4=1,OM5=1),1,IF(AND(OM4=0,OM5=1),3,0))</f>
        <v>0</v>
      </c>
      <c r="OO6" s="1">
        <f t="shared" ref="OO6" si="238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T6" s="3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U6" s="3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I6" s="3"/>
      <c r="RJ6" s="1"/>
      <c r="RK6" s="1"/>
      <c r="RL6" s="1"/>
      <c r="RM6" s="1"/>
      <c r="RN6" s="1"/>
      <c r="RO6" s="1"/>
      <c r="RP6" s="1"/>
      <c r="RQ6" s="1"/>
      <c r="RR6" s="1"/>
      <c r="RW6" s="3"/>
      <c r="RX6" s="1"/>
      <c r="RY6" s="1"/>
      <c r="RZ6" s="1"/>
      <c r="SA6" s="1"/>
      <c r="SB6" s="1"/>
      <c r="SC6" s="1"/>
      <c r="SD6" s="1"/>
      <c r="SE6" s="1"/>
      <c r="SF6" s="1"/>
      <c r="SK6" s="3"/>
      <c r="SL6" s="1"/>
      <c r="SM6" s="1"/>
      <c r="SN6" s="1"/>
      <c r="SO6" s="1"/>
      <c r="SP6" s="1"/>
      <c r="SQ6" s="1"/>
      <c r="SR6" s="1"/>
      <c r="SS6" s="1"/>
      <c r="ST6" s="1"/>
    </row>
    <row r="7" spans="1:514" x14ac:dyDescent="0.2">
      <c r="A7" s="3" t="s">
        <v>454</v>
      </c>
      <c r="B7" s="3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455</v>
      </c>
      <c r="BI7" s="1">
        <v>0</v>
      </c>
      <c r="BJ7" s="1">
        <f>IF(AND(BI6=2,BJ6&lt;&gt;2),1,0)</f>
        <v>0</v>
      </c>
      <c r="BK7" s="1">
        <f t="shared" ref="BK7:BQ7" si="239">IF(AND(BJ6=2,BK6&lt;&gt;2),1,0)</f>
        <v>0</v>
      </c>
      <c r="BL7" s="1">
        <f t="shared" si="239"/>
        <v>0</v>
      </c>
      <c r="BM7" s="1">
        <f t="shared" si="239"/>
        <v>0</v>
      </c>
      <c r="BN7" s="1">
        <f t="shared" si="239"/>
        <v>0</v>
      </c>
      <c r="BO7" s="1">
        <f t="shared" si="239"/>
        <v>0</v>
      </c>
      <c r="BP7" s="1">
        <f t="shared" si="239"/>
        <v>0</v>
      </c>
      <c r="BQ7" s="1">
        <f t="shared" si="239"/>
        <v>0</v>
      </c>
      <c r="BR7" s="1"/>
      <c r="BS7" s="1"/>
      <c r="BU7" s="36"/>
      <c r="BX7" s="3" t="s">
        <v>456</v>
      </c>
      <c r="BY7" s="1">
        <v>0</v>
      </c>
      <c r="BZ7" s="1">
        <f>IF(AND(BY6=2,BZ6&lt;&gt;2),1,0)</f>
        <v>0</v>
      </c>
      <c r="CA7" s="1">
        <f t="shared" ref="CA7:CG7" si="240">IF(AND(BZ6=2,CA6&lt;&gt;2),1,0)</f>
        <v>1</v>
      </c>
      <c r="CB7" s="1">
        <f t="shared" si="240"/>
        <v>0</v>
      </c>
      <c r="CC7" s="1">
        <f t="shared" si="240"/>
        <v>0</v>
      </c>
      <c r="CD7" s="1">
        <f t="shared" si="240"/>
        <v>0</v>
      </c>
      <c r="CE7" s="1">
        <f t="shared" si="240"/>
        <v>0</v>
      </c>
      <c r="CF7" s="1">
        <f t="shared" si="240"/>
        <v>0</v>
      </c>
      <c r="CG7" s="1">
        <f t="shared" si="240"/>
        <v>0</v>
      </c>
      <c r="CH7" s="1"/>
      <c r="CI7" s="1"/>
      <c r="CK7" s="36"/>
      <c r="CN7" s="3" t="s">
        <v>457</v>
      </c>
      <c r="CO7" s="1">
        <v>0</v>
      </c>
      <c r="CP7" s="1">
        <f>IF(AND(CO6=2,CP6&lt;&gt;2),1,0)</f>
        <v>0</v>
      </c>
      <c r="CQ7" s="1">
        <f t="shared" ref="CQ7:CW7" si="241">IF(AND(CP6=2,CQ6&lt;&gt;2),1,0)</f>
        <v>0</v>
      </c>
      <c r="CR7" s="1">
        <f t="shared" si="241"/>
        <v>0</v>
      </c>
      <c r="CS7" s="1">
        <f t="shared" si="241"/>
        <v>0</v>
      </c>
      <c r="CT7" s="1">
        <f t="shared" si="241"/>
        <v>0</v>
      </c>
      <c r="CU7" s="1">
        <f t="shared" si="241"/>
        <v>0</v>
      </c>
      <c r="CV7" s="1">
        <f t="shared" si="241"/>
        <v>0</v>
      </c>
      <c r="CW7" s="1">
        <f t="shared" si="241"/>
        <v>0</v>
      </c>
      <c r="CX7" s="1"/>
      <c r="CY7" s="1"/>
      <c r="DA7" s="36"/>
      <c r="DD7" s="3" t="s">
        <v>458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2">IF(AND(DG6=2,DH6&lt;&gt;2),1,0)</f>
        <v>0</v>
      </c>
      <c r="DI7" s="1">
        <f t="shared" si="242"/>
        <v>0</v>
      </c>
      <c r="DJ7" s="1">
        <f t="shared" si="242"/>
        <v>0</v>
      </c>
      <c r="DK7" s="1">
        <f t="shared" si="242"/>
        <v>0</v>
      </c>
      <c r="DL7" s="1">
        <f t="shared" si="242"/>
        <v>0</v>
      </c>
      <c r="DM7" s="1">
        <f t="shared" si="242"/>
        <v>0</v>
      </c>
      <c r="DN7" s="1"/>
      <c r="DO7" s="1"/>
      <c r="DQ7" s="36"/>
      <c r="DT7" s="3" t="s">
        <v>459</v>
      </c>
      <c r="DU7" s="1">
        <v>0</v>
      </c>
      <c r="DV7" s="1">
        <f>IF(AND(DU6=2,DV6&lt;&gt;2),1,0)</f>
        <v>0</v>
      </c>
      <c r="DW7" s="1">
        <f t="shared" ref="DW7:EC7" si="243">IF(AND(DV6=2,DW6&lt;&gt;2),1,0)</f>
        <v>0</v>
      </c>
      <c r="DX7" s="1">
        <f t="shared" si="243"/>
        <v>0</v>
      </c>
      <c r="DY7" s="1">
        <f t="shared" si="243"/>
        <v>0</v>
      </c>
      <c r="DZ7" s="1">
        <f t="shared" si="243"/>
        <v>0</v>
      </c>
      <c r="EA7" s="1">
        <f t="shared" si="243"/>
        <v>0</v>
      </c>
      <c r="EB7" s="1">
        <f t="shared" si="243"/>
        <v>0</v>
      </c>
      <c r="EC7" s="1">
        <f t="shared" si="243"/>
        <v>0</v>
      </c>
      <c r="ED7" s="1"/>
      <c r="EE7" s="1"/>
      <c r="EG7" s="36"/>
      <c r="EJ7" s="3" t="s">
        <v>460</v>
      </c>
      <c r="EK7" s="1">
        <v>0</v>
      </c>
      <c r="EL7" s="1">
        <f>IF(AND(EK6=2,EL6&lt;&gt;2),1,0)</f>
        <v>0</v>
      </c>
      <c r="EM7" s="1">
        <f t="shared" ref="EM7:ES7" si="244">IF(AND(EL6=2,EM6&lt;&gt;2),1,0)</f>
        <v>1</v>
      </c>
      <c r="EN7" s="1">
        <f t="shared" si="244"/>
        <v>0</v>
      </c>
      <c r="EO7" s="1">
        <f t="shared" si="244"/>
        <v>0</v>
      </c>
      <c r="EP7" s="1">
        <f t="shared" si="244"/>
        <v>0</v>
      </c>
      <c r="EQ7" s="1">
        <f t="shared" si="244"/>
        <v>0</v>
      </c>
      <c r="ER7" s="1">
        <f t="shared" si="244"/>
        <v>0</v>
      </c>
      <c r="ES7" s="1">
        <f t="shared" si="244"/>
        <v>0</v>
      </c>
      <c r="ET7" s="1"/>
      <c r="EU7" s="1"/>
      <c r="EW7" s="36"/>
      <c r="EZ7" s="3" t="s">
        <v>461</v>
      </c>
      <c r="FA7" s="1">
        <v>0</v>
      </c>
      <c r="FB7" s="1">
        <f>IF(AND(FA6=2,FB6&lt;&gt;2),1,0)</f>
        <v>0</v>
      </c>
      <c r="FC7" s="1">
        <f t="shared" ref="FC7:FI7" si="245">IF(AND(FB6=2,FC6&lt;&gt;2),1,0)</f>
        <v>0</v>
      </c>
      <c r="FD7" s="1">
        <f t="shared" si="245"/>
        <v>1</v>
      </c>
      <c r="FE7" s="1">
        <f t="shared" si="245"/>
        <v>0</v>
      </c>
      <c r="FF7" s="1">
        <f t="shared" si="245"/>
        <v>0</v>
      </c>
      <c r="FG7" s="1">
        <f t="shared" si="245"/>
        <v>0</v>
      </c>
      <c r="FH7" s="1">
        <f t="shared" si="245"/>
        <v>0</v>
      </c>
      <c r="FI7" s="1">
        <f t="shared" si="245"/>
        <v>0</v>
      </c>
      <c r="FJ7" s="1"/>
      <c r="FK7" s="1"/>
      <c r="FM7" s="36"/>
      <c r="FP7" s="3" t="s">
        <v>462</v>
      </c>
      <c r="FQ7" s="1">
        <v>0</v>
      </c>
      <c r="FR7" s="1">
        <f>IF(AND(FQ6=2,FR6&lt;&gt;2),1,0)</f>
        <v>0</v>
      </c>
      <c r="FS7" s="1">
        <f t="shared" ref="FS7:FY7" si="246">IF(AND(FR6=2,FS6&lt;&gt;2),1,0)</f>
        <v>0</v>
      </c>
      <c r="FT7" s="1">
        <f t="shared" si="246"/>
        <v>1</v>
      </c>
      <c r="FU7" s="1">
        <f t="shared" si="246"/>
        <v>0</v>
      </c>
      <c r="FV7" s="1">
        <f t="shared" si="246"/>
        <v>0</v>
      </c>
      <c r="FW7" s="1">
        <f t="shared" si="246"/>
        <v>0</v>
      </c>
      <c r="FX7" s="1">
        <f t="shared" si="246"/>
        <v>0</v>
      </c>
      <c r="FY7" s="1">
        <f t="shared" si="246"/>
        <v>0</v>
      </c>
      <c r="FZ7" s="1"/>
      <c r="GA7" s="1"/>
      <c r="GC7" s="36"/>
      <c r="GF7" s="3" t="s">
        <v>463</v>
      </c>
      <c r="GG7" s="1">
        <v>0</v>
      </c>
      <c r="GH7" s="1">
        <f>IF(AND(GG6=2,GH6&lt;&gt;2),1,0)</f>
        <v>0</v>
      </c>
      <c r="GI7" s="1">
        <f t="shared" ref="GI7:GO7" si="247">IF(AND(GH6=2,GI6&lt;&gt;2),1,0)</f>
        <v>0</v>
      </c>
      <c r="GJ7" s="1">
        <f t="shared" si="247"/>
        <v>0</v>
      </c>
      <c r="GK7" s="1">
        <f t="shared" si="247"/>
        <v>1</v>
      </c>
      <c r="GL7" s="1">
        <f t="shared" si="247"/>
        <v>0</v>
      </c>
      <c r="GM7" s="1">
        <f t="shared" si="247"/>
        <v>0</v>
      </c>
      <c r="GN7" s="1">
        <f t="shared" si="247"/>
        <v>0</v>
      </c>
      <c r="GO7" s="1">
        <f t="shared" si="247"/>
        <v>0</v>
      </c>
      <c r="GP7" s="1"/>
      <c r="GQ7" s="1"/>
      <c r="GS7" s="36"/>
      <c r="GV7" s="3" t="s">
        <v>464</v>
      </c>
      <c r="GW7" s="1">
        <v>0</v>
      </c>
      <c r="GX7" s="1">
        <f>IF(AND(GW6=2,GX6&lt;&gt;2),1,0)</f>
        <v>0</v>
      </c>
      <c r="GY7" s="1">
        <f t="shared" ref="GY7:HE7" si="248">IF(AND(GX6=2,GY6&lt;&gt;2),1,0)</f>
        <v>0</v>
      </c>
      <c r="GZ7" s="1">
        <f t="shared" si="248"/>
        <v>0</v>
      </c>
      <c r="HA7" s="1">
        <f t="shared" si="248"/>
        <v>1</v>
      </c>
      <c r="HB7" s="1">
        <f t="shared" si="248"/>
        <v>0</v>
      </c>
      <c r="HC7" s="1">
        <f t="shared" si="248"/>
        <v>0</v>
      </c>
      <c r="HD7" s="1">
        <f t="shared" si="248"/>
        <v>0</v>
      </c>
      <c r="HE7" s="1">
        <f t="shared" si="248"/>
        <v>0</v>
      </c>
      <c r="HF7" s="1"/>
      <c r="HG7" s="1"/>
      <c r="HH7" s="1"/>
      <c r="HI7" s="36"/>
      <c r="HJ7" s="1"/>
      <c r="HK7" s="1"/>
      <c r="HL7" s="3" t="s">
        <v>465</v>
      </c>
      <c r="HM7" s="1">
        <v>0</v>
      </c>
      <c r="HN7" s="1">
        <f>IF(AND(HM6=2,HN6&lt;&gt;2),1,0)</f>
        <v>0</v>
      </c>
      <c r="HO7" s="1">
        <f t="shared" ref="HO7:HU7" si="249">IF(AND(HN6=2,HO6&lt;&gt;2),1,0)</f>
        <v>0</v>
      </c>
      <c r="HP7" s="1">
        <f t="shared" si="249"/>
        <v>0</v>
      </c>
      <c r="HQ7" s="1">
        <f t="shared" si="249"/>
        <v>0</v>
      </c>
      <c r="HR7" s="1">
        <f t="shared" si="249"/>
        <v>1</v>
      </c>
      <c r="HS7" s="1">
        <f t="shared" si="249"/>
        <v>0</v>
      </c>
      <c r="HT7" s="1">
        <f t="shared" si="249"/>
        <v>0</v>
      </c>
      <c r="HU7" s="1">
        <f t="shared" si="249"/>
        <v>0</v>
      </c>
      <c r="HV7" s="1"/>
      <c r="HW7" s="1"/>
      <c r="HX7" s="1"/>
      <c r="HY7" s="36"/>
      <c r="HZ7" s="1"/>
      <c r="IA7" s="1"/>
      <c r="IB7" s="3" t="s">
        <v>466</v>
      </c>
      <c r="IC7" s="1">
        <v>0</v>
      </c>
      <c r="ID7" s="1">
        <f>IF(AND(IC6=2,ID6&lt;&gt;2),1,0)</f>
        <v>0</v>
      </c>
      <c r="IE7" s="1">
        <f t="shared" ref="IE7:IK7" si="250">IF(AND(ID6=2,IE6&lt;&gt;2),1,0)</f>
        <v>0</v>
      </c>
      <c r="IF7" s="1">
        <f t="shared" si="250"/>
        <v>0</v>
      </c>
      <c r="IG7" s="1">
        <f t="shared" si="250"/>
        <v>0</v>
      </c>
      <c r="IH7" s="1">
        <f t="shared" si="250"/>
        <v>1</v>
      </c>
      <c r="II7" s="1">
        <f t="shared" si="250"/>
        <v>0</v>
      </c>
      <c r="IJ7" s="1">
        <f t="shared" si="250"/>
        <v>0</v>
      </c>
      <c r="IK7" s="1">
        <f t="shared" si="250"/>
        <v>0</v>
      </c>
      <c r="IL7" s="1"/>
      <c r="IM7" s="1"/>
      <c r="IO7" s="36"/>
      <c r="IR7" s="3" t="s">
        <v>467</v>
      </c>
      <c r="IS7" s="1">
        <v>0</v>
      </c>
      <c r="IT7" s="1">
        <f>IF(AND(IS6=2,IT6&lt;&gt;2),1,0)</f>
        <v>0</v>
      </c>
      <c r="IU7" s="1">
        <f t="shared" ref="IU7:JA7" si="251">IF(AND(IT6=2,IU6&lt;&gt;2),1,0)</f>
        <v>0</v>
      </c>
      <c r="IV7" s="1">
        <f t="shared" si="251"/>
        <v>0</v>
      </c>
      <c r="IW7" s="1">
        <f t="shared" si="251"/>
        <v>0</v>
      </c>
      <c r="IX7" s="1">
        <f t="shared" si="251"/>
        <v>0</v>
      </c>
      <c r="IY7" s="1">
        <f t="shared" si="251"/>
        <v>1</v>
      </c>
      <c r="IZ7" s="1">
        <f t="shared" si="251"/>
        <v>0</v>
      </c>
      <c r="JA7" s="1">
        <f t="shared" si="251"/>
        <v>0</v>
      </c>
      <c r="JB7" s="1"/>
      <c r="JC7" s="1"/>
      <c r="JD7" s="1"/>
      <c r="JE7" s="36"/>
      <c r="JF7" s="1"/>
      <c r="JH7" s="3" t="s">
        <v>468</v>
      </c>
      <c r="JI7" s="1">
        <v>0</v>
      </c>
      <c r="JJ7" s="1">
        <f>IF(AND(JI6=2,JJ6&lt;&gt;2),1,0)</f>
        <v>0</v>
      </c>
      <c r="JK7" s="1">
        <f t="shared" ref="JK7:JQ7" si="252">IF(AND(JJ6=2,JK6&lt;&gt;2),1,0)</f>
        <v>0</v>
      </c>
      <c r="JL7" s="1">
        <f t="shared" si="252"/>
        <v>0</v>
      </c>
      <c r="JM7" s="1">
        <f t="shared" si="252"/>
        <v>1</v>
      </c>
      <c r="JN7" s="1">
        <f t="shared" si="252"/>
        <v>0</v>
      </c>
      <c r="JO7" s="1">
        <f t="shared" si="252"/>
        <v>0</v>
      </c>
      <c r="JP7" s="1">
        <f t="shared" si="252"/>
        <v>0</v>
      </c>
      <c r="JQ7" s="1">
        <f t="shared" si="252"/>
        <v>0</v>
      </c>
      <c r="JR7" s="1"/>
      <c r="JS7" s="1"/>
      <c r="JT7" s="1"/>
      <c r="JU7" s="36"/>
      <c r="JV7" s="1"/>
      <c r="JX7" s="3" t="s">
        <v>469</v>
      </c>
      <c r="JY7" s="1">
        <v>0</v>
      </c>
      <c r="JZ7" s="1">
        <f>IF(AND(JY6=2,JZ6&lt;&gt;2),1,0)</f>
        <v>0</v>
      </c>
      <c r="KA7" s="1">
        <f t="shared" ref="KA7:KG7" si="253">IF(AND(JZ6=2,KA6&lt;&gt;2),1,0)</f>
        <v>0</v>
      </c>
      <c r="KB7" s="1">
        <f t="shared" si="253"/>
        <v>0</v>
      </c>
      <c r="KC7" s="1">
        <f t="shared" si="253"/>
        <v>1</v>
      </c>
      <c r="KD7" s="1">
        <f t="shared" si="253"/>
        <v>0</v>
      </c>
      <c r="KE7" s="1">
        <f t="shared" si="253"/>
        <v>0</v>
      </c>
      <c r="KF7" s="1">
        <f t="shared" si="253"/>
        <v>0</v>
      </c>
      <c r="KG7" s="1">
        <f t="shared" si="253"/>
        <v>0</v>
      </c>
      <c r="KH7" s="1"/>
      <c r="KI7" s="1"/>
      <c r="KJ7" s="1"/>
      <c r="KK7" s="36"/>
      <c r="KL7" s="1"/>
      <c r="KN7" s="3" t="s">
        <v>470</v>
      </c>
      <c r="KO7" s="1">
        <v>0</v>
      </c>
      <c r="KP7" s="1">
        <f>IF(AND(KO6=2,KP6&lt;&gt;2),1,0)</f>
        <v>0</v>
      </c>
      <c r="KQ7" s="1">
        <f t="shared" ref="KQ7:KW7" si="254">IF(AND(KP6=2,KQ6&lt;&gt;2),1,0)</f>
        <v>0</v>
      </c>
      <c r="KR7" s="1">
        <f t="shared" si="254"/>
        <v>0</v>
      </c>
      <c r="KS7" s="1">
        <f t="shared" si="254"/>
        <v>0</v>
      </c>
      <c r="KT7" s="1">
        <f t="shared" si="254"/>
        <v>0</v>
      </c>
      <c r="KU7" s="1">
        <f t="shared" si="254"/>
        <v>0</v>
      </c>
      <c r="KV7" s="1">
        <f t="shared" si="254"/>
        <v>0</v>
      </c>
      <c r="KW7" s="1">
        <f t="shared" si="254"/>
        <v>0</v>
      </c>
      <c r="KX7" s="1"/>
      <c r="KY7" s="1"/>
      <c r="KZ7" s="1"/>
      <c r="LA7" s="36"/>
      <c r="LB7" s="1"/>
      <c r="LD7" s="3" t="s">
        <v>471</v>
      </c>
      <c r="LE7" s="1">
        <v>0</v>
      </c>
      <c r="LF7" s="1">
        <f>IF(AND(LE6=2,LF6&lt;&gt;2),1,0)</f>
        <v>0</v>
      </c>
      <c r="LG7" s="1">
        <f t="shared" ref="LG7:LM7" si="255">IF(AND(LF6=2,LG6&lt;&gt;2),1,0)</f>
        <v>0</v>
      </c>
      <c r="LH7" s="1">
        <f t="shared" si="255"/>
        <v>0</v>
      </c>
      <c r="LI7" s="1">
        <f t="shared" si="255"/>
        <v>0</v>
      </c>
      <c r="LJ7" s="1">
        <f t="shared" si="255"/>
        <v>0</v>
      </c>
      <c r="LK7" s="1">
        <f t="shared" si="255"/>
        <v>0</v>
      </c>
      <c r="LL7" s="1">
        <f t="shared" si="255"/>
        <v>0</v>
      </c>
      <c r="LM7" s="1">
        <f t="shared" si="255"/>
        <v>0</v>
      </c>
      <c r="LN7" s="1"/>
      <c r="LO7" s="1"/>
      <c r="LP7" s="1"/>
      <c r="LQ7" s="36"/>
      <c r="LR7" s="1"/>
      <c r="LT7" s="3" t="s">
        <v>472</v>
      </c>
      <c r="LU7" s="1">
        <v>0</v>
      </c>
      <c r="LV7" s="1">
        <f>IF(AND(LU6=2,LV6&lt;&gt;2),1,0)</f>
        <v>0</v>
      </c>
      <c r="LW7" s="1">
        <f t="shared" ref="LW7:MC7" si="256">IF(AND(LV6=2,LW6&lt;&gt;2),1,0)</f>
        <v>0</v>
      </c>
      <c r="LX7" s="1">
        <f t="shared" si="256"/>
        <v>0</v>
      </c>
      <c r="LY7" s="1">
        <f t="shared" si="256"/>
        <v>0</v>
      </c>
      <c r="LZ7" s="1">
        <f t="shared" si="256"/>
        <v>0</v>
      </c>
      <c r="MA7" s="1">
        <f t="shared" si="256"/>
        <v>0</v>
      </c>
      <c r="MB7" s="1">
        <f t="shared" si="256"/>
        <v>0</v>
      </c>
      <c r="MC7" s="1">
        <f t="shared" si="256"/>
        <v>0</v>
      </c>
      <c r="MD7" s="1"/>
      <c r="ME7" s="1"/>
      <c r="MF7" s="1"/>
      <c r="MG7" s="36"/>
      <c r="MH7" s="1"/>
      <c r="MJ7" s="3" t="s">
        <v>473</v>
      </c>
      <c r="MK7" s="1">
        <v>0</v>
      </c>
      <c r="ML7" s="1">
        <f>IF(AND(MK6=2,ML6&lt;&gt;2),1,0)</f>
        <v>0</v>
      </c>
      <c r="MM7" s="1">
        <f t="shared" ref="MM7:MS7" si="257">IF(AND(ML6=2,MM6&lt;&gt;2),1,0)</f>
        <v>0</v>
      </c>
      <c r="MN7" s="1">
        <f t="shared" si="257"/>
        <v>0</v>
      </c>
      <c r="MO7" s="1">
        <f t="shared" si="257"/>
        <v>0</v>
      </c>
      <c r="MP7" s="1">
        <f t="shared" si="257"/>
        <v>0</v>
      </c>
      <c r="MQ7" s="1">
        <f t="shared" si="257"/>
        <v>0</v>
      </c>
      <c r="MR7" s="1">
        <f t="shared" si="257"/>
        <v>0</v>
      </c>
      <c r="MS7" s="1">
        <f t="shared" si="257"/>
        <v>0</v>
      </c>
      <c r="MT7" s="1"/>
      <c r="MU7" s="1"/>
      <c r="MV7" s="1"/>
      <c r="MW7" s="36"/>
      <c r="MX7" s="1"/>
      <c r="MZ7" s="3" t="s">
        <v>474</v>
      </c>
      <c r="NA7" s="1">
        <v>0</v>
      </c>
      <c r="NB7" s="1">
        <f>IF(AND(NA6=2,NB6&lt;&gt;2),1,0)</f>
        <v>0</v>
      </c>
      <c r="NC7" s="1">
        <f t="shared" ref="NC7:NI7" si="258">IF(AND(NB6=2,NC6&lt;&gt;2),1,0)</f>
        <v>0</v>
      </c>
      <c r="ND7" s="1">
        <f t="shared" si="258"/>
        <v>0</v>
      </c>
      <c r="NE7" s="1">
        <f t="shared" si="258"/>
        <v>0</v>
      </c>
      <c r="NF7" s="1">
        <f t="shared" si="258"/>
        <v>0</v>
      </c>
      <c r="NG7" s="1">
        <f t="shared" si="258"/>
        <v>0</v>
      </c>
      <c r="NH7" s="1">
        <f t="shared" si="258"/>
        <v>0</v>
      </c>
      <c r="NI7" s="1">
        <f t="shared" si="258"/>
        <v>0</v>
      </c>
      <c r="NJ7" s="1"/>
      <c r="NK7" s="1"/>
      <c r="NL7" s="1"/>
      <c r="NM7" s="36"/>
      <c r="NN7" s="1"/>
      <c r="NP7" s="3" t="s">
        <v>475</v>
      </c>
      <c r="NQ7" s="1">
        <v>0</v>
      </c>
      <c r="NR7" s="1">
        <f>IF(AND(NQ6=2,NR6&lt;&gt;2),1,0)</f>
        <v>0</v>
      </c>
      <c r="NS7" s="1">
        <f t="shared" ref="NS7:NY7" si="259">IF(AND(NR6=2,NS6&lt;&gt;2),1,0)</f>
        <v>0</v>
      </c>
      <c r="NT7" s="1">
        <f t="shared" si="259"/>
        <v>0</v>
      </c>
      <c r="NU7" s="1">
        <f t="shared" si="259"/>
        <v>0</v>
      </c>
      <c r="NV7" s="1">
        <f t="shared" si="259"/>
        <v>0</v>
      </c>
      <c r="NW7" s="1">
        <f t="shared" si="259"/>
        <v>0</v>
      </c>
      <c r="NX7" s="1">
        <f t="shared" si="259"/>
        <v>0</v>
      </c>
      <c r="NY7" s="1">
        <f t="shared" si="259"/>
        <v>0</v>
      </c>
      <c r="NZ7" s="1"/>
      <c r="OA7" s="1"/>
      <c r="OB7" s="1"/>
      <c r="OC7" s="36"/>
      <c r="OD7" s="1"/>
      <c r="OF7" s="3" t="s">
        <v>476</v>
      </c>
      <c r="OG7" s="1">
        <v>0</v>
      </c>
      <c r="OH7" s="1">
        <f>IF(AND(OG6=2,OH6&lt;&gt;2),1,0)</f>
        <v>0</v>
      </c>
      <c r="OI7" s="1">
        <f t="shared" ref="OI7:OO7" si="260">IF(AND(OH6=2,OI6&lt;&gt;2),1,0)</f>
        <v>0</v>
      </c>
      <c r="OJ7" s="1">
        <f t="shared" si="260"/>
        <v>0</v>
      </c>
      <c r="OK7" s="1">
        <f t="shared" si="260"/>
        <v>0</v>
      </c>
      <c r="OL7" s="1">
        <f t="shared" si="260"/>
        <v>0</v>
      </c>
      <c r="OM7" s="1">
        <f t="shared" si="260"/>
        <v>0</v>
      </c>
      <c r="ON7" s="1">
        <f t="shared" si="260"/>
        <v>0</v>
      </c>
      <c r="OO7" s="1">
        <f t="shared" si="260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T7" s="3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U7" s="3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I7" s="3"/>
      <c r="RJ7" s="1"/>
      <c r="RK7" s="1"/>
      <c r="RL7" s="1"/>
      <c r="RM7" s="1"/>
      <c r="RN7" s="1"/>
      <c r="RO7" s="1"/>
      <c r="RP7" s="1"/>
      <c r="RQ7" s="1"/>
      <c r="RR7" s="1"/>
      <c r="RW7" s="3"/>
      <c r="RX7" s="1"/>
      <c r="RY7" s="1"/>
      <c r="RZ7" s="1"/>
      <c r="SA7" s="1"/>
      <c r="SB7" s="1"/>
      <c r="SC7" s="1"/>
      <c r="SD7" s="1"/>
      <c r="SE7" s="1"/>
      <c r="SF7" s="1"/>
      <c r="SK7" s="3"/>
      <c r="SL7" s="1"/>
      <c r="SM7" s="1"/>
      <c r="SN7" s="1"/>
      <c r="SO7" s="1"/>
      <c r="SP7" s="1"/>
      <c r="SQ7" s="1"/>
      <c r="SR7" s="1"/>
      <c r="SS7" s="1"/>
      <c r="ST7" s="1"/>
    </row>
    <row r="8" spans="1:514" x14ac:dyDescent="0.2">
      <c r="A8" s="3" t="s">
        <v>477</v>
      </c>
      <c r="B8" s="3"/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478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479</v>
      </c>
      <c r="BY8" s="1">
        <v>0</v>
      </c>
      <c r="BZ8" s="4">
        <f>IF(BZ7=1,Results!C5+1,BY8)</f>
        <v>0</v>
      </c>
      <c r="CA8" s="4">
        <f>IF(CA7=1,Results!D5+1,BZ8)</f>
        <v>3</v>
      </c>
      <c r="CB8" s="4">
        <f>IF(CB7=1,Results!E5+1,CA8)</f>
        <v>3</v>
      </c>
      <c r="CC8" s="4">
        <f>IF(CC7=1,Results!F5+1,CB8)</f>
        <v>3</v>
      </c>
      <c r="CD8" s="4">
        <f>IF(CD7=1,Results!G5+1,CC8)</f>
        <v>3</v>
      </c>
      <c r="CE8" s="4">
        <f>IF(CE7=1,Results!H5+1,CD8)</f>
        <v>3</v>
      </c>
      <c r="CF8" s="4">
        <f>IF(CF7=1,Results!I5+1,CE8)</f>
        <v>3</v>
      </c>
      <c r="CG8" s="4">
        <f>IF(CG7=1,Results!J5+1,CF8)</f>
        <v>3</v>
      </c>
      <c r="CH8" s="4"/>
      <c r="CI8" s="4"/>
      <c r="CK8" s="36"/>
      <c r="CN8" s="3" t="s">
        <v>480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481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482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0</v>
      </c>
      <c r="DY8" s="4">
        <f>IF(DY7=1,Results!F5+1,DX8)</f>
        <v>0</v>
      </c>
      <c r="DZ8" s="4">
        <f>IF(DZ7=1,Results!G5+1,DY8)</f>
        <v>0</v>
      </c>
      <c r="EA8" s="4">
        <f>IF(EA7=1,Results!H5+1,DZ8)</f>
        <v>0</v>
      </c>
      <c r="EB8" s="4">
        <f>IF(EB7=1,Results!I5+1,EA8)</f>
        <v>0</v>
      </c>
      <c r="EC8" s="4">
        <f>IF(EC7=1,Results!J5+1,EB8)</f>
        <v>0</v>
      </c>
      <c r="ED8" s="4"/>
      <c r="EE8" s="4"/>
      <c r="EG8" s="36"/>
      <c r="EJ8" s="3" t="s">
        <v>483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484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485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36"/>
      <c r="GF8" s="3" t="s">
        <v>486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S8" s="36"/>
      <c r="GV8" s="3" t="s">
        <v>487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488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489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O8" s="36"/>
      <c r="IR8" s="3" t="s">
        <v>490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0</v>
      </c>
      <c r="IW8" s="4">
        <f>IF(IW7=1,Results!$F5+1,IV8)</f>
        <v>0</v>
      </c>
      <c r="IX8" s="4">
        <f>IF(IX7=1,Results!$G5+1,IW8)</f>
        <v>0</v>
      </c>
      <c r="IY8" s="4">
        <f>IF(IY7=1,Results!$H5+1,IX8)</f>
        <v>7</v>
      </c>
      <c r="IZ8" s="4">
        <f>IF(IZ7=1,Results!$I5+1,IY8)</f>
        <v>7</v>
      </c>
      <c r="JA8" s="4">
        <f>IF(JA7=1,Results!$J5+1,IZ8)</f>
        <v>7</v>
      </c>
      <c r="JB8" s="4"/>
      <c r="JC8" s="4"/>
      <c r="JD8" s="4"/>
      <c r="JE8" s="36"/>
      <c r="JF8" s="4"/>
      <c r="JH8" s="3" t="s">
        <v>491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492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493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494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495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496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497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498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499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4"/>
      <c r="OV8" s="4"/>
      <c r="OW8" s="4"/>
      <c r="OX8" s="4"/>
      <c r="OY8" s="4"/>
      <c r="OZ8" s="4"/>
      <c r="PA8" s="4"/>
      <c r="PB8" s="4"/>
      <c r="PC8" s="4"/>
      <c r="PD8" s="4"/>
      <c r="PG8" s="1"/>
      <c r="PH8" s="4"/>
      <c r="PI8" s="4"/>
      <c r="PJ8" s="4"/>
      <c r="PK8" s="4"/>
      <c r="PL8" s="4"/>
      <c r="PM8" s="4"/>
      <c r="PN8" s="4"/>
      <c r="PO8" s="4"/>
      <c r="PP8" s="4"/>
      <c r="PQ8" s="4"/>
      <c r="PT8" s="3"/>
      <c r="PU8" s="1"/>
      <c r="PV8" s="4"/>
      <c r="PW8" s="4"/>
      <c r="PX8" s="4"/>
      <c r="PY8" s="4"/>
      <c r="PZ8" s="4"/>
      <c r="QA8" s="4"/>
      <c r="QB8" s="4"/>
      <c r="QC8" s="4"/>
      <c r="QD8" s="4"/>
      <c r="QE8" s="4"/>
      <c r="QH8" s="1"/>
      <c r="QI8" s="4"/>
      <c r="QJ8" s="4"/>
      <c r="QK8" s="4"/>
      <c r="QL8" s="4"/>
      <c r="QM8" s="4"/>
      <c r="QN8" s="4"/>
      <c r="QO8" s="4"/>
      <c r="QP8" s="4"/>
      <c r="QQ8" s="4"/>
      <c r="QR8" s="4"/>
      <c r="QU8" s="3"/>
      <c r="QV8" s="1"/>
      <c r="QW8" s="4"/>
      <c r="QX8" s="4"/>
      <c r="QY8" s="4"/>
      <c r="QZ8" s="4"/>
      <c r="RA8" s="4"/>
      <c r="RB8" s="4"/>
      <c r="RC8" s="4"/>
      <c r="RD8" s="4"/>
      <c r="RE8" s="4"/>
      <c r="RF8" s="4"/>
      <c r="RI8" s="3"/>
      <c r="RJ8" s="1"/>
      <c r="RK8" s="4"/>
      <c r="RL8" s="4"/>
      <c r="RM8" s="4"/>
      <c r="RN8" s="4"/>
      <c r="RO8" s="4"/>
      <c r="RP8" s="4"/>
      <c r="RQ8" s="4"/>
      <c r="RR8" s="4"/>
      <c r="RW8" s="3"/>
      <c r="RX8" s="1"/>
      <c r="RY8" s="4"/>
      <c r="RZ8" s="4"/>
      <c r="SA8" s="4"/>
      <c r="SB8" s="4"/>
      <c r="SC8" s="4"/>
      <c r="SD8" s="4"/>
      <c r="SE8" s="4"/>
      <c r="SF8" s="4"/>
      <c r="SK8" s="3"/>
      <c r="SL8" s="1"/>
      <c r="SM8" s="4"/>
      <c r="SN8" s="4"/>
      <c r="SO8" s="4"/>
      <c r="SP8" s="4"/>
      <c r="SQ8" s="4"/>
      <c r="SR8" s="4"/>
      <c r="SS8" s="4"/>
      <c r="ST8" s="4"/>
    </row>
    <row r="9" spans="1:514" x14ac:dyDescent="0.2">
      <c r="A9" s="3" t="s">
        <v>500</v>
      </c>
      <c r="B9" s="3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501</v>
      </c>
      <c r="BI9" s="4">
        <v>0</v>
      </c>
      <c r="BJ9" s="4">
        <f>+BI4</f>
        <v>0</v>
      </c>
      <c r="BK9" s="4">
        <f t="shared" ref="BK9:BQ9" si="261">+BJ4-BI4</f>
        <v>0</v>
      </c>
      <c r="BL9" s="4">
        <f t="shared" si="261"/>
        <v>0</v>
      </c>
      <c r="BM9" s="4">
        <f t="shared" si="261"/>
        <v>0</v>
      </c>
      <c r="BN9" s="4">
        <f t="shared" si="261"/>
        <v>0</v>
      </c>
      <c r="BO9" s="4">
        <f t="shared" si="261"/>
        <v>0</v>
      </c>
      <c r="BP9" s="4">
        <f t="shared" si="261"/>
        <v>0</v>
      </c>
      <c r="BQ9" s="4">
        <f t="shared" si="261"/>
        <v>0</v>
      </c>
      <c r="BR9" s="4"/>
      <c r="BS9" s="4"/>
      <c r="BU9" s="36"/>
      <c r="BX9" s="3" t="s">
        <v>502</v>
      </c>
      <c r="BY9" s="4">
        <v>0</v>
      </c>
      <c r="BZ9" s="4">
        <f>+BY4</f>
        <v>0</v>
      </c>
      <c r="CA9" s="4">
        <f t="shared" ref="CA9:CG9" si="262">+BZ4-BY4</f>
        <v>0</v>
      </c>
      <c r="CB9" s="4">
        <f t="shared" si="262"/>
        <v>0</v>
      </c>
      <c r="CC9" s="4">
        <f t="shared" si="262"/>
        <v>0</v>
      </c>
      <c r="CD9" s="4">
        <f t="shared" si="262"/>
        <v>0</v>
      </c>
      <c r="CE9" s="4">
        <f t="shared" si="262"/>
        <v>0</v>
      </c>
      <c r="CF9" s="4">
        <f t="shared" si="262"/>
        <v>0</v>
      </c>
      <c r="CG9" s="4">
        <f t="shared" si="262"/>
        <v>0</v>
      </c>
      <c r="CH9" s="4"/>
      <c r="CI9" s="4"/>
      <c r="CK9" s="36"/>
      <c r="CN9" s="3" t="s">
        <v>503</v>
      </c>
      <c r="CO9" s="4">
        <v>0</v>
      </c>
      <c r="CP9" s="4">
        <f>+CO4</f>
        <v>0</v>
      </c>
      <c r="CQ9" s="4">
        <f t="shared" ref="CQ9:CW9" si="263">+CP4-CO4</f>
        <v>0</v>
      </c>
      <c r="CR9" s="4">
        <f t="shared" si="263"/>
        <v>0</v>
      </c>
      <c r="CS9" s="4">
        <f t="shared" si="263"/>
        <v>0</v>
      </c>
      <c r="CT9" s="4">
        <f t="shared" si="263"/>
        <v>0</v>
      </c>
      <c r="CU9" s="4">
        <f t="shared" si="263"/>
        <v>0</v>
      </c>
      <c r="CV9" s="4">
        <f t="shared" si="263"/>
        <v>0</v>
      </c>
      <c r="CW9" s="4">
        <f t="shared" si="263"/>
        <v>0</v>
      </c>
      <c r="CX9" s="4"/>
      <c r="CY9" s="4"/>
      <c r="DA9" s="36"/>
      <c r="DD9" s="3" t="s">
        <v>504</v>
      </c>
      <c r="DE9" s="4">
        <v>0</v>
      </c>
      <c r="DF9" s="4">
        <f>+DE4</f>
        <v>0</v>
      </c>
      <c r="DG9" s="4">
        <f t="shared" ref="DG9:DM9" si="264">+DF4-DE4</f>
        <v>0</v>
      </c>
      <c r="DH9" s="4">
        <f t="shared" si="264"/>
        <v>0</v>
      </c>
      <c r="DI9" s="4">
        <f t="shared" si="264"/>
        <v>0</v>
      </c>
      <c r="DJ9" s="4">
        <f t="shared" si="264"/>
        <v>0</v>
      </c>
      <c r="DK9" s="4">
        <f t="shared" si="264"/>
        <v>0</v>
      </c>
      <c r="DL9" s="4">
        <f t="shared" si="264"/>
        <v>0</v>
      </c>
      <c r="DM9" s="4">
        <f t="shared" si="264"/>
        <v>0</v>
      </c>
      <c r="DN9" s="4"/>
      <c r="DO9" s="4"/>
      <c r="DQ9" s="36"/>
      <c r="DT9" s="3" t="s">
        <v>505</v>
      </c>
      <c r="DU9" s="4">
        <v>0</v>
      </c>
      <c r="DV9" s="4">
        <f>+DU4</f>
        <v>0</v>
      </c>
      <c r="DW9" s="4">
        <f t="shared" ref="DW9:EC9" si="265">+DV4-DU4</f>
        <v>0</v>
      </c>
      <c r="DX9" s="4">
        <f t="shared" si="265"/>
        <v>0</v>
      </c>
      <c r="DY9" s="4">
        <f t="shared" si="265"/>
        <v>0</v>
      </c>
      <c r="DZ9" s="4">
        <f t="shared" si="265"/>
        <v>0</v>
      </c>
      <c r="EA9" s="4">
        <f t="shared" si="265"/>
        <v>0</v>
      </c>
      <c r="EB9" s="4">
        <f t="shared" si="265"/>
        <v>0</v>
      </c>
      <c r="EC9" s="4">
        <f t="shared" si="265"/>
        <v>0</v>
      </c>
      <c r="ED9" s="4"/>
      <c r="EE9" s="4"/>
      <c r="EG9" s="36"/>
      <c r="EJ9" s="3" t="s">
        <v>506</v>
      </c>
      <c r="EK9" s="4">
        <v>0</v>
      </c>
      <c r="EL9" s="4">
        <f>+EK4</f>
        <v>0</v>
      </c>
      <c r="EM9" s="4">
        <f t="shared" ref="EM9:ES9" si="266">+EL4-EK4</f>
        <v>0</v>
      </c>
      <c r="EN9" s="4">
        <f t="shared" si="266"/>
        <v>0</v>
      </c>
      <c r="EO9" s="4">
        <f t="shared" si="266"/>
        <v>0</v>
      </c>
      <c r="EP9" s="4">
        <f t="shared" si="266"/>
        <v>0</v>
      </c>
      <c r="EQ9" s="4">
        <f t="shared" si="266"/>
        <v>0</v>
      </c>
      <c r="ER9" s="4">
        <f t="shared" si="266"/>
        <v>0</v>
      </c>
      <c r="ES9" s="4">
        <f t="shared" si="266"/>
        <v>0</v>
      </c>
      <c r="ET9" s="4"/>
      <c r="EU9" s="4"/>
      <c r="EW9" s="36"/>
      <c r="EZ9" s="3" t="s">
        <v>507</v>
      </c>
      <c r="FA9" s="4">
        <v>0</v>
      </c>
      <c r="FB9" s="4">
        <f>+FA4</f>
        <v>0</v>
      </c>
      <c r="FC9" s="4">
        <f t="shared" ref="FC9:FI9" si="267">+FB4-FA4</f>
        <v>0</v>
      </c>
      <c r="FD9" s="4">
        <f t="shared" si="267"/>
        <v>0</v>
      </c>
      <c r="FE9" s="4">
        <f t="shared" si="267"/>
        <v>0</v>
      </c>
      <c r="FF9" s="4">
        <f t="shared" si="267"/>
        <v>0</v>
      </c>
      <c r="FG9" s="4">
        <f t="shared" si="267"/>
        <v>0</v>
      </c>
      <c r="FH9" s="4">
        <f t="shared" si="267"/>
        <v>0</v>
      </c>
      <c r="FI9" s="4">
        <f t="shared" si="267"/>
        <v>0</v>
      </c>
      <c r="FJ9" s="4"/>
      <c r="FK9" s="4"/>
      <c r="FM9" s="36"/>
      <c r="FP9" s="3" t="s">
        <v>508</v>
      </c>
      <c r="FQ9" s="4">
        <v>0</v>
      </c>
      <c r="FR9" s="4">
        <f>+FQ4</f>
        <v>0</v>
      </c>
      <c r="FS9" s="4">
        <f t="shared" ref="FS9:FY9" si="268">+FR4-FQ4</f>
        <v>0</v>
      </c>
      <c r="FT9" s="4">
        <f t="shared" si="268"/>
        <v>0</v>
      </c>
      <c r="FU9" s="4">
        <f t="shared" si="268"/>
        <v>0</v>
      </c>
      <c r="FV9" s="4">
        <f t="shared" si="268"/>
        <v>0</v>
      </c>
      <c r="FW9" s="4">
        <f t="shared" si="268"/>
        <v>0</v>
      </c>
      <c r="FX9" s="4">
        <f t="shared" si="268"/>
        <v>0</v>
      </c>
      <c r="FY9" s="4">
        <f t="shared" si="268"/>
        <v>0</v>
      </c>
      <c r="FZ9" s="4"/>
      <c r="GA9" s="4"/>
      <c r="GC9" s="36"/>
      <c r="GF9" s="3" t="s">
        <v>509</v>
      </c>
      <c r="GG9" s="4">
        <v>0</v>
      </c>
      <c r="GH9" s="4">
        <f>+GG4</f>
        <v>0</v>
      </c>
      <c r="GI9" s="4">
        <f t="shared" ref="GI9:GO9" si="269">+GH4-GG4</f>
        <v>0</v>
      </c>
      <c r="GJ9" s="4">
        <f t="shared" si="269"/>
        <v>0</v>
      </c>
      <c r="GK9" s="4">
        <f t="shared" si="269"/>
        <v>0</v>
      </c>
      <c r="GL9" s="4">
        <f t="shared" si="269"/>
        <v>0</v>
      </c>
      <c r="GM9" s="4">
        <f t="shared" si="269"/>
        <v>0</v>
      </c>
      <c r="GN9" s="4">
        <f t="shared" si="269"/>
        <v>0</v>
      </c>
      <c r="GO9" s="4">
        <f t="shared" si="269"/>
        <v>0</v>
      </c>
      <c r="GP9" s="4"/>
      <c r="GQ9" s="4"/>
      <c r="GS9" s="36"/>
      <c r="GV9" s="3" t="s">
        <v>510</v>
      </c>
      <c r="GW9" s="4">
        <v>0</v>
      </c>
      <c r="GX9" s="4">
        <f>+GW4</f>
        <v>0</v>
      </c>
      <c r="GY9" s="4">
        <f t="shared" ref="GY9:HE9" si="270">+GX4-GW4</f>
        <v>0</v>
      </c>
      <c r="GZ9" s="4">
        <f t="shared" si="270"/>
        <v>0</v>
      </c>
      <c r="HA9" s="4">
        <f t="shared" si="270"/>
        <v>0</v>
      </c>
      <c r="HB9" s="4">
        <f t="shared" si="270"/>
        <v>0</v>
      </c>
      <c r="HC9" s="4">
        <f t="shared" si="270"/>
        <v>0</v>
      </c>
      <c r="HD9" s="4">
        <f t="shared" si="270"/>
        <v>0</v>
      </c>
      <c r="HE9" s="4">
        <f t="shared" si="270"/>
        <v>0</v>
      </c>
      <c r="HF9" s="4"/>
      <c r="HG9" s="4"/>
      <c r="HH9" s="4"/>
      <c r="HI9" s="36"/>
      <c r="HJ9" s="4"/>
      <c r="HK9" s="4"/>
      <c r="HL9" s="3" t="s">
        <v>511</v>
      </c>
      <c r="HM9" s="4">
        <v>0</v>
      </c>
      <c r="HN9" s="4">
        <f>+HM4</f>
        <v>0</v>
      </c>
      <c r="HO9" s="4">
        <f t="shared" ref="HO9:HU9" si="271">+HN4-HM4</f>
        <v>0</v>
      </c>
      <c r="HP9" s="4">
        <f t="shared" si="271"/>
        <v>0</v>
      </c>
      <c r="HQ9" s="4">
        <f t="shared" si="271"/>
        <v>0</v>
      </c>
      <c r="HR9" s="4">
        <f t="shared" si="271"/>
        <v>0</v>
      </c>
      <c r="HS9" s="4">
        <f t="shared" si="271"/>
        <v>0</v>
      </c>
      <c r="HT9" s="4">
        <f t="shared" si="271"/>
        <v>0</v>
      </c>
      <c r="HU9" s="4">
        <f t="shared" si="271"/>
        <v>0</v>
      </c>
      <c r="HV9" s="4"/>
      <c r="HW9" s="4"/>
      <c r="HX9" s="4"/>
      <c r="HY9" s="36"/>
      <c r="HZ9" s="4"/>
      <c r="IA9" s="4"/>
      <c r="IB9" s="3" t="s">
        <v>512</v>
      </c>
      <c r="IC9" s="4">
        <v>0</v>
      </c>
      <c r="ID9" s="4">
        <f>+IC4</f>
        <v>0</v>
      </c>
      <c r="IE9" s="4">
        <f t="shared" ref="IE9:IK9" si="272">+ID4-IC4</f>
        <v>0</v>
      </c>
      <c r="IF9" s="4">
        <f t="shared" si="272"/>
        <v>0</v>
      </c>
      <c r="IG9" s="4">
        <f t="shared" si="272"/>
        <v>0</v>
      </c>
      <c r="IH9" s="4">
        <f t="shared" si="272"/>
        <v>0</v>
      </c>
      <c r="II9" s="4">
        <f t="shared" si="272"/>
        <v>0</v>
      </c>
      <c r="IJ9" s="4">
        <f t="shared" si="272"/>
        <v>0</v>
      </c>
      <c r="IK9" s="4">
        <f t="shared" si="272"/>
        <v>0</v>
      </c>
      <c r="IL9" s="4"/>
      <c r="IM9" s="4"/>
      <c r="IO9" s="36"/>
      <c r="IR9" s="3" t="s">
        <v>513</v>
      </c>
      <c r="IS9" s="4">
        <v>0</v>
      </c>
      <c r="IT9" s="4">
        <f>+IS4</f>
        <v>0</v>
      </c>
      <c r="IU9" s="4">
        <f t="shared" ref="IU9:JA9" si="273">+IT4-IS4</f>
        <v>0</v>
      </c>
      <c r="IV9" s="4">
        <f t="shared" si="273"/>
        <v>0</v>
      </c>
      <c r="IW9" s="4">
        <f t="shared" si="273"/>
        <v>0</v>
      </c>
      <c r="IX9" s="4">
        <f t="shared" si="273"/>
        <v>0</v>
      </c>
      <c r="IY9" s="4">
        <f t="shared" si="273"/>
        <v>0</v>
      </c>
      <c r="IZ9" s="4">
        <f t="shared" si="273"/>
        <v>0</v>
      </c>
      <c r="JA9" s="4">
        <f t="shared" si="273"/>
        <v>0</v>
      </c>
      <c r="JB9" s="4"/>
      <c r="JC9" s="4"/>
      <c r="JD9" s="4"/>
      <c r="JE9" s="36"/>
      <c r="JF9" s="4"/>
      <c r="JH9" s="3" t="s">
        <v>514</v>
      </c>
      <c r="JI9" s="4">
        <v>0</v>
      </c>
      <c r="JJ9" s="4">
        <f>+JI4</f>
        <v>0</v>
      </c>
      <c r="JK9" s="4">
        <f t="shared" ref="JK9:JQ9" si="274">+JJ4-JI4</f>
        <v>0</v>
      </c>
      <c r="JL9" s="4">
        <f t="shared" si="274"/>
        <v>0</v>
      </c>
      <c r="JM9" s="4">
        <f t="shared" si="274"/>
        <v>0</v>
      </c>
      <c r="JN9" s="4">
        <f t="shared" si="274"/>
        <v>0</v>
      </c>
      <c r="JO9" s="4">
        <f t="shared" si="274"/>
        <v>0</v>
      </c>
      <c r="JP9" s="4">
        <f t="shared" si="274"/>
        <v>0</v>
      </c>
      <c r="JQ9" s="4">
        <f t="shared" si="274"/>
        <v>0</v>
      </c>
      <c r="JR9" s="4"/>
      <c r="JS9" s="4"/>
      <c r="JT9" s="4"/>
      <c r="JU9" s="36"/>
      <c r="JV9" s="4"/>
      <c r="JX9" s="3" t="s">
        <v>515</v>
      </c>
      <c r="JY9" s="4">
        <v>0</v>
      </c>
      <c r="JZ9" s="4">
        <f>+JY4</f>
        <v>0</v>
      </c>
      <c r="KA9" s="4">
        <f t="shared" ref="KA9:KG9" si="275">+JZ4-JY4</f>
        <v>0</v>
      </c>
      <c r="KB9" s="4">
        <f t="shared" si="275"/>
        <v>0</v>
      </c>
      <c r="KC9" s="4">
        <f t="shared" si="275"/>
        <v>0</v>
      </c>
      <c r="KD9" s="4">
        <f t="shared" si="275"/>
        <v>0</v>
      </c>
      <c r="KE9" s="4">
        <f t="shared" si="275"/>
        <v>0</v>
      </c>
      <c r="KF9" s="4">
        <f t="shared" si="275"/>
        <v>0</v>
      </c>
      <c r="KG9" s="4">
        <f t="shared" si="275"/>
        <v>0</v>
      </c>
      <c r="KH9" s="4"/>
      <c r="KI9" s="4"/>
      <c r="KJ9" s="4"/>
      <c r="KK9" s="36"/>
      <c r="KL9" s="4"/>
      <c r="KN9" s="3" t="s">
        <v>516</v>
      </c>
      <c r="KO9" s="4">
        <v>0</v>
      </c>
      <c r="KP9" s="4">
        <f>+KO4</f>
        <v>0</v>
      </c>
      <c r="KQ9" s="4">
        <f t="shared" ref="KQ9:KW9" si="276">+KP4-KO4</f>
        <v>0</v>
      </c>
      <c r="KR9" s="4">
        <f t="shared" si="276"/>
        <v>0</v>
      </c>
      <c r="KS9" s="4">
        <f t="shared" si="276"/>
        <v>0</v>
      </c>
      <c r="KT9" s="4">
        <f t="shared" si="276"/>
        <v>0</v>
      </c>
      <c r="KU9" s="4">
        <f t="shared" si="276"/>
        <v>0</v>
      </c>
      <c r="KV9" s="4">
        <f t="shared" si="276"/>
        <v>0</v>
      </c>
      <c r="KW9" s="4">
        <f t="shared" si="276"/>
        <v>0</v>
      </c>
      <c r="KX9" s="4"/>
      <c r="KY9" s="4"/>
      <c r="KZ9" s="4"/>
      <c r="LA9" s="36"/>
      <c r="LB9" s="4"/>
      <c r="LD9" s="3" t="s">
        <v>517</v>
      </c>
      <c r="LE9" s="4">
        <v>0</v>
      </c>
      <c r="LF9" s="4">
        <f>+LE4</f>
        <v>0</v>
      </c>
      <c r="LG9" s="4">
        <f t="shared" ref="LG9:LM9" si="277">+LF4-LE4</f>
        <v>0</v>
      </c>
      <c r="LH9" s="4">
        <f t="shared" si="277"/>
        <v>0</v>
      </c>
      <c r="LI9" s="4">
        <f t="shared" si="277"/>
        <v>0</v>
      </c>
      <c r="LJ9" s="4">
        <f t="shared" si="277"/>
        <v>0</v>
      </c>
      <c r="LK9" s="4">
        <f t="shared" si="277"/>
        <v>0</v>
      </c>
      <c r="LL9" s="4">
        <f t="shared" si="277"/>
        <v>0</v>
      </c>
      <c r="LM9" s="4">
        <f t="shared" si="277"/>
        <v>0</v>
      </c>
      <c r="LN9" s="4"/>
      <c r="LO9" s="4"/>
      <c r="LP9" s="4"/>
      <c r="LQ9" s="36"/>
      <c r="LR9" s="4"/>
      <c r="LT9" s="3" t="s">
        <v>518</v>
      </c>
      <c r="LU9" s="4">
        <v>0</v>
      </c>
      <c r="LV9" s="4">
        <f>+LU4</f>
        <v>0</v>
      </c>
      <c r="LW9" s="4">
        <f t="shared" ref="LW9:MC9" si="278">+LV4-LU4</f>
        <v>0</v>
      </c>
      <c r="LX9" s="4">
        <f t="shared" si="278"/>
        <v>0</v>
      </c>
      <c r="LY9" s="4">
        <f t="shared" si="278"/>
        <v>0</v>
      </c>
      <c r="LZ9" s="4">
        <f t="shared" si="278"/>
        <v>0</v>
      </c>
      <c r="MA9" s="4">
        <f t="shared" si="278"/>
        <v>0</v>
      </c>
      <c r="MB9" s="4">
        <f t="shared" si="278"/>
        <v>0</v>
      </c>
      <c r="MC9" s="4">
        <f t="shared" si="278"/>
        <v>0</v>
      </c>
      <c r="MD9" s="4"/>
      <c r="ME9" s="4"/>
      <c r="MF9" s="4"/>
      <c r="MG9" s="36"/>
      <c r="MH9" s="4"/>
      <c r="MJ9" s="3" t="s">
        <v>519</v>
      </c>
      <c r="MK9" s="4">
        <v>0</v>
      </c>
      <c r="ML9" s="4">
        <f>+MK4</f>
        <v>0</v>
      </c>
      <c r="MM9" s="4">
        <f t="shared" ref="MM9:MS9" si="279">+ML4-MK4</f>
        <v>0</v>
      </c>
      <c r="MN9" s="4">
        <f t="shared" si="279"/>
        <v>0</v>
      </c>
      <c r="MO9" s="4">
        <f t="shared" si="279"/>
        <v>0</v>
      </c>
      <c r="MP9" s="4">
        <f t="shared" si="279"/>
        <v>0</v>
      </c>
      <c r="MQ9" s="4">
        <f t="shared" si="279"/>
        <v>0</v>
      </c>
      <c r="MR9" s="4">
        <f t="shared" si="279"/>
        <v>0</v>
      </c>
      <c r="MS9" s="4">
        <f t="shared" si="279"/>
        <v>0</v>
      </c>
      <c r="MT9" s="4"/>
      <c r="MU9" s="4"/>
      <c r="MV9" s="4"/>
      <c r="MW9" s="36"/>
      <c r="MX9" s="4"/>
      <c r="MZ9" s="3" t="s">
        <v>520</v>
      </c>
      <c r="NA9" s="4">
        <v>0</v>
      </c>
      <c r="NB9" s="4">
        <f>+NA4</f>
        <v>0</v>
      </c>
      <c r="NC9" s="4">
        <f t="shared" ref="NC9:NI9" si="280">+NB4-NA4</f>
        <v>0</v>
      </c>
      <c r="ND9" s="4">
        <f t="shared" si="280"/>
        <v>0</v>
      </c>
      <c r="NE9" s="4">
        <f t="shared" si="280"/>
        <v>0</v>
      </c>
      <c r="NF9" s="4">
        <f t="shared" si="280"/>
        <v>0</v>
      </c>
      <c r="NG9" s="4">
        <f t="shared" si="280"/>
        <v>0</v>
      </c>
      <c r="NH9" s="4">
        <f t="shared" si="280"/>
        <v>0</v>
      </c>
      <c r="NI9" s="4">
        <f t="shared" si="280"/>
        <v>0</v>
      </c>
      <c r="NJ9" s="4"/>
      <c r="NK9" s="4"/>
      <c r="NL9" s="4"/>
      <c r="NM9" s="36"/>
      <c r="NN9" s="4"/>
      <c r="NP9" s="3" t="s">
        <v>521</v>
      </c>
      <c r="NQ9" s="4">
        <v>0</v>
      </c>
      <c r="NR9" s="4">
        <f>+NQ4</f>
        <v>0</v>
      </c>
      <c r="NS9" s="4">
        <f t="shared" ref="NS9:NY9" si="281">+NR4-NQ4</f>
        <v>0</v>
      </c>
      <c r="NT9" s="4">
        <f t="shared" si="281"/>
        <v>0</v>
      </c>
      <c r="NU9" s="4">
        <f t="shared" si="281"/>
        <v>0</v>
      </c>
      <c r="NV9" s="4">
        <f t="shared" si="281"/>
        <v>0</v>
      </c>
      <c r="NW9" s="4">
        <f t="shared" si="281"/>
        <v>0</v>
      </c>
      <c r="NX9" s="4">
        <f t="shared" si="281"/>
        <v>0</v>
      </c>
      <c r="NY9" s="4">
        <f t="shared" si="281"/>
        <v>0</v>
      </c>
      <c r="NZ9" s="4"/>
      <c r="OA9" s="4"/>
      <c r="OB9" s="4"/>
      <c r="OC9" s="36"/>
      <c r="OD9" s="4"/>
      <c r="OF9" s="3" t="s">
        <v>522</v>
      </c>
      <c r="OG9" s="4">
        <v>0</v>
      </c>
      <c r="OH9" s="4">
        <f>+OG4</f>
        <v>0</v>
      </c>
      <c r="OI9" s="4">
        <f t="shared" ref="OI9:OO9" si="282">+OH4-OG4</f>
        <v>0</v>
      </c>
      <c r="OJ9" s="4">
        <f t="shared" si="282"/>
        <v>0</v>
      </c>
      <c r="OK9" s="4">
        <f t="shared" si="282"/>
        <v>0</v>
      </c>
      <c r="OL9" s="4">
        <f t="shared" si="282"/>
        <v>0</v>
      </c>
      <c r="OM9" s="4">
        <f t="shared" si="282"/>
        <v>0</v>
      </c>
      <c r="ON9" s="4">
        <f t="shared" si="282"/>
        <v>0</v>
      </c>
      <c r="OO9" s="4">
        <f t="shared" si="282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T9" s="3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U9" s="3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I9" s="3"/>
      <c r="RJ9" s="4"/>
      <c r="RK9" s="4"/>
      <c r="RL9" s="4"/>
      <c r="RM9" s="4"/>
      <c r="RN9" s="4"/>
      <c r="RO9" s="4"/>
      <c r="RP9" s="4"/>
      <c r="RQ9" s="4"/>
      <c r="RR9" s="4"/>
      <c r="RW9" s="3"/>
      <c r="RX9" s="4"/>
      <c r="RY9" s="4"/>
      <c r="RZ9" s="4"/>
      <c r="SA9" s="4"/>
      <c r="SB9" s="4"/>
      <c r="SC9" s="4"/>
      <c r="SD9" s="4"/>
      <c r="SE9" s="4"/>
      <c r="SF9" s="4"/>
      <c r="SK9" s="3"/>
      <c r="SL9" s="4"/>
      <c r="SM9" s="4"/>
      <c r="SN9" s="4"/>
      <c r="SO9" s="4"/>
      <c r="SP9" s="4"/>
      <c r="SQ9" s="4"/>
      <c r="SR9" s="4"/>
      <c r="SS9" s="4"/>
      <c r="ST9" s="4"/>
    </row>
    <row r="10" spans="1:514" x14ac:dyDescent="0.2">
      <c r="A10" s="3" t="s">
        <v>523</v>
      </c>
      <c r="B10" s="3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524</v>
      </c>
      <c r="BI10" s="4">
        <v>0</v>
      </c>
      <c r="BJ10" s="4">
        <f>BI9</f>
        <v>0</v>
      </c>
      <c r="BK10" s="4">
        <f t="shared" ref="BK10:BQ10" si="283">BJ9</f>
        <v>0</v>
      </c>
      <c r="BL10" s="4">
        <f t="shared" si="283"/>
        <v>0</v>
      </c>
      <c r="BM10" s="4">
        <f t="shared" si="283"/>
        <v>0</v>
      </c>
      <c r="BN10" s="4">
        <f t="shared" si="283"/>
        <v>0</v>
      </c>
      <c r="BO10" s="4">
        <f t="shared" si="283"/>
        <v>0</v>
      </c>
      <c r="BP10" s="4">
        <f t="shared" si="283"/>
        <v>0</v>
      </c>
      <c r="BQ10" s="4">
        <f t="shared" si="283"/>
        <v>0</v>
      </c>
      <c r="BR10" s="4"/>
      <c r="BS10" s="4"/>
      <c r="BU10" s="36"/>
      <c r="BX10" s="3" t="s">
        <v>525</v>
      </c>
      <c r="BY10" s="4">
        <v>0</v>
      </c>
      <c r="BZ10" s="4">
        <f>BY9</f>
        <v>0</v>
      </c>
      <c r="CA10" s="4">
        <f t="shared" ref="CA10:CG10" si="284">BZ9</f>
        <v>0</v>
      </c>
      <c r="CB10" s="4">
        <f t="shared" si="284"/>
        <v>0</v>
      </c>
      <c r="CC10" s="4">
        <f t="shared" si="284"/>
        <v>0</v>
      </c>
      <c r="CD10" s="4">
        <f t="shared" si="284"/>
        <v>0</v>
      </c>
      <c r="CE10" s="4">
        <f t="shared" si="284"/>
        <v>0</v>
      </c>
      <c r="CF10" s="4">
        <f t="shared" si="284"/>
        <v>0</v>
      </c>
      <c r="CG10" s="4">
        <f t="shared" si="284"/>
        <v>0</v>
      </c>
      <c r="CH10" s="4"/>
      <c r="CI10" s="4"/>
      <c r="CK10" s="36"/>
      <c r="CN10" s="3" t="s">
        <v>526</v>
      </c>
      <c r="CO10" s="4">
        <v>0</v>
      </c>
      <c r="CP10" s="4">
        <f>CO9</f>
        <v>0</v>
      </c>
      <c r="CQ10" s="4">
        <f t="shared" ref="CQ10:CW10" si="285">CP9</f>
        <v>0</v>
      </c>
      <c r="CR10" s="4">
        <f t="shared" si="285"/>
        <v>0</v>
      </c>
      <c r="CS10" s="4">
        <f t="shared" si="285"/>
        <v>0</v>
      </c>
      <c r="CT10" s="4">
        <f t="shared" si="285"/>
        <v>0</v>
      </c>
      <c r="CU10" s="4">
        <f t="shared" si="285"/>
        <v>0</v>
      </c>
      <c r="CV10" s="4">
        <f t="shared" si="285"/>
        <v>0</v>
      </c>
      <c r="CW10" s="4">
        <f t="shared" si="285"/>
        <v>0</v>
      </c>
      <c r="CX10" s="4"/>
      <c r="CY10" s="4"/>
      <c r="DA10" s="36"/>
      <c r="DD10" s="3" t="s">
        <v>527</v>
      </c>
      <c r="DE10" s="4">
        <v>0</v>
      </c>
      <c r="DF10" s="4">
        <f>DE9</f>
        <v>0</v>
      </c>
      <c r="DG10" s="4">
        <f t="shared" ref="DG10:DM10" si="286">DF9</f>
        <v>0</v>
      </c>
      <c r="DH10" s="4">
        <f t="shared" si="286"/>
        <v>0</v>
      </c>
      <c r="DI10" s="4">
        <f t="shared" si="286"/>
        <v>0</v>
      </c>
      <c r="DJ10" s="4">
        <f t="shared" si="286"/>
        <v>0</v>
      </c>
      <c r="DK10" s="4">
        <f t="shared" si="286"/>
        <v>0</v>
      </c>
      <c r="DL10" s="4">
        <f t="shared" si="286"/>
        <v>0</v>
      </c>
      <c r="DM10" s="4">
        <f t="shared" si="286"/>
        <v>0</v>
      </c>
      <c r="DN10" s="4"/>
      <c r="DO10" s="4"/>
      <c r="DQ10" s="36"/>
      <c r="DT10" s="3" t="s">
        <v>528</v>
      </c>
      <c r="DU10" s="4">
        <v>0</v>
      </c>
      <c r="DV10" s="4">
        <f>DU9</f>
        <v>0</v>
      </c>
      <c r="DW10" s="4">
        <f t="shared" ref="DW10:EC10" si="287">DV9</f>
        <v>0</v>
      </c>
      <c r="DX10" s="4">
        <f t="shared" si="287"/>
        <v>0</v>
      </c>
      <c r="DY10" s="4">
        <f t="shared" si="287"/>
        <v>0</v>
      </c>
      <c r="DZ10" s="4">
        <f t="shared" si="287"/>
        <v>0</v>
      </c>
      <c r="EA10" s="4">
        <f t="shared" si="287"/>
        <v>0</v>
      </c>
      <c r="EB10" s="4">
        <f t="shared" si="287"/>
        <v>0</v>
      </c>
      <c r="EC10" s="4">
        <f t="shared" si="287"/>
        <v>0</v>
      </c>
      <c r="ED10" s="4"/>
      <c r="EE10" s="4"/>
      <c r="EG10" s="36"/>
      <c r="EJ10" s="3" t="s">
        <v>529</v>
      </c>
      <c r="EK10" s="4">
        <v>0</v>
      </c>
      <c r="EL10" s="4">
        <f>EK9</f>
        <v>0</v>
      </c>
      <c r="EM10" s="4">
        <f t="shared" ref="EM10:ES10" si="288">EL9</f>
        <v>0</v>
      </c>
      <c r="EN10" s="4">
        <f t="shared" si="288"/>
        <v>0</v>
      </c>
      <c r="EO10" s="4">
        <f t="shared" si="288"/>
        <v>0</v>
      </c>
      <c r="EP10" s="4">
        <f t="shared" si="288"/>
        <v>0</v>
      </c>
      <c r="EQ10" s="4">
        <f t="shared" si="288"/>
        <v>0</v>
      </c>
      <c r="ER10" s="4">
        <f t="shared" si="288"/>
        <v>0</v>
      </c>
      <c r="ES10" s="4">
        <f t="shared" si="288"/>
        <v>0</v>
      </c>
      <c r="ET10" s="4"/>
      <c r="EU10" s="4"/>
      <c r="EW10" s="36"/>
      <c r="EZ10" s="3" t="s">
        <v>530</v>
      </c>
      <c r="FA10" s="4">
        <v>0</v>
      </c>
      <c r="FB10" s="4">
        <f>FA9</f>
        <v>0</v>
      </c>
      <c r="FC10" s="4">
        <f t="shared" ref="FC10:FI10" si="289">FB9</f>
        <v>0</v>
      </c>
      <c r="FD10" s="4">
        <f t="shared" si="289"/>
        <v>0</v>
      </c>
      <c r="FE10" s="4">
        <f t="shared" si="289"/>
        <v>0</v>
      </c>
      <c r="FF10" s="4">
        <f t="shared" si="289"/>
        <v>0</v>
      </c>
      <c r="FG10" s="4">
        <f t="shared" si="289"/>
        <v>0</v>
      </c>
      <c r="FH10" s="4">
        <f t="shared" si="289"/>
        <v>0</v>
      </c>
      <c r="FI10" s="4">
        <f t="shared" si="289"/>
        <v>0</v>
      </c>
      <c r="FJ10" s="4"/>
      <c r="FK10" s="4"/>
      <c r="FM10" s="36"/>
      <c r="FP10" s="3" t="s">
        <v>531</v>
      </c>
      <c r="FQ10" s="4">
        <v>0</v>
      </c>
      <c r="FR10" s="4">
        <f>FQ9</f>
        <v>0</v>
      </c>
      <c r="FS10" s="4">
        <f t="shared" ref="FS10:FY10" si="290">FR9</f>
        <v>0</v>
      </c>
      <c r="FT10" s="4">
        <f t="shared" si="290"/>
        <v>0</v>
      </c>
      <c r="FU10" s="4">
        <f t="shared" si="290"/>
        <v>0</v>
      </c>
      <c r="FV10" s="4">
        <f t="shared" si="290"/>
        <v>0</v>
      </c>
      <c r="FW10" s="4">
        <f t="shared" si="290"/>
        <v>0</v>
      </c>
      <c r="FX10" s="4">
        <f t="shared" si="290"/>
        <v>0</v>
      </c>
      <c r="FY10" s="4">
        <f t="shared" si="290"/>
        <v>0</v>
      </c>
      <c r="FZ10" s="4"/>
      <c r="GA10" s="4"/>
      <c r="GC10" s="36"/>
      <c r="GF10" s="3" t="s">
        <v>532</v>
      </c>
      <c r="GG10" s="4">
        <v>0</v>
      </c>
      <c r="GH10" s="4">
        <f>GG9</f>
        <v>0</v>
      </c>
      <c r="GI10" s="4">
        <f t="shared" ref="GI10:GO10" si="291">GH9</f>
        <v>0</v>
      </c>
      <c r="GJ10" s="4">
        <f t="shared" si="291"/>
        <v>0</v>
      </c>
      <c r="GK10" s="4">
        <f t="shared" si="291"/>
        <v>0</v>
      </c>
      <c r="GL10" s="4">
        <f t="shared" si="291"/>
        <v>0</v>
      </c>
      <c r="GM10" s="4">
        <f t="shared" si="291"/>
        <v>0</v>
      </c>
      <c r="GN10" s="4">
        <f t="shared" si="291"/>
        <v>0</v>
      </c>
      <c r="GO10" s="4">
        <f t="shared" si="291"/>
        <v>0</v>
      </c>
      <c r="GP10" s="4"/>
      <c r="GQ10" s="4"/>
      <c r="GS10" s="36"/>
      <c r="GV10" s="3" t="s">
        <v>533</v>
      </c>
      <c r="GW10" s="4">
        <v>0</v>
      </c>
      <c r="GX10" s="4">
        <f>GW9</f>
        <v>0</v>
      </c>
      <c r="GY10" s="4">
        <f t="shared" ref="GY10:HE10" si="292">GX9</f>
        <v>0</v>
      </c>
      <c r="GZ10" s="4">
        <f t="shared" si="292"/>
        <v>0</v>
      </c>
      <c r="HA10" s="4">
        <f t="shared" si="292"/>
        <v>0</v>
      </c>
      <c r="HB10" s="4">
        <f t="shared" si="292"/>
        <v>0</v>
      </c>
      <c r="HC10" s="4">
        <f t="shared" si="292"/>
        <v>0</v>
      </c>
      <c r="HD10" s="4">
        <f t="shared" si="292"/>
        <v>0</v>
      </c>
      <c r="HE10" s="4">
        <f t="shared" si="292"/>
        <v>0</v>
      </c>
      <c r="HF10" s="4"/>
      <c r="HG10" s="4"/>
      <c r="HH10" s="4"/>
      <c r="HI10" s="36"/>
      <c r="HJ10" s="4"/>
      <c r="HK10" s="4"/>
      <c r="HL10" s="3" t="s">
        <v>534</v>
      </c>
      <c r="HM10" s="4">
        <v>0</v>
      </c>
      <c r="HN10" s="4">
        <f>HM9</f>
        <v>0</v>
      </c>
      <c r="HO10" s="4">
        <f t="shared" ref="HO10:HU10" si="293">HN9</f>
        <v>0</v>
      </c>
      <c r="HP10" s="4">
        <f t="shared" si="293"/>
        <v>0</v>
      </c>
      <c r="HQ10" s="4">
        <f t="shared" si="293"/>
        <v>0</v>
      </c>
      <c r="HR10" s="4">
        <f t="shared" si="293"/>
        <v>0</v>
      </c>
      <c r="HS10" s="4">
        <f t="shared" si="293"/>
        <v>0</v>
      </c>
      <c r="HT10" s="4">
        <f t="shared" si="293"/>
        <v>0</v>
      </c>
      <c r="HU10" s="4">
        <f t="shared" si="293"/>
        <v>0</v>
      </c>
      <c r="HV10" s="4"/>
      <c r="HW10" s="4"/>
      <c r="HX10" s="4"/>
      <c r="HY10" s="36"/>
      <c r="HZ10" s="4"/>
      <c r="IA10" s="4"/>
      <c r="IB10" s="3" t="s">
        <v>535</v>
      </c>
      <c r="IC10" s="4">
        <v>0</v>
      </c>
      <c r="ID10" s="4">
        <f>IC9</f>
        <v>0</v>
      </c>
      <c r="IE10" s="4">
        <f t="shared" ref="IE10:IK10" si="294">ID9</f>
        <v>0</v>
      </c>
      <c r="IF10" s="4">
        <f t="shared" si="294"/>
        <v>0</v>
      </c>
      <c r="IG10" s="4">
        <f t="shared" si="294"/>
        <v>0</v>
      </c>
      <c r="IH10" s="4">
        <f t="shared" si="294"/>
        <v>0</v>
      </c>
      <c r="II10" s="4">
        <f t="shared" si="294"/>
        <v>0</v>
      </c>
      <c r="IJ10" s="4">
        <f t="shared" si="294"/>
        <v>0</v>
      </c>
      <c r="IK10" s="4">
        <f t="shared" si="294"/>
        <v>0</v>
      </c>
      <c r="IL10" s="4"/>
      <c r="IM10" s="4"/>
      <c r="IO10" s="36"/>
      <c r="IR10" s="3" t="s">
        <v>536</v>
      </c>
      <c r="IS10" s="4">
        <v>0</v>
      </c>
      <c r="IT10" s="4">
        <f>IS9</f>
        <v>0</v>
      </c>
      <c r="IU10" s="4">
        <f t="shared" ref="IU10:JA10" si="295">IT9</f>
        <v>0</v>
      </c>
      <c r="IV10" s="4">
        <f t="shared" si="295"/>
        <v>0</v>
      </c>
      <c r="IW10" s="4">
        <f t="shared" si="295"/>
        <v>0</v>
      </c>
      <c r="IX10" s="4">
        <f t="shared" si="295"/>
        <v>0</v>
      </c>
      <c r="IY10" s="4">
        <f t="shared" si="295"/>
        <v>0</v>
      </c>
      <c r="IZ10" s="4">
        <f t="shared" si="295"/>
        <v>0</v>
      </c>
      <c r="JA10" s="4">
        <f t="shared" si="295"/>
        <v>0</v>
      </c>
      <c r="JB10" s="4"/>
      <c r="JC10" s="4"/>
      <c r="JD10" s="4"/>
      <c r="JE10" s="36"/>
      <c r="JF10" s="4"/>
      <c r="JH10" s="3" t="s">
        <v>537</v>
      </c>
      <c r="JI10" s="4">
        <v>0</v>
      </c>
      <c r="JJ10" s="4">
        <f>JI9</f>
        <v>0</v>
      </c>
      <c r="JK10" s="4">
        <f t="shared" ref="JK10:JQ10" si="296">JJ9</f>
        <v>0</v>
      </c>
      <c r="JL10" s="4">
        <f t="shared" si="296"/>
        <v>0</v>
      </c>
      <c r="JM10" s="4">
        <f t="shared" si="296"/>
        <v>0</v>
      </c>
      <c r="JN10" s="4">
        <f t="shared" si="296"/>
        <v>0</v>
      </c>
      <c r="JO10" s="4">
        <f t="shared" si="296"/>
        <v>0</v>
      </c>
      <c r="JP10" s="4">
        <f t="shared" si="296"/>
        <v>0</v>
      </c>
      <c r="JQ10" s="4">
        <f t="shared" si="296"/>
        <v>0</v>
      </c>
      <c r="JR10" s="4"/>
      <c r="JS10" s="4"/>
      <c r="JT10" s="4"/>
      <c r="JU10" s="36"/>
      <c r="JV10" s="4"/>
      <c r="JX10" s="3" t="s">
        <v>538</v>
      </c>
      <c r="JY10" s="4">
        <v>0</v>
      </c>
      <c r="JZ10" s="4">
        <f>JY9</f>
        <v>0</v>
      </c>
      <c r="KA10" s="4">
        <f t="shared" ref="KA10:KG10" si="297">JZ9</f>
        <v>0</v>
      </c>
      <c r="KB10" s="4">
        <f t="shared" si="297"/>
        <v>0</v>
      </c>
      <c r="KC10" s="4">
        <f t="shared" si="297"/>
        <v>0</v>
      </c>
      <c r="KD10" s="4">
        <f t="shared" si="297"/>
        <v>0</v>
      </c>
      <c r="KE10" s="4">
        <f t="shared" si="297"/>
        <v>0</v>
      </c>
      <c r="KF10" s="4">
        <f t="shared" si="297"/>
        <v>0</v>
      </c>
      <c r="KG10" s="4">
        <f t="shared" si="297"/>
        <v>0</v>
      </c>
      <c r="KH10" s="4"/>
      <c r="KI10" s="4"/>
      <c r="KJ10" s="4"/>
      <c r="KK10" s="36"/>
      <c r="KL10" s="4"/>
      <c r="KN10" s="3" t="s">
        <v>539</v>
      </c>
      <c r="KO10" s="4">
        <v>0</v>
      </c>
      <c r="KP10" s="4">
        <f>KO9</f>
        <v>0</v>
      </c>
      <c r="KQ10" s="4">
        <f t="shared" ref="KQ10:KW10" si="298">KP9</f>
        <v>0</v>
      </c>
      <c r="KR10" s="4">
        <f t="shared" si="298"/>
        <v>0</v>
      </c>
      <c r="KS10" s="4">
        <f t="shared" si="298"/>
        <v>0</v>
      </c>
      <c r="KT10" s="4">
        <f t="shared" si="298"/>
        <v>0</v>
      </c>
      <c r="KU10" s="4">
        <f t="shared" si="298"/>
        <v>0</v>
      </c>
      <c r="KV10" s="4">
        <f t="shared" si="298"/>
        <v>0</v>
      </c>
      <c r="KW10" s="4">
        <f t="shared" si="298"/>
        <v>0</v>
      </c>
      <c r="KX10" s="4"/>
      <c r="KY10" s="4"/>
      <c r="KZ10" s="4"/>
      <c r="LA10" s="36"/>
      <c r="LB10" s="4"/>
      <c r="LD10" s="3" t="s">
        <v>540</v>
      </c>
      <c r="LE10" s="4">
        <v>0</v>
      </c>
      <c r="LF10" s="4">
        <f>LE9</f>
        <v>0</v>
      </c>
      <c r="LG10" s="4">
        <f t="shared" ref="LG10:LM10" si="299">LF9</f>
        <v>0</v>
      </c>
      <c r="LH10" s="4">
        <f t="shared" si="299"/>
        <v>0</v>
      </c>
      <c r="LI10" s="4">
        <f t="shared" si="299"/>
        <v>0</v>
      </c>
      <c r="LJ10" s="4">
        <f t="shared" si="299"/>
        <v>0</v>
      </c>
      <c r="LK10" s="4">
        <f t="shared" si="299"/>
        <v>0</v>
      </c>
      <c r="LL10" s="4">
        <f t="shared" si="299"/>
        <v>0</v>
      </c>
      <c r="LM10" s="4">
        <f t="shared" si="299"/>
        <v>0</v>
      </c>
      <c r="LN10" s="4"/>
      <c r="LO10" s="4"/>
      <c r="LP10" s="4"/>
      <c r="LQ10" s="36"/>
      <c r="LR10" s="4"/>
      <c r="LT10" s="3" t="s">
        <v>541</v>
      </c>
      <c r="LU10" s="4">
        <v>0</v>
      </c>
      <c r="LV10" s="4">
        <f>LU9</f>
        <v>0</v>
      </c>
      <c r="LW10" s="4">
        <f t="shared" ref="LW10:MC10" si="300">LV9</f>
        <v>0</v>
      </c>
      <c r="LX10" s="4">
        <f t="shared" si="300"/>
        <v>0</v>
      </c>
      <c r="LY10" s="4">
        <f t="shared" si="300"/>
        <v>0</v>
      </c>
      <c r="LZ10" s="4">
        <f t="shared" si="300"/>
        <v>0</v>
      </c>
      <c r="MA10" s="4">
        <f t="shared" si="300"/>
        <v>0</v>
      </c>
      <c r="MB10" s="4">
        <f t="shared" si="300"/>
        <v>0</v>
      </c>
      <c r="MC10" s="4">
        <f t="shared" si="300"/>
        <v>0</v>
      </c>
      <c r="MD10" s="4"/>
      <c r="ME10" s="4"/>
      <c r="MF10" s="4"/>
      <c r="MG10" s="36"/>
      <c r="MH10" s="4"/>
      <c r="MJ10" s="3" t="s">
        <v>542</v>
      </c>
      <c r="MK10" s="4">
        <v>0</v>
      </c>
      <c r="ML10" s="4">
        <f>MK9</f>
        <v>0</v>
      </c>
      <c r="MM10" s="4">
        <f t="shared" ref="MM10:MS10" si="301">ML9</f>
        <v>0</v>
      </c>
      <c r="MN10" s="4">
        <f t="shared" si="301"/>
        <v>0</v>
      </c>
      <c r="MO10" s="4">
        <f t="shared" si="301"/>
        <v>0</v>
      </c>
      <c r="MP10" s="4">
        <f t="shared" si="301"/>
        <v>0</v>
      </c>
      <c r="MQ10" s="4">
        <f t="shared" si="301"/>
        <v>0</v>
      </c>
      <c r="MR10" s="4">
        <f t="shared" si="301"/>
        <v>0</v>
      </c>
      <c r="MS10" s="4">
        <f t="shared" si="301"/>
        <v>0</v>
      </c>
      <c r="MT10" s="4"/>
      <c r="MU10" s="4"/>
      <c r="MV10" s="4"/>
      <c r="MW10" s="36"/>
      <c r="MX10" s="4"/>
      <c r="MZ10" s="3" t="s">
        <v>543</v>
      </c>
      <c r="NA10" s="4">
        <v>0</v>
      </c>
      <c r="NB10" s="4">
        <f>NA9</f>
        <v>0</v>
      </c>
      <c r="NC10" s="4">
        <f t="shared" ref="NC10:NI10" si="302">NB9</f>
        <v>0</v>
      </c>
      <c r="ND10" s="4">
        <f t="shared" si="302"/>
        <v>0</v>
      </c>
      <c r="NE10" s="4">
        <f t="shared" si="302"/>
        <v>0</v>
      </c>
      <c r="NF10" s="4">
        <f t="shared" si="302"/>
        <v>0</v>
      </c>
      <c r="NG10" s="4">
        <f t="shared" si="302"/>
        <v>0</v>
      </c>
      <c r="NH10" s="4">
        <f t="shared" si="302"/>
        <v>0</v>
      </c>
      <c r="NI10" s="4">
        <f t="shared" si="302"/>
        <v>0</v>
      </c>
      <c r="NJ10" s="4"/>
      <c r="NK10" s="4"/>
      <c r="NL10" s="4"/>
      <c r="NM10" s="36"/>
      <c r="NN10" s="4"/>
      <c r="NP10" s="3" t="s">
        <v>544</v>
      </c>
      <c r="NQ10" s="4">
        <v>0</v>
      </c>
      <c r="NR10" s="4">
        <f>NQ9</f>
        <v>0</v>
      </c>
      <c r="NS10" s="4">
        <f t="shared" ref="NS10:NY10" si="303">NR9</f>
        <v>0</v>
      </c>
      <c r="NT10" s="4">
        <f t="shared" si="303"/>
        <v>0</v>
      </c>
      <c r="NU10" s="4">
        <f t="shared" si="303"/>
        <v>0</v>
      </c>
      <c r="NV10" s="4">
        <f t="shared" si="303"/>
        <v>0</v>
      </c>
      <c r="NW10" s="4">
        <f t="shared" si="303"/>
        <v>0</v>
      </c>
      <c r="NX10" s="4">
        <f t="shared" si="303"/>
        <v>0</v>
      </c>
      <c r="NY10" s="4">
        <f t="shared" si="303"/>
        <v>0</v>
      </c>
      <c r="NZ10" s="4"/>
      <c r="OA10" s="4"/>
      <c r="OB10" s="4"/>
      <c r="OC10" s="36"/>
      <c r="OD10" s="4"/>
      <c r="OF10" s="3" t="s">
        <v>545</v>
      </c>
      <c r="OG10" s="4">
        <v>0</v>
      </c>
      <c r="OH10" s="4">
        <f>OG9</f>
        <v>0</v>
      </c>
      <c r="OI10" s="4">
        <f t="shared" ref="OI10:OO10" si="304">OH9</f>
        <v>0</v>
      </c>
      <c r="OJ10" s="4">
        <f t="shared" si="304"/>
        <v>0</v>
      </c>
      <c r="OK10" s="4">
        <f t="shared" si="304"/>
        <v>0</v>
      </c>
      <c r="OL10" s="4">
        <f t="shared" si="304"/>
        <v>0</v>
      </c>
      <c r="OM10" s="4">
        <f t="shared" si="304"/>
        <v>0</v>
      </c>
      <c r="ON10" s="4">
        <f t="shared" si="304"/>
        <v>0</v>
      </c>
      <c r="OO10" s="4">
        <f t="shared" si="304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T10" s="3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U10" s="3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I10" s="3"/>
      <c r="RJ10" s="4"/>
      <c r="RK10" s="4"/>
      <c r="RL10" s="4"/>
      <c r="RM10" s="4"/>
      <c r="RN10" s="4"/>
      <c r="RO10" s="4"/>
      <c r="RP10" s="4"/>
      <c r="RQ10" s="4"/>
      <c r="RR10" s="4"/>
      <c r="RW10" s="3"/>
      <c r="RX10" s="4"/>
      <c r="RY10" s="4"/>
      <c r="RZ10" s="4"/>
      <c r="SA10" s="4"/>
      <c r="SB10" s="4"/>
      <c r="SC10" s="4"/>
      <c r="SD10" s="4"/>
      <c r="SE10" s="4"/>
      <c r="SF10" s="4"/>
      <c r="SK10" s="3"/>
      <c r="SL10" s="4"/>
      <c r="SM10" s="4"/>
      <c r="SN10" s="4"/>
      <c r="SO10" s="4"/>
      <c r="SP10" s="4"/>
      <c r="SQ10" s="4"/>
      <c r="SR10" s="4"/>
      <c r="SS10" s="4"/>
      <c r="ST10" s="4"/>
    </row>
    <row r="11" spans="1:514" x14ac:dyDescent="0.2">
      <c r="A11" s="3" t="s">
        <v>1449</v>
      </c>
      <c r="B11" s="3"/>
      <c r="X11" s="3"/>
      <c r="Y11" s="6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546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547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548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549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550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551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552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553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554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555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556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557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558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559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560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561</v>
      </c>
      <c r="KO11">
        <f t="shared" ref="KO11:KW11" si="305">+MAX((KO4-KO6)*$KO12,0)</f>
        <v>0</v>
      </c>
      <c r="KP11">
        <f t="shared" si="305"/>
        <v>0</v>
      </c>
      <c r="KQ11">
        <f t="shared" si="305"/>
        <v>0</v>
      </c>
      <c r="KR11">
        <f t="shared" si="305"/>
        <v>0</v>
      </c>
      <c r="KS11">
        <f t="shared" si="305"/>
        <v>0</v>
      </c>
      <c r="KT11">
        <f t="shared" si="305"/>
        <v>0</v>
      </c>
      <c r="KU11">
        <f t="shared" si="305"/>
        <v>0</v>
      </c>
      <c r="KV11">
        <f t="shared" si="305"/>
        <v>0</v>
      </c>
      <c r="KW11">
        <f t="shared" si="305"/>
        <v>0</v>
      </c>
      <c r="LA11" s="9"/>
      <c r="LD11" s="3" t="s">
        <v>562</v>
      </c>
      <c r="LE11">
        <f t="shared" ref="LE11:LM11" si="306">+MAX((LE4-LE6)*$LE12,0)</f>
        <v>0</v>
      </c>
      <c r="LF11">
        <f t="shared" si="306"/>
        <v>0</v>
      </c>
      <c r="LG11">
        <f t="shared" si="306"/>
        <v>0</v>
      </c>
      <c r="LH11">
        <f t="shared" si="306"/>
        <v>0</v>
      </c>
      <c r="LI11">
        <f t="shared" si="306"/>
        <v>0</v>
      </c>
      <c r="LJ11">
        <f t="shared" si="306"/>
        <v>0</v>
      </c>
      <c r="LK11">
        <f t="shared" si="306"/>
        <v>0</v>
      </c>
      <c r="LL11">
        <f t="shared" si="306"/>
        <v>0</v>
      </c>
      <c r="LM11">
        <f t="shared" si="306"/>
        <v>0</v>
      </c>
      <c r="LQ11" s="9"/>
      <c r="LT11" s="3" t="s">
        <v>563</v>
      </c>
      <c r="LU11">
        <f t="shared" ref="LU11:MC11" si="307">+MAX((LU4-LU6)*$LU12,0)</f>
        <v>0</v>
      </c>
      <c r="LV11">
        <f t="shared" si="307"/>
        <v>0</v>
      </c>
      <c r="LW11">
        <f t="shared" si="307"/>
        <v>0</v>
      </c>
      <c r="LX11">
        <f t="shared" si="307"/>
        <v>0</v>
      </c>
      <c r="LY11">
        <f t="shared" si="307"/>
        <v>0</v>
      </c>
      <c r="LZ11">
        <f t="shared" si="307"/>
        <v>0</v>
      </c>
      <c r="MA11">
        <f t="shared" si="307"/>
        <v>0</v>
      </c>
      <c r="MB11">
        <f t="shared" si="307"/>
        <v>0</v>
      </c>
      <c r="MC11">
        <f t="shared" si="307"/>
        <v>0</v>
      </c>
      <c r="MG11" s="9"/>
      <c r="MJ11" s="3" t="s">
        <v>564</v>
      </c>
      <c r="MK11">
        <f t="shared" ref="MK11:MS11" si="308">+MAX((MK4-MK6)*$MK12,0)</f>
        <v>0</v>
      </c>
      <c r="ML11">
        <f t="shared" si="308"/>
        <v>0</v>
      </c>
      <c r="MM11">
        <f t="shared" si="308"/>
        <v>0</v>
      </c>
      <c r="MN11">
        <f t="shared" si="308"/>
        <v>0</v>
      </c>
      <c r="MO11">
        <f t="shared" si="308"/>
        <v>0</v>
      </c>
      <c r="MP11">
        <f t="shared" si="308"/>
        <v>0</v>
      </c>
      <c r="MQ11">
        <f t="shared" si="308"/>
        <v>0</v>
      </c>
      <c r="MR11">
        <f t="shared" si="308"/>
        <v>0</v>
      </c>
      <c r="MS11">
        <f t="shared" si="308"/>
        <v>0</v>
      </c>
      <c r="MW11" s="9"/>
      <c r="MZ11" s="3" t="s">
        <v>565</v>
      </c>
      <c r="NA11">
        <f t="shared" ref="NA11:NI11" si="309">+MAX((NA4-NA6)*$NA12,0)</f>
        <v>0</v>
      </c>
      <c r="NB11">
        <f t="shared" si="309"/>
        <v>0</v>
      </c>
      <c r="NC11">
        <f t="shared" si="309"/>
        <v>0</v>
      </c>
      <c r="ND11">
        <f t="shared" si="309"/>
        <v>0</v>
      </c>
      <c r="NE11">
        <f t="shared" si="309"/>
        <v>0</v>
      </c>
      <c r="NF11">
        <f t="shared" si="309"/>
        <v>0</v>
      </c>
      <c r="NG11">
        <f t="shared" si="309"/>
        <v>0</v>
      </c>
      <c r="NH11">
        <f t="shared" si="309"/>
        <v>0</v>
      </c>
      <c r="NI11">
        <f t="shared" si="309"/>
        <v>0</v>
      </c>
      <c r="NM11" s="9"/>
      <c r="NP11" s="3" t="s">
        <v>566</v>
      </c>
      <c r="NQ11">
        <f t="shared" ref="NQ11:NY11" si="310">+MAX((NQ4-NQ6)*$NQ12,0)</f>
        <v>0</v>
      </c>
      <c r="NR11">
        <f t="shared" si="310"/>
        <v>0</v>
      </c>
      <c r="NS11">
        <f t="shared" si="310"/>
        <v>0</v>
      </c>
      <c r="NT11">
        <f t="shared" si="310"/>
        <v>0</v>
      </c>
      <c r="NU11">
        <f t="shared" si="310"/>
        <v>0</v>
      </c>
      <c r="NV11">
        <f t="shared" si="310"/>
        <v>0</v>
      </c>
      <c r="NW11">
        <f t="shared" si="310"/>
        <v>0</v>
      </c>
      <c r="NX11">
        <f t="shared" si="310"/>
        <v>0</v>
      </c>
      <c r="NY11">
        <f t="shared" si="310"/>
        <v>0</v>
      </c>
      <c r="OC11" s="9"/>
      <c r="OF11" s="3" t="s">
        <v>567</v>
      </c>
      <c r="OG11">
        <f t="shared" ref="OG11:OO11" si="311">+MAX((OG4-OG6)*$OG12,0)</f>
        <v>0</v>
      </c>
      <c r="OH11">
        <f t="shared" si="311"/>
        <v>0</v>
      </c>
      <c r="OI11">
        <f t="shared" si="311"/>
        <v>0</v>
      </c>
      <c r="OJ11">
        <f t="shared" si="311"/>
        <v>0</v>
      </c>
      <c r="OK11">
        <f t="shared" si="311"/>
        <v>0</v>
      </c>
      <c r="OL11">
        <f t="shared" si="311"/>
        <v>0</v>
      </c>
      <c r="OM11">
        <f t="shared" si="311"/>
        <v>0</v>
      </c>
      <c r="ON11">
        <f t="shared" si="311"/>
        <v>0</v>
      </c>
      <c r="OO11">
        <f t="shared" si="311"/>
        <v>0</v>
      </c>
      <c r="OS11" s="9"/>
      <c r="PT11" s="3"/>
      <c r="QU11" s="3"/>
      <c r="RI11" s="3"/>
      <c r="RW11" s="3"/>
      <c r="SK11" s="3"/>
    </row>
    <row r="12" spans="1:514" x14ac:dyDescent="0.2">
      <c r="A12" s="3" t="s">
        <v>1446</v>
      </c>
      <c r="B12" s="3"/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568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569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570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571</v>
      </c>
      <c r="DE12" s="6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572</v>
      </c>
      <c r="DU12" s="31">
        <v>40000000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573</v>
      </c>
      <c r="EK12" s="31">
        <v>40000000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574</v>
      </c>
      <c r="FA12" s="31">
        <v>10000000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575</v>
      </c>
      <c r="FQ12" s="31">
        <v>40000000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576</v>
      </c>
      <c r="GG12" s="31">
        <v>20000000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S12" s="36"/>
      <c r="GV12" s="3" t="s">
        <v>577</v>
      </c>
      <c r="GW12" s="31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578</v>
      </c>
      <c r="HM12" s="31">
        <v>20000000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579</v>
      </c>
      <c r="IC12" s="31">
        <v>40000000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O12" s="36"/>
      <c r="IR12" s="3" t="s">
        <v>580</v>
      </c>
      <c r="IS12" s="31">
        <v>10000000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581</v>
      </c>
      <c r="JI12" s="6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582</v>
      </c>
      <c r="JY12" s="6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583</v>
      </c>
      <c r="KO12" s="6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584</v>
      </c>
      <c r="LE12" s="6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585</v>
      </c>
      <c r="LU12" s="6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586</v>
      </c>
      <c r="MK12" s="6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587</v>
      </c>
      <c r="NA12" s="6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588</v>
      </c>
      <c r="NQ12" s="6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589</v>
      </c>
      <c r="OG12" s="6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4"/>
      <c r="OV12" s="4"/>
      <c r="OW12" s="4"/>
      <c r="OX12" s="4"/>
      <c r="OY12" s="4"/>
      <c r="OZ12" s="4"/>
      <c r="PA12" s="4"/>
      <c r="PB12" s="4"/>
      <c r="PC12" s="4"/>
      <c r="PD12" s="4"/>
      <c r="PG12" s="8"/>
      <c r="PH12" s="4"/>
      <c r="PI12" s="4"/>
      <c r="PJ12" s="4"/>
      <c r="PK12" s="4"/>
      <c r="PL12" s="4"/>
      <c r="PM12" s="4"/>
      <c r="PN12" s="4"/>
      <c r="PO12" s="4"/>
      <c r="PP12" s="4"/>
      <c r="PQ12" s="4"/>
      <c r="PT12" s="3"/>
      <c r="PU12" s="8"/>
      <c r="PV12" s="4"/>
      <c r="PW12" s="4"/>
      <c r="PX12" s="4"/>
      <c r="PY12" s="4"/>
      <c r="PZ12" s="4"/>
      <c r="QA12" s="4"/>
      <c r="QB12" s="4"/>
      <c r="QC12" s="4"/>
      <c r="QD12" s="4"/>
      <c r="QE12" s="4"/>
      <c r="QH12" s="8"/>
      <c r="QI12" s="4"/>
      <c r="QJ12" s="4"/>
      <c r="QK12" s="4"/>
      <c r="QL12" s="4"/>
      <c r="QM12" s="4"/>
      <c r="QN12" s="4"/>
      <c r="QO12" s="4"/>
      <c r="QP12" s="4"/>
      <c r="QQ12" s="4"/>
      <c r="QR12" s="4"/>
      <c r="QU12" s="3"/>
      <c r="QV12" s="8"/>
      <c r="QW12" s="4"/>
      <c r="QX12" s="4"/>
      <c r="QY12" s="4"/>
      <c r="QZ12" s="4"/>
      <c r="RA12" s="4"/>
      <c r="RB12" s="4"/>
      <c r="RC12" s="4"/>
      <c r="RD12" s="4"/>
      <c r="RE12" s="4"/>
      <c r="RF12" s="4"/>
      <c r="RI12" s="3"/>
      <c r="RJ12" s="8"/>
      <c r="RK12" s="4"/>
      <c r="RL12" s="4"/>
      <c r="RM12" s="4"/>
      <c r="RN12" s="4"/>
      <c r="RO12" s="4"/>
      <c r="RP12" s="4"/>
      <c r="RQ12" s="4"/>
      <c r="RR12" s="4"/>
      <c r="RW12" s="3"/>
      <c r="RX12" s="8"/>
      <c r="RY12" s="4"/>
      <c r="RZ12" s="4"/>
      <c r="SA12" s="4"/>
      <c r="SB12" s="4"/>
      <c r="SC12" s="4"/>
      <c r="SD12" s="4"/>
      <c r="SE12" s="4"/>
      <c r="SF12" s="4"/>
      <c r="SK12" s="3"/>
      <c r="SL12" s="8"/>
      <c r="SM12" s="4"/>
      <c r="SN12" s="4"/>
      <c r="SO12" s="4"/>
      <c r="SP12" s="4"/>
      <c r="SQ12" s="4"/>
      <c r="SR12" s="4"/>
      <c r="SS12" s="4"/>
      <c r="ST12" s="4"/>
    </row>
    <row r="13" spans="1:514" x14ac:dyDescent="0.2">
      <c r="A13" s="3" t="s">
        <v>1447</v>
      </c>
      <c r="B13" s="3"/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1451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1453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1455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1457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1459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1461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1463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1465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1468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S13" s="36"/>
      <c r="GV13" s="3" t="s">
        <v>1469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1471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1473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O13" s="36"/>
      <c r="IR13" s="3" t="s">
        <v>1475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1477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1479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1481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1484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1485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1487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1489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1491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1493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4"/>
      <c r="OV13" s="4"/>
      <c r="OW13" s="4"/>
      <c r="OX13" s="4"/>
      <c r="OY13" s="4"/>
      <c r="OZ13" s="4"/>
      <c r="PA13" s="4"/>
      <c r="PB13" s="4"/>
      <c r="PC13" s="4"/>
      <c r="PD13" s="4"/>
      <c r="PG13" s="6"/>
      <c r="PH13" s="4"/>
      <c r="PI13" s="4"/>
      <c r="PJ13" s="4"/>
      <c r="PK13" s="4"/>
      <c r="PL13" s="4"/>
      <c r="PM13" s="4"/>
      <c r="PN13" s="4"/>
      <c r="PO13" s="4"/>
      <c r="PP13" s="4"/>
      <c r="PQ13" s="4"/>
      <c r="PT13" s="3"/>
      <c r="PU13" s="6"/>
      <c r="PV13" s="4"/>
      <c r="PW13" s="4"/>
      <c r="PX13" s="4"/>
      <c r="PY13" s="4"/>
      <c r="PZ13" s="4"/>
      <c r="QA13" s="4"/>
      <c r="QB13" s="4"/>
      <c r="QC13" s="4"/>
      <c r="QD13" s="4"/>
      <c r="QE13" s="4"/>
      <c r="QH13" s="6"/>
      <c r="QI13" s="4"/>
      <c r="QJ13" s="4"/>
      <c r="QK13" s="4"/>
      <c r="QL13" s="4"/>
      <c r="QM13" s="4"/>
      <c r="QN13" s="4"/>
      <c r="QO13" s="4"/>
      <c r="QP13" s="4"/>
      <c r="QQ13" s="4"/>
      <c r="QR13" s="4"/>
      <c r="QU13" s="3"/>
      <c r="QV13" s="6"/>
      <c r="QW13" s="4"/>
      <c r="QX13" s="4"/>
      <c r="QY13" s="4"/>
      <c r="QZ13" s="4"/>
      <c r="RA13" s="4"/>
      <c r="RB13" s="4"/>
      <c r="RC13" s="4"/>
      <c r="RD13" s="4"/>
      <c r="RE13" s="4"/>
      <c r="RF13" s="4"/>
      <c r="RI13" s="3"/>
      <c r="RJ13" s="6"/>
      <c r="RK13" s="4"/>
      <c r="RL13" s="4"/>
      <c r="RM13" s="4"/>
      <c r="RN13" s="4"/>
      <c r="RO13" s="4"/>
      <c r="RP13" s="4"/>
      <c r="RQ13" s="4"/>
      <c r="RR13" s="4"/>
      <c r="RW13" s="3"/>
      <c r="RX13" s="8"/>
      <c r="RY13" s="4"/>
      <c r="RZ13" s="4"/>
      <c r="SA13" s="4"/>
      <c r="SB13" s="4"/>
      <c r="SC13" s="4"/>
      <c r="SD13" s="4"/>
      <c r="SE13" s="4"/>
      <c r="SF13" s="4"/>
      <c r="SK13" s="3"/>
      <c r="SL13" s="8"/>
      <c r="SM13" s="4"/>
      <c r="SN13" s="4"/>
      <c r="SO13" s="4"/>
      <c r="SP13" s="4"/>
      <c r="SQ13" s="4"/>
      <c r="SR13" s="4"/>
      <c r="SS13" s="4"/>
      <c r="ST13" s="4"/>
    </row>
    <row r="14" spans="1:514" x14ac:dyDescent="0.2">
      <c r="A14" s="3" t="s">
        <v>1448</v>
      </c>
      <c r="B14" s="3"/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1452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1454</v>
      </c>
      <c r="BY14" s="6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1456</v>
      </c>
      <c r="CO14" s="6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1458</v>
      </c>
      <c r="DE14" s="6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1460</v>
      </c>
      <c r="DU14" s="6">
        <f>DU12/5</f>
        <v>8000000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1462</v>
      </c>
      <c r="EK14" s="6">
        <f>EK12/5</f>
        <v>8000000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1464</v>
      </c>
      <c r="FA14" s="6">
        <f>FA12/5</f>
        <v>2000000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1466</v>
      </c>
      <c r="FQ14" s="6">
        <f>FQ12/5</f>
        <v>8000000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1467</v>
      </c>
      <c r="GG14" s="6">
        <f>GG12/5</f>
        <v>4000000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S14" s="36"/>
      <c r="GV14" s="3" t="s">
        <v>1470</v>
      </c>
      <c r="GW14" s="6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1472</v>
      </c>
      <c r="HM14" s="6">
        <f>HM12/5</f>
        <v>4000000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1474</v>
      </c>
      <c r="IC14" s="6">
        <f>IC12/5</f>
        <v>8000000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O14" s="36"/>
      <c r="IR14" s="3" t="s">
        <v>1476</v>
      </c>
      <c r="IS14" s="6">
        <f>IS12/5</f>
        <v>2000000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1478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1480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1482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1483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1486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1488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1490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1492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1494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4"/>
      <c r="OV14" s="4"/>
      <c r="OW14" s="4"/>
      <c r="OX14" s="4"/>
      <c r="OY14" s="4"/>
      <c r="OZ14" s="4"/>
      <c r="PA14" s="4"/>
      <c r="PB14" s="4"/>
      <c r="PC14" s="4"/>
      <c r="PD14" s="4"/>
      <c r="PG14" s="6"/>
      <c r="PH14" s="4"/>
      <c r="PI14" s="4"/>
      <c r="PJ14" s="4"/>
      <c r="PK14" s="4"/>
      <c r="PL14" s="4"/>
      <c r="PM14" s="4"/>
      <c r="PN14" s="4"/>
      <c r="PO14" s="4"/>
      <c r="PP14" s="4"/>
      <c r="PQ14" s="4"/>
      <c r="PT14" s="3"/>
      <c r="PU14" s="6"/>
      <c r="PV14" s="4"/>
      <c r="PW14" s="4"/>
      <c r="PX14" s="4"/>
      <c r="PY14" s="4"/>
      <c r="PZ14" s="4"/>
      <c r="QA14" s="4"/>
      <c r="QB14" s="4"/>
      <c r="QC14" s="4"/>
      <c r="QD14" s="4"/>
      <c r="QE14" s="4"/>
      <c r="QH14" s="6"/>
      <c r="QI14" s="4"/>
      <c r="QJ14" s="4"/>
      <c r="QK14" s="4"/>
      <c r="QL14" s="4"/>
      <c r="QM14" s="4"/>
      <c r="QN14" s="4"/>
      <c r="QO14" s="4"/>
      <c r="QP14" s="4"/>
      <c r="QQ14" s="4"/>
      <c r="QR14" s="4"/>
      <c r="QU14" s="3"/>
      <c r="QV14" s="6"/>
      <c r="QW14" s="4"/>
      <c r="QX14" s="4"/>
      <c r="QY14" s="4"/>
      <c r="QZ14" s="4"/>
      <c r="RA14" s="4"/>
      <c r="RB14" s="4"/>
      <c r="RC14" s="4"/>
      <c r="RD14" s="4"/>
      <c r="RE14" s="4"/>
      <c r="RF14" s="4"/>
      <c r="RI14" s="3"/>
      <c r="RJ14" s="6"/>
      <c r="RK14" s="4"/>
      <c r="RL14" s="4"/>
      <c r="RM14" s="4"/>
      <c r="RN14" s="4"/>
      <c r="RO14" s="4"/>
      <c r="RP14" s="4"/>
      <c r="RQ14" s="4"/>
      <c r="RR14" s="4"/>
      <c r="RW14" s="3"/>
      <c r="RX14" s="8"/>
      <c r="RY14" s="4"/>
      <c r="RZ14" s="4"/>
      <c r="SA14" s="4"/>
      <c r="SB14" s="4"/>
      <c r="SC14" s="4"/>
      <c r="SD14" s="4"/>
      <c r="SE14" s="4"/>
      <c r="SF14" s="4"/>
      <c r="SK14" s="3"/>
      <c r="SL14" s="8"/>
      <c r="SM14" s="4"/>
      <c r="SN14" s="4"/>
      <c r="SO14" s="4"/>
      <c r="SP14" s="4"/>
      <c r="SQ14" s="4"/>
      <c r="SR14" s="4"/>
      <c r="SS14" s="4"/>
      <c r="ST14" s="4"/>
    </row>
    <row r="15" spans="1:514" x14ac:dyDescent="0.2">
      <c r="A15" s="3" t="s">
        <v>590</v>
      </c>
      <c r="B15" s="3"/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591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592</v>
      </c>
      <c r="BY15" s="7" t="s">
        <v>6</v>
      </c>
      <c r="CK15" s="9"/>
      <c r="CN15" s="3" t="s">
        <v>593</v>
      </c>
      <c r="CO15" s="7" t="s">
        <v>6</v>
      </c>
      <c r="DA15" s="9"/>
      <c r="DD15" s="3" t="s">
        <v>594</v>
      </c>
      <c r="DE15" s="7" t="s">
        <v>6</v>
      </c>
      <c r="DQ15" s="9"/>
      <c r="DT15" s="3" t="s">
        <v>595</v>
      </c>
      <c r="DU15" s="7" t="s">
        <v>6</v>
      </c>
      <c r="EG15" s="9"/>
      <c r="EJ15" s="3" t="s">
        <v>596</v>
      </c>
      <c r="EK15" s="7" t="s">
        <v>6</v>
      </c>
      <c r="EW15" s="9"/>
      <c r="EZ15" s="3" t="s">
        <v>597</v>
      </c>
      <c r="FA15" s="7" t="s">
        <v>6</v>
      </c>
      <c r="FI15" s="7"/>
      <c r="FK15" s="7"/>
      <c r="FM15" s="38"/>
      <c r="FP15" s="3" t="s">
        <v>598</v>
      </c>
      <c r="FQ15" s="7" t="s">
        <v>6</v>
      </c>
      <c r="FY15" s="7"/>
      <c r="GA15" s="7"/>
      <c r="GC15" s="38"/>
      <c r="GF15" s="3" t="s">
        <v>599</v>
      </c>
      <c r="GG15" s="7" t="s">
        <v>6</v>
      </c>
      <c r="GO15" s="7"/>
      <c r="GS15" s="9"/>
      <c r="GV15" s="3" t="s">
        <v>600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601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602</v>
      </c>
      <c r="IC15" s="7" t="s">
        <v>6</v>
      </c>
      <c r="ID15" s="7"/>
      <c r="IE15" s="7"/>
      <c r="IO15" s="9"/>
      <c r="IR15" s="3" t="s">
        <v>603</v>
      </c>
      <c r="IS15" s="7" t="s">
        <v>6</v>
      </c>
      <c r="JE15" s="9"/>
      <c r="JH15" s="3" t="s">
        <v>604</v>
      </c>
      <c r="JI15" s="7" t="s">
        <v>6</v>
      </c>
      <c r="JU15" s="9"/>
      <c r="JX15" s="3" t="s">
        <v>605</v>
      </c>
      <c r="JY15" s="7" t="s">
        <v>6</v>
      </c>
      <c r="KK15" s="9"/>
      <c r="KN15" s="3" t="s">
        <v>606</v>
      </c>
      <c r="KO15" s="7" t="s">
        <v>6</v>
      </c>
      <c r="LA15" s="9"/>
      <c r="LD15" s="3" t="s">
        <v>607</v>
      </c>
      <c r="LE15" s="7" t="s">
        <v>6</v>
      </c>
      <c r="LQ15" s="9"/>
      <c r="LT15" s="3" t="s">
        <v>608</v>
      </c>
      <c r="LU15" s="7" t="s">
        <v>6</v>
      </c>
      <c r="MG15" s="9"/>
      <c r="MJ15" s="3" t="s">
        <v>609</v>
      </c>
      <c r="MK15" s="7" t="s">
        <v>6</v>
      </c>
      <c r="MW15" s="9"/>
      <c r="MZ15" s="3" t="s">
        <v>610</v>
      </c>
      <c r="NA15" s="7" t="s">
        <v>6</v>
      </c>
      <c r="NM15" s="9"/>
      <c r="NP15" s="3" t="s">
        <v>611</v>
      </c>
      <c r="NQ15" s="7" t="s">
        <v>6</v>
      </c>
      <c r="OC15" s="9"/>
      <c r="OF15" s="3" t="s">
        <v>612</v>
      </c>
      <c r="OG15" s="7" t="s">
        <v>6</v>
      </c>
      <c r="OS15" s="9"/>
      <c r="PG15" s="7"/>
      <c r="PT15" s="3"/>
      <c r="PU15" s="7"/>
      <c r="QH15" s="7"/>
      <c r="QU15" s="3"/>
      <c r="QV15" s="7"/>
      <c r="RI15" s="3"/>
      <c r="RJ15" s="7"/>
      <c r="RW15" s="3"/>
      <c r="RX15" s="7"/>
      <c r="SK15" s="3"/>
      <c r="SL15" s="7"/>
    </row>
    <row r="16" spans="1:514" x14ac:dyDescent="0.2">
      <c r="A16" s="3" t="s">
        <v>613</v>
      </c>
      <c r="B16" s="3"/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614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615</v>
      </c>
      <c r="BY16" s="7" t="s">
        <v>6</v>
      </c>
      <c r="CK16" s="9"/>
      <c r="CN16" s="3" t="s">
        <v>616</v>
      </c>
      <c r="CO16" s="7" t="s">
        <v>6</v>
      </c>
      <c r="DA16" s="9"/>
      <c r="DD16" s="3" t="s">
        <v>617</v>
      </c>
      <c r="DE16" s="7" t="s">
        <v>6</v>
      </c>
      <c r="DQ16" s="9"/>
      <c r="DT16" s="3" t="s">
        <v>618</v>
      </c>
      <c r="DU16" s="7" t="s">
        <v>6</v>
      </c>
      <c r="EG16" s="9"/>
      <c r="EJ16" s="3" t="s">
        <v>619</v>
      </c>
      <c r="EK16" s="7" t="s">
        <v>6</v>
      </c>
      <c r="EW16" s="9"/>
      <c r="EZ16" s="3" t="s">
        <v>620</v>
      </c>
      <c r="FA16" s="7" t="s">
        <v>6</v>
      </c>
      <c r="FI16" s="7"/>
      <c r="FK16" s="7"/>
      <c r="FM16" s="38"/>
      <c r="FP16" s="3" t="s">
        <v>621</v>
      </c>
      <c r="FQ16" s="7" t="s">
        <v>6</v>
      </c>
      <c r="FY16" s="7"/>
      <c r="GA16" s="7"/>
      <c r="GC16" s="38"/>
      <c r="GF16" s="3" t="s">
        <v>622</v>
      </c>
      <c r="GG16" s="7" t="s">
        <v>6</v>
      </c>
      <c r="GO16" s="7"/>
      <c r="GS16" s="9"/>
      <c r="GV16" s="3" t="s">
        <v>623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624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625</v>
      </c>
      <c r="IC16" s="7" t="s">
        <v>6</v>
      </c>
      <c r="ID16" s="7"/>
      <c r="IE16" s="7"/>
      <c r="IO16" s="9"/>
      <c r="IR16" s="3" t="s">
        <v>626</v>
      </c>
      <c r="IS16" s="7" t="s">
        <v>6</v>
      </c>
      <c r="JE16" s="9"/>
      <c r="JH16" s="3" t="s">
        <v>627</v>
      </c>
      <c r="JI16" s="7" t="s">
        <v>6</v>
      </c>
      <c r="JU16" s="9"/>
      <c r="JX16" s="3" t="s">
        <v>628</v>
      </c>
      <c r="JY16" s="7" t="s">
        <v>6</v>
      </c>
      <c r="KK16" s="9"/>
      <c r="KN16" s="3" t="s">
        <v>629</v>
      </c>
      <c r="KO16" s="7" t="s">
        <v>6</v>
      </c>
      <c r="LA16" s="9"/>
      <c r="LD16" s="3" t="s">
        <v>630</v>
      </c>
      <c r="LE16" s="7" t="s">
        <v>6</v>
      </c>
      <c r="LQ16" s="9"/>
      <c r="LT16" s="3" t="s">
        <v>631</v>
      </c>
      <c r="LU16" s="7" t="s">
        <v>6</v>
      </c>
      <c r="MG16" s="9"/>
      <c r="MJ16" s="3" t="s">
        <v>632</v>
      </c>
      <c r="MK16" s="7" t="s">
        <v>6</v>
      </c>
      <c r="MW16" s="9"/>
      <c r="MZ16" s="3" t="s">
        <v>633</v>
      </c>
      <c r="NA16" s="7" t="s">
        <v>6</v>
      </c>
      <c r="NM16" s="9"/>
      <c r="NP16" s="3" t="s">
        <v>634</v>
      </c>
      <c r="NQ16" s="7" t="s">
        <v>6</v>
      </c>
      <c r="OC16" s="9"/>
      <c r="OF16" s="3" t="s">
        <v>635</v>
      </c>
      <c r="OG16" s="7" t="s">
        <v>6</v>
      </c>
      <c r="OS16" s="9"/>
      <c r="PG16" s="7"/>
      <c r="PT16" s="3"/>
      <c r="PU16" s="7"/>
      <c r="QH16" s="7"/>
      <c r="QU16" s="3"/>
      <c r="QV16" s="7"/>
      <c r="RI16" s="3"/>
      <c r="RJ16" s="7"/>
      <c r="RW16" s="3"/>
      <c r="RX16" s="7"/>
      <c r="SK16" s="3"/>
      <c r="SL16" s="7"/>
    </row>
    <row r="17" spans="1:505" x14ac:dyDescent="0.2">
      <c r="A17" s="3" t="s">
        <v>636</v>
      </c>
      <c r="B17" s="3"/>
      <c r="X17" s="3"/>
      <c r="AP17" s="3"/>
      <c r="BH17" s="3" t="s">
        <v>637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638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639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640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641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642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643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644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645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646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647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648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649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650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651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652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653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654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655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656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657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658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T17" s="3"/>
      <c r="QU17" s="3"/>
      <c r="RI17" s="3"/>
      <c r="RW17" s="3"/>
      <c r="SK17" s="3"/>
    </row>
    <row r="18" spans="1:505" x14ac:dyDescent="0.2">
      <c r="A18" s="3" t="s">
        <v>659</v>
      </c>
      <c r="B18" s="3"/>
      <c r="K18" t="s">
        <v>320</v>
      </c>
      <c r="X18" s="3"/>
      <c r="AP18" s="3"/>
      <c r="BH18" s="3" t="s">
        <v>660</v>
      </c>
      <c r="BI18">
        <v>1</v>
      </c>
      <c r="BU18" s="9"/>
      <c r="BX18" s="3" t="s">
        <v>661</v>
      </c>
      <c r="BY18">
        <v>1</v>
      </c>
      <c r="CK18" s="9"/>
      <c r="CN18" s="3" t="s">
        <v>662</v>
      </c>
      <c r="CO18">
        <v>1</v>
      </c>
      <c r="DA18" s="9"/>
      <c r="DD18" s="3" t="s">
        <v>663</v>
      </c>
      <c r="DE18">
        <v>1</v>
      </c>
      <c r="DQ18" s="9"/>
      <c r="DT18" s="3" t="s">
        <v>664</v>
      </c>
      <c r="DU18">
        <v>1</v>
      </c>
      <c r="EG18" s="9"/>
      <c r="EJ18" s="3" t="s">
        <v>665</v>
      </c>
      <c r="EK18">
        <v>1</v>
      </c>
      <c r="EW18" s="9"/>
      <c r="EZ18" s="3" t="s">
        <v>666</v>
      </c>
      <c r="FA18">
        <v>1</v>
      </c>
      <c r="FM18" s="9"/>
      <c r="FP18" s="3" t="s">
        <v>667</v>
      </c>
      <c r="FQ18">
        <v>1</v>
      </c>
      <c r="GC18" s="9"/>
      <c r="GF18" s="3" t="s">
        <v>668</v>
      </c>
      <c r="GG18">
        <v>1</v>
      </c>
      <c r="GS18" s="9"/>
      <c r="GV18" s="3" t="s">
        <v>669</v>
      </c>
      <c r="GW18">
        <v>1</v>
      </c>
      <c r="HI18" s="9"/>
      <c r="HL18" s="3" t="s">
        <v>670</v>
      </c>
      <c r="HM18">
        <v>1</v>
      </c>
      <c r="HY18" s="9"/>
      <c r="IB18" s="3" t="s">
        <v>671</v>
      </c>
      <c r="IC18">
        <v>1</v>
      </c>
      <c r="IO18" s="9"/>
      <c r="IR18" s="3" t="s">
        <v>672</v>
      </c>
      <c r="IS18">
        <v>1</v>
      </c>
      <c r="JE18" s="9"/>
      <c r="JH18" s="3" t="s">
        <v>673</v>
      </c>
      <c r="JI18">
        <v>1</v>
      </c>
      <c r="JU18" s="9"/>
      <c r="JX18" s="3" t="s">
        <v>674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 t="s">
        <v>1495</v>
      </c>
      <c r="OG18">
        <v>1</v>
      </c>
      <c r="OS18" s="9"/>
      <c r="PT18" s="3"/>
      <c r="QU18" s="3"/>
      <c r="RI18" s="3"/>
      <c r="SK18" s="3"/>
    </row>
    <row r="19" spans="1:505" x14ac:dyDescent="0.2">
      <c r="A19" s="3" t="s">
        <v>675</v>
      </c>
      <c r="B19" s="3"/>
      <c r="X19" s="3"/>
      <c r="AP19" s="3"/>
      <c r="BH19" s="3" t="s">
        <v>676</v>
      </c>
      <c r="BI19">
        <v>1</v>
      </c>
      <c r="BU19" s="9"/>
      <c r="BX19" s="3" t="s">
        <v>677</v>
      </c>
      <c r="BY19">
        <v>1</v>
      </c>
      <c r="CK19" s="9"/>
      <c r="CN19" s="3" t="s">
        <v>678</v>
      </c>
      <c r="CO19">
        <v>1</v>
      </c>
      <c r="DA19" s="9"/>
      <c r="DD19" s="3" t="s">
        <v>679</v>
      </c>
      <c r="DE19">
        <v>1</v>
      </c>
      <c r="DQ19" s="9"/>
      <c r="DT19" s="3" t="s">
        <v>680</v>
      </c>
      <c r="DU19">
        <v>1</v>
      </c>
      <c r="EG19" s="9"/>
      <c r="EJ19" s="3" t="s">
        <v>681</v>
      </c>
      <c r="EK19">
        <v>1</v>
      </c>
      <c r="EW19" s="9"/>
      <c r="EZ19" s="3" t="s">
        <v>682</v>
      </c>
      <c r="FA19">
        <v>1</v>
      </c>
      <c r="FM19" s="9"/>
      <c r="FP19" s="3" t="s">
        <v>683</v>
      </c>
      <c r="FQ19">
        <v>0</v>
      </c>
      <c r="GC19" s="9"/>
      <c r="GF19" s="3" t="s">
        <v>684</v>
      </c>
      <c r="GG19">
        <v>1</v>
      </c>
      <c r="GS19" s="9"/>
      <c r="GV19" s="3" t="s">
        <v>685</v>
      </c>
      <c r="GW19">
        <v>1</v>
      </c>
      <c r="HI19" s="9"/>
      <c r="HL19" s="3" t="s">
        <v>686</v>
      </c>
      <c r="HM19">
        <v>1</v>
      </c>
      <c r="HY19" s="9"/>
      <c r="IB19" s="3" t="s">
        <v>687</v>
      </c>
      <c r="IC19">
        <v>1</v>
      </c>
      <c r="IO19" s="9"/>
      <c r="IR19" s="3" t="s">
        <v>688</v>
      </c>
      <c r="IS19">
        <v>1</v>
      </c>
      <c r="JE19" s="9"/>
      <c r="JH19" s="3" t="s">
        <v>689</v>
      </c>
      <c r="JI19">
        <v>1</v>
      </c>
      <c r="JU19" s="9"/>
      <c r="JX19" s="3" t="s">
        <v>690</v>
      </c>
      <c r="JY19">
        <v>1</v>
      </c>
      <c r="KK19" s="9"/>
      <c r="KN19" s="3" t="s">
        <v>1498</v>
      </c>
      <c r="KO19">
        <v>1</v>
      </c>
      <c r="LA19" s="9"/>
      <c r="LD19" s="3" t="s">
        <v>1502</v>
      </c>
      <c r="LE19">
        <v>1</v>
      </c>
      <c r="LQ19" s="9"/>
      <c r="LT19" s="3" t="s">
        <v>1501</v>
      </c>
      <c r="LU19">
        <v>1</v>
      </c>
      <c r="MG19" s="9"/>
      <c r="MJ19" s="3" t="s">
        <v>1500</v>
      </c>
      <c r="MK19">
        <v>1</v>
      </c>
      <c r="MW19" s="9"/>
      <c r="MZ19" s="3" t="s">
        <v>1499</v>
      </c>
      <c r="NA19">
        <v>1</v>
      </c>
      <c r="NM19" s="9"/>
      <c r="NP19" s="3" t="s">
        <v>1497</v>
      </c>
      <c r="NQ19">
        <v>1</v>
      </c>
      <c r="OC19" s="9"/>
      <c r="OF19" s="3" t="s">
        <v>1496</v>
      </c>
      <c r="OG19">
        <v>1</v>
      </c>
      <c r="OS19" s="9"/>
      <c r="PT19" s="3"/>
      <c r="QU19" s="3"/>
      <c r="RI19" s="3"/>
      <c r="SK19" s="3"/>
    </row>
    <row r="20" spans="1:505" x14ac:dyDescent="0.2">
      <c r="A20" s="3" t="s">
        <v>1925</v>
      </c>
      <c r="B20" s="3"/>
      <c r="BH20" s="3" t="s">
        <v>1859</v>
      </c>
      <c r="BI20">
        <v>0</v>
      </c>
      <c r="BU20" s="9"/>
      <c r="BX20" s="3" t="s">
        <v>1860</v>
      </c>
      <c r="BY20">
        <v>0</v>
      </c>
      <c r="CK20" s="9"/>
      <c r="CN20" s="3" t="s">
        <v>1861</v>
      </c>
      <c r="CO20">
        <v>1</v>
      </c>
      <c r="DA20" s="9"/>
      <c r="DD20" s="3" t="s">
        <v>1862</v>
      </c>
      <c r="DE20">
        <v>0</v>
      </c>
      <c r="DQ20" s="9"/>
      <c r="DT20" s="3" t="s">
        <v>1863</v>
      </c>
      <c r="DU20">
        <v>0</v>
      </c>
      <c r="EG20" s="9"/>
      <c r="EJ20" s="3" t="s">
        <v>1864</v>
      </c>
      <c r="EK20">
        <v>0</v>
      </c>
      <c r="EW20" s="9"/>
      <c r="EZ20" s="3" t="s">
        <v>1865</v>
      </c>
      <c r="FA20">
        <v>0</v>
      </c>
      <c r="FM20" s="9"/>
      <c r="FP20" s="3" t="s">
        <v>1866</v>
      </c>
      <c r="FQ20">
        <v>0</v>
      </c>
      <c r="GC20" s="9"/>
      <c r="GF20" s="3" t="s">
        <v>1867</v>
      </c>
      <c r="GG20">
        <v>0</v>
      </c>
      <c r="GS20" s="9"/>
      <c r="GV20" s="3" t="s">
        <v>1868</v>
      </c>
      <c r="GW20">
        <v>0</v>
      </c>
      <c r="HI20" s="9"/>
      <c r="HL20" s="3" t="s">
        <v>1869</v>
      </c>
      <c r="HM20">
        <v>0</v>
      </c>
      <c r="HY20" s="9"/>
      <c r="IB20" s="3" t="s">
        <v>1870</v>
      </c>
      <c r="IC20">
        <v>0</v>
      </c>
      <c r="IO20" s="9"/>
      <c r="IR20" s="3" t="s">
        <v>1871</v>
      </c>
      <c r="IS20">
        <v>0</v>
      </c>
      <c r="JE20" s="9"/>
      <c r="JH20" s="3" t="s">
        <v>1872</v>
      </c>
      <c r="JI20">
        <v>0</v>
      </c>
      <c r="JU20" s="9"/>
      <c r="JX20" s="3" t="s">
        <v>1873</v>
      </c>
      <c r="JY20">
        <v>0</v>
      </c>
      <c r="KK20" s="9"/>
      <c r="KN20" s="3" t="s">
        <v>1874</v>
      </c>
      <c r="KO20">
        <v>0</v>
      </c>
      <c r="LA20" s="9"/>
      <c r="LD20" s="3" t="s">
        <v>1875</v>
      </c>
      <c r="LE20">
        <v>0</v>
      </c>
      <c r="LQ20" s="9"/>
      <c r="LT20" s="3" t="s">
        <v>1876</v>
      </c>
      <c r="LU20">
        <v>0</v>
      </c>
      <c r="MG20" s="9"/>
      <c r="MJ20" s="3" t="s">
        <v>1877</v>
      </c>
      <c r="MK20">
        <v>0</v>
      </c>
      <c r="MW20" s="9"/>
      <c r="MZ20" s="3" t="s">
        <v>1878</v>
      </c>
      <c r="NA20">
        <v>0</v>
      </c>
      <c r="NM20" s="9"/>
      <c r="NP20" s="3" t="s">
        <v>1879</v>
      </c>
      <c r="NQ20">
        <v>0</v>
      </c>
      <c r="OC20" s="9"/>
      <c r="OF20" s="3" t="s">
        <v>1880</v>
      </c>
      <c r="OG20">
        <v>0</v>
      </c>
      <c r="OS20" s="9"/>
    </row>
    <row r="21" spans="1:505" x14ac:dyDescent="0.2">
      <c r="A21" s="3" t="s">
        <v>2010</v>
      </c>
      <c r="B21" s="3"/>
      <c r="BH21" s="3" t="s">
        <v>2012</v>
      </c>
      <c r="BI21">
        <v>0.25</v>
      </c>
      <c r="BU21" s="9"/>
      <c r="BX21" s="3" t="s">
        <v>2014</v>
      </c>
      <c r="BY21">
        <v>0.25</v>
      </c>
      <c r="CK21" s="9"/>
      <c r="CN21" s="3" t="s">
        <v>2016</v>
      </c>
      <c r="CO21">
        <v>0.25</v>
      </c>
      <c r="DA21" s="9"/>
      <c r="DD21" s="3" t="s">
        <v>2018</v>
      </c>
      <c r="DE21">
        <v>0</v>
      </c>
      <c r="DQ21" s="9"/>
      <c r="DT21" s="3" t="s">
        <v>2020</v>
      </c>
      <c r="DU21">
        <v>0.25</v>
      </c>
      <c r="EG21" s="9"/>
      <c r="EJ21" s="3" t="s">
        <v>2022</v>
      </c>
      <c r="EK21">
        <v>0</v>
      </c>
      <c r="EW21" s="9"/>
      <c r="EZ21" s="3" t="s">
        <v>2024</v>
      </c>
      <c r="FA21">
        <v>0</v>
      </c>
      <c r="FM21" s="9"/>
      <c r="FP21" s="3" t="s">
        <v>2026</v>
      </c>
      <c r="FQ21">
        <v>0.25</v>
      </c>
      <c r="GC21" s="9"/>
      <c r="GF21" s="3" t="s">
        <v>2028</v>
      </c>
      <c r="GG21">
        <v>0</v>
      </c>
      <c r="GS21" s="9"/>
      <c r="GV21" s="3" t="s">
        <v>2030</v>
      </c>
      <c r="GW21">
        <v>0</v>
      </c>
      <c r="HI21" s="9"/>
      <c r="HL21" s="3" t="s">
        <v>2032</v>
      </c>
      <c r="HM21">
        <v>0.25</v>
      </c>
      <c r="HY21" s="9"/>
      <c r="IB21" s="3" t="s">
        <v>2034</v>
      </c>
      <c r="IC21">
        <v>0</v>
      </c>
      <c r="IO21" s="9"/>
      <c r="IR21" s="3" t="s">
        <v>2036</v>
      </c>
      <c r="IS21">
        <v>0</v>
      </c>
      <c r="JE21" s="9"/>
      <c r="JH21" s="3" t="s">
        <v>2038</v>
      </c>
      <c r="JI21">
        <v>0.25</v>
      </c>
      <c r="JU21" s="9"/>
      <c r="JX21" s="3" t="s">
        <v>2040</v>
      </c>
      <c r="JY21">
        <v>0.25</v>
      </c>
      <c r="KK21" s="9"/>
      <c r="KN21" s="3" t="s">
        <v>2042</v>
      </c>
      <c r="KO21">
        <v>0.25</v>
      </c>
      <c r="LA21" s="9"/>
      <c r="LD21" s="3" t="s">
        <v>2044</v>
      </c>
      <c r="LE21">
        <v>0.25</v>
      </c>
      <c r="LQ21" s="9"/>
      <c r="LT21" s="3" t="s">
        <v>2046</v>
      </c>
      <c r="LU21">
        <v>0.25</v>
      </c>
      <c r="MG21" s="9"/>
      <c r="MJ21" s="3" t="s">
        <v>2048</v>
      </c>
      <c r="MK21">
        <v>0.25</v>
      </c>
      <c r="MW21" s="9"/>
      <c r="MZ21" s="3" t="s">
        <v>2050</v>
      </c>
      <c r="NA21">
        <v>0.25</v>
      </c>
      <c r="NM21" s="9"/>
      <c r="NP21" s="3" t="s">
        <v>2052</v>
      </c>
      <c r="NQ21">
        <v>0.25</v>
      </c>
      <c r="OC21" s="9"/>
      <c r="OF21" s="3" t="s">
        <v>2054</v>
      </c>
      <c r="OG21">
        <v>0.25</v>
      </c>
      <c r="OS21" s="9"/>
    </row>
    <row r="22" spans="1:505" x14ac:dyDescent="0.2">
      <c r="A22" s="3" t="s">
        <v>2011</v>
      </c>
      <c r="BH22" s="3" t="s">
        <v>2013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2015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2017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2019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2021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2023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2025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2027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2029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2031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2033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2035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2037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2039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2041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2043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2045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2047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2049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2051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2053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2055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5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5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5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5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5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5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5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5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5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5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30"/>
      <c r="BL62" s="16"/>
      <c r="BM62" s="30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30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30"/>
      <c r="CP62" s="16"/>
      <c r="CQ62" s="16"/>
      <c r="CR62" s="16"/>
      <c r="CS62" s="16"/>
      <c r="CT62" s="30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30"/>
      <c r="DJ62" s="30"/>
      <c r="DK62" s="16"/>
      <c r="DL62" s="16"/>
      <c r="DM62" s="30"/>
      <c r="DN62" s="16"/>
      <c r="DO62" s="16"/>
      <c r="DP62" s="16"/>
      <c r="DQ62" s="16"/>
      <c r="DR62" s="16"/>
      <c r="DS62" s="16"/>
      <c r="DT62" s="16"/>
      <c r="DU62" s="30"/>
      <c r="DV62" s="16"/>
      <c r="DW62" s="16"/>
      <c r="DX62" s="16"/>
      <c r="DY62" s="29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29"/>
      <c r="EN62" s="30"/>
      <c r="EO62" s="16"/>
      <c r="EP62" s="30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30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30"/>
      <c r="FR62" s="16"/>
      <c r="FS62" s="16"/>
      <c r="FT62" s="16"/>
      <c r="FU62" s="30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29"/>
      <c r="GJ62" s="30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30"/>
      <c r="HA62" s="16"/>
      <c r="HB62" s="30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30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30"/>
      <c r="ID62" s="16"/>
      <c r="IE62" s="16"/>
      <c r="IF62" s="29"/>
      <c r="IG62" s="29"/>
      <c r="IH62" s="29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29"/>
      <c r="IW62" s="16"/>
      <c r="IX62" s="29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29"/>
      <c r="JU62" s="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2">M64+Y64+AQ64+BI64+BY64+CO64+DE64+DU64+EK64+FA64+FQ64+GG64+GW64+HM64+IC64+IS64+JI64+JY64+KO64+LE64+LU64+MK64+NA64+NQ64+OG64</f>
        <v>0</v>
      </c>
      <c r="C64" s="12">
        <f t="shared" si="312"/>
        <v>0</v>
      </c>
      <c r="D64" s="12">
        <f t="shared" si="312"/>
        <v>0</v>
      </c>
      <c r="E64" s="12">
        <f t="shared" si="312"/>
        <v>0</v>
      </c>
      <c r="F64" s="12">
        <f t="shared" si="312"/>
        <v>0</v>
      </c>
      <c r="G64" s="12">
        <f t="shared" si="312"/>
        <v>0</v>
      </c>
      <c r="H64" s="12">
        <f t="shared" si="312"/>
        <v>0</v>
      </c>
      <c r="I64" s="12">
        <f t="shared" ref="I64:J69" si="313">AF64+AX64+BP64+CF64+CV64+DL64+EB64+ER64+FH64+FX64+GN64+HD64+HT64+IJ64+IZ64+JP64+KF64+KV64+LL64+MB64+MR64+NH64+NX64+ON64</f>
        <v>0</v>
      </c>
      <c r="J64" s="12">
        <f t="shared" si="313"/>
        <v>0</v>
      </c>
      <c r="M64">
        <f t="shared" ref="M64:M69" si="314">M$5*V64</f>
        <v>0</v>
      </c>
      <c r="N64">
        <f t="shared" ref="N64:N69" si="315">N$5*V64</f>
        <v>0</v>
      </c>
      <c r="O64">
        <f t="shared" ref="O64:O69" si="316">O$5*V64</f>
        <v>0</v>
      </c>
      <c r="P64">
        <f t="shared" ref="P64:P69" si="317">P$5*V64</f>
        <v>0</v>
      </c>
      <c r="Q64">
        <f t="shared" ref="Q64:Q69" si="318">Q$5*V64</f>
        <v>0</v>
      </c>
      <c r="R64">
        <f t="shared" ref="R64:R69" si="319">R$5*V64</f>
        <v>0</v>
      </c>
      <c r="S64">
        <f t="shared" ref="S64:S69" si="320">S$5*V64</f>
        <v>0</v>
      </c>
      <c r="U64" t="s">
        <v>1303</v>
      </c>
      <c r="V64">
        <f>_xlfn.XLOOKUP(U64,'KPI Impacts'!$B$2:$H$2,'KPI Impacts'!$B64:$H64)</f>
        <v>0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1">BI$22*BT64</f>
        <v>0</v>
      </c>
      <c r="BJ64" s="12">
        <f t="shared" ref="BJ64:BJ69" si="322">BJ$22 * IF(AND(BI$5=1,BI$20=1), BV64, BT64)</f>
        <v>0</v>
      </c>
      <c r="BK64" s="12">
        <f t="shared" ref="BK64:BK69" si="323">BK$22 * IF(AND(BJ$5=1,BI$20=1), BV64, BT64)</f>
        <v>0</v>
      </c>
      <c r="BL64" s="12">
        <f t="shared" ref="BL64:BL69" si="324">BL$22 * IF(AND(BK$5=1,BI$20=1), BV64, BT64)</f>
        <v>0</v>
      </c>
      <c r="BM64" s="12">
        <f t="shared" ref="BM64:BM69" si="325">BM$22 * IF(AND(BL$5=1,BI$20=1), BV64, BT64)</f>
        <v>0</v>
      </c>
      <c r="BN64" s="12">
        <f t="shared" ref="BN64:BN69" si="326">BN$22 * IF(AND(BM$5=1,BI$20=1), BV64, BT64)</f>
        <v>0</v>
      </c>
      <c r="BO64" s="12">
        <f t="shared" ref="BO64:BO69" si="327">BO$22 * IF(AND(BN$5=1,BI$20=1), BV64, BT64)</f>
        <v>0</v>
      </c>
      <c r="BP64" s="12">
        <f t="shared" ref="BP64:BP69" si="328">BP$22 * IF(AND(BO$5=1,BI$20=1), BV64, BT64)</f>
        <v>0</v>
      </c>
      <c r="BQ64" s="12">
        <f t="shared" ref="BQ64:BQ69" si="329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0">BY$22*CJ64</f>
        <v>0</v>
      </c>
      <c r="BZ64" s="12">
        <f t="shared" ref="BZ64:BZ69" si="331">BZ$22 * IF(AND(BY$5=1,BY$20=1), CL64, CJ64)</f>
        <v>0</v>
      </c>
      <c r="CA64" s="12">
        <f t="shared" ref="CA64:CA69" si="332">CA$22 * IF(AND(BZ$5=1,BY$20=1), CL64, CJ64)</f>
        <v>0</v>
      </c>
      <c r="CB64" s="12">
        <f t="shared" ref="CB64:CB69" si="333">CB$22 * IF(AND(CA$5=1,BY$20=1), CL64, CJ64)</f>
        <v>0</v>
      </c>
      <c r="CC64" s="12">
        <f t="shared" ref="CC64:CC69" si="334">CC$22 * IF(AND(CB$5=1,BY$20=1), CL64, CJ64)</f>
        <v>0</v>
      </c>
      <c r="CD64" s="12">
        <f t="shared" ref="CD64:CD69" si="335">CD$22 * IF(AND(CC$5=1,BY$20=1), CL64, CJ64)</f>
        <v>0</v>
      </c>
      <c r="CE64" s="12">
        <f t="shared" ref="CE64:CE69" si="336">CE$22 * IF(AND(CD$5=1,BY$20=1), CL64, CJ64)</f>
        <v>0</v>
      </c>
      <c r="CF64" s="12">
        <f t="shared" ref="CF64:CF69" si="337">CF$22 * IF(AND(CE$5=1,BY$20=1), CL64, CJ64)</f>
        <v>0</v>
      </c>
      <c r="CG64" s="12">
        <f t="shared" ref="CG64:CG69" si="338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339">CO$22*CZ64</f>
        <v>0</v>
      </c>
      <c r="CP64" s="12">
        <f t="shared" ref="CP64:CP69" si="340">CP$22 * IF(AND(CO$5=1,CO$20=1), DB64, CZ64)</f>
        <v>0</v>
      </c>
      <c r="CQ64" s="12">
        <f t="shared" ref="CQ64:CQ69" si="341">CQ$22 * IF(AND(CP$5=1,CO$20=1), DB64, CZ64)</f>
        <v>0</v>
      </c>
      <c r="CR64" s="12">
        <f t="shared" ref="CR64:CR69" si="342">CR$22 * IF(AND(CQ$5=1,CO$20=1), DB64, CZ64)</f>
        <v>0</v>
      </c>
      <c r="CS64" s="12">
        <f t="shared" ref="CS64:CS69" si="343">CS$22 * IF(AND(CR$5=1,CO$20=1), DB64, CZ64)</f>
        <v>0</v>
      </c>
      <c r="CT64" s="12">
        <f t="shared" ref="CT64:CT69" si="344">CT$22 * IF(AND(CS$5=1,CO$20=1), DB64, CZ64)</f>
        <v>0</v>
      </c>
      <c r="CU64" s="12">
        <f t="shared" ref="CU64:CU69" si="345">CU$22 * IF(AND(CT$5=1,CO$20=1), DB64, CZ64)</f>
        <v>0</v>
      </c>
      <c r="CV64" s="12">
        <f t="shared" ref="CV64:CV69" si="346">CV$22 * IF(AND(CU$5=1,CO$20=1), DB64, CZ64)</f>
        <v>0</v>
      </c>
      <c r="CW64" s="12">
        <f t="shared" ref="CW64:CW69" si="347">CW$22 * IF(AND(CV$5=1,CO$20=1), DB64, CZ64)</f>
        <v>0</v>
      </c>
      <c r="CY64" s="30" t="s">
        <v>1307</v>
      </c>
      <c r="CZ64">
        <f>_xlfn.XLOOKUP(CY64,'KPI Impacts'!$B$2:$H$2,'KPI Impacts'!$B64:$H64)</f>
        <v>1</v>
      </c>
      <c r="DA64" s="30" t="s">
        <v>1307</v>
      </c>
      <c r="DB64">
        <f>_xlfn.XLOOKUP(DA64,'KPI Impacts'!$B$2:$H$2,'KPI Impacts'!$B64:$H64)</f>
        <v>1</v>
      </c>
      <c r="DE64" s="12">
        <f t="shared" ref="DE64:DE69" si="348">DE$22*DP64</f>
        <v>0</v>
      </c>
      <c r="DF64" s="12">
        <f t="shared" ref="DF64:DF69" si="349">DF$22 * IF(AND(DE$5=1,DE$20=1), DR64, DP64)</f>
        <v>0</v>
      </c>
      <c r="DG64" s="12">
        <f t="shared" ref="DG64:DG69" si="350">DG$22 * IF(AND(DF$5=1,DE$20=1), DR64, DP64)</f>
        <v>0</v>
      </c>
      <c r="DH64" s="12">
        <f t="shared" ref="DH64:DH69" si="351">DH$22 * IF(AND(DG$5=1,DE$20=1), DR64, DP64)</f>
        <v>0</v>
      </c>
      <c r="DI64" s="12">
        <f t="shared" ref="DI64:DI69" si="352">DI$22 * IF(AND(DH$5=1,DE$20=1), DR64, DP64)</f>
        <v>0</v>
      </c>
      <c r="DJ64" s="12">
        <f t="shared" ref="DJ64:DJ69" si="353">DJ$22 * IF(AND(DI$5=1,DE$20=1), DR64, DP64)</f>
        <v>0</v>
      </c>
      <c r="DK64" s="12">
        <f t="shared" ref="DK64:DK69" si="354">DK$22 * IF(AND(DJ$5=1,DE$20=1), DR64, DP64)</f>
        <v>0</v>
      </c>
      <c r="DL64" s="12">
        <f t="shared" ref="DL64:DL69" si="355">DL$22 * IF(AND(DK$5=1,DE$20=1), DR64, DP64)</f>
        <v>0</v>
      </c>
      <c r="DM64" s="12">
        <f t="shared" ref="DM64:DM69" si="356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57">DU$22*EF64</f>
        <v>0</v>
      </c>
      <c r="DV64" s="12">
        <f t="shared" ref="DV64:DV69" si="358">DV$22 * IF(AND(DU$5=1,DU$20=1), EH64, EF64)</f>
        <v>0</v>
      </c>
      <c r="DW64" s="12">
        <f t="shared" ref="DW64:DW69" si="359">DW$22 * IF(AND(DV$5=1,DU$20=1), EH64, EF64)</f>
        <v>0</v>
      </c>
      <c r="DX64" s="12">
        <f t="shared" ref="DX64:DX69" si="360">DX$22 * IF(AND(DW$5=1,DU$20=1), EH64, EF64)</f>
        <v>0</v>
      </c>
      <c r="DY64" s="12">
        <f t="shared" ref="DY64:DY69" si="361">DY$22 * IF(AND(DX$5=1,DU$20=1), EH64, EF64)</f>
        <v>0</v>
      </c>
      <c r="DZ64" s="12">
        <f t="shared" ref="DZ64:DZ69" si="362">DZ$22 * IF(AND(DY$5=1,DU$20=1), EH64, EF64)</f>
        <v>0</v>
      </c>
      <c r="EA64" s="12">
        <f t="shared" ref="EA64:EA69" si="363">EA$22 * IF(AND(DZ$5=1,DU$20=1), EH64, EF64)</f>
        <v>0</v>
      </c>
      <c r="EB64" s="12">
        <f t="shared" ref="EB64:EB69" si="364">EB$22 * IF(AND(EA$5=1,DU$20=1), EH64, EF64)</f>
        <v>0</v>
      </c>
      <c r="EC64" s="12">
        <f t="shared" ref="EC64:EC69" si="365">EC$22 * IF(AND(EB$5=1,DU$20=1), EH64, EF64)</f>
        <v>0</v>
      </c>
      <c r="EE64" s="30" t="s">
        <v>1309</v>
      </c>
      <c r="EF64">
        <f>_xlfn.XLOOKUP(EE64,'KPI Impacts'!$B$2:$H$2,'KPI Impacts'!$B64:$H64)</f>
        <v>2</v>
      </c>
      <c r="EG64" s="35" t="s">
        <v>1303</v>
      </c>
      <c r="EH64">
        <f>_xlfn.XLOOKUP(EG64,'KPI Impacts'!$B$2:$H$2,'KPI Impacts'!$B64:$H64)</f>
        <v>0</v>
      </c>
      <c r="EK64" s="12">
        <f t="shared" ref="EK64:EK69" si="366">EK$22*EV64</f>
        <v>0</v>
      </c>
      <c r="EL64" s="12">
        <f t="shared" ref="EL64:EL69" si="367">EL$22 * IF(AND(EK$5=1,EK$20=1), EX64, EV64)</f>
        <v>0</v>
      </c>
      <c r="EM64" s="12">
        <f t="shared" ref="EM64:EM69" si="368">EM$22 * IF(AND(EL$5=1,EK$20=1), EX64, EV64)</f>
        <v>0</v>
      </c>
      <c r="EN64" s="12">
        <f t="shared" ref="EN64:EN69" si="369">EN$22 * IF(AND(EM$5=1,EK$20=1), EX64, EV64)</f>
        <v>0</v>
      </c>
      <c r="EO64" s="12">
        <f t="shared" ref="EO64:EO69" si="370">EO$22 * IF(AND(EN$5=1,EK$20=1), EX64, EV64)</f>
        <v>0</v>
      </c>
      <c r="EP64" s="12">
        <f t="shared" ref="EP64:EP69" si="371">EP$22 * IF(AND(EO$5=1,EK$20=1), EX64, EV64)</f>
        <v>0</v>
      </c>
      <c r="EQ64" s="12">
        <f t="shared" ref="EQ64:EQ69" si="372">EQ$22 * IF(AND(EP$5=1,EK$20=1), EX64, EV64)</f>
        <v>0</v>
      </c>
      <c r="ER64" s="12">
        <f t="shared" ref="ER64:ER69" si="373">ER$22 * IF(AND(EQ$5=1,EK$20=1), EX64, EV64)</f>
        <v>0</v>
      </c>
      <c r="ES64" s="12">
        <f t="shared" ref="ES64:ES69" si="374">ES$22 * IF(AND(ER$5=1,EK$20=1), EX64, EV64)</f>
        <v>0</v>
      </c>
      <c r="EU64" s="16" t="s">
        <v>1303</v>
      </c>
      <c r="EV64">
        <f>_xlfn.XLOOKUP(EU64,'KPI Impacts'!$B$2:$H$2,'KPI Impacts'!$B64:$H64)</f>
        <v>0</v>
      </c>
      <c r="EW64" s="35" t="s">
        <v>1303</v>
      </c>
      <c r="EX64">
        <f>_xlfn.XLOOKUP(EW64,'KPI Impacts'!$B$2:$H$2,'KPI Impacts'!$B64:$H64)</f>
        <v>0</v>
      </c>
      <c r="FA64" s="12">
        <f t="shared" ref="FA64:FA69" si="375">FA$22*FL64</f>
        <v>0</v>
      </c>
      <c r="FB64" s="12">
        <f t="shared" ref="FB64:FB69" si="376">FB$22 * IF(AND(FA$5=1,FA$20=1), FN64, FL64)</f>
        <v>0</v>
      </c>
      <c r="FC64" s="12">
        <f t="shared" ref="FC64:FC69" si="377">FC$22 * IF(AND(FB$5=1,FA$20=1), FN64, FL64)</f>
        <v>0</v>
      </c>
      <c r="FD64" s="12">
        <f t="shared" ref="FD64:FD69" si="378">FD$22 * IF(AND(FC$5=1,FA$20=1), FN64, FL64)</f>
        <v>0</v>
      </c>
      <c r="FE64" s="12">
        <f t="shared" ref="FE64:FE69" si="379">FE$22 * IF(AND(FD$5=1,FA$20=1), FN64, FL64)</f>
        <v>0</v>
      </c>
      <c r="FF64" s="12">
        <f t="shared" ref="FF64:FF69" si="380">FF$22 * IF(AND(FE$5=1,FA$20=1), FN64, FL64)</f>
        <v>0</v>
      </c>
      <c r="FG64" s="12">
        <f t="shared" ref="FG64:FG69" si="381">FG$22 * IF(AND(FF$5=1,FA$20=1), FN64, FL64)</f>
        <v>0</v>
      </c>
      <c r="FH64" s="12">
        <f t="shared" ref="FH64:FH69" si="382">FH$22 * IF(AND(FG$5=1,FA$20=1), FN64, FL64)</f>
        <v>0</v>
      </c>
      <c r="FI64" s="12">
        <f t="shared" ref="FI64:FI69" si="383">FI$22 * IF(AND(FH$5=1,FA$20=1), FN64, FL64)</f>
        <v>0</v>
      </c>
      <c r="FK64" s="16" t="s">
        <v>1303</v>
      </c>
      <c r="FL64">
        <f>_xlfn.XLOOKUP(FK64,'KPI Impacts'!$B$2:$H$2,'KPI Impacts'!$B64:$H64)</f>
        <v>0</v>
      </c>
      <c r="FM64" s="35" t="s">
        <v>1303</v>
      </c>
      <c r="FN64">
        <f>_xlfn.XLOOKUP(FM64,'KPI Impacts'!$B$2:$H$2,'KPI Impacts'!$B64:$H64)</f>
        <v>0</v>
      </c>
      <c r="FQ64" s="12">
        <f t="shared" ref="FQ64:FQ69" si="384">FQ$22*GB64</f>
        <v>0</v>
      </c>
      <c r="FR64" s="12">
        <f t="shared" ref="FR64:FR69" si="385">FR$22 * IF(AND(FQ$5=1,FQ$20=1), GD64, GB64)</f>
        <v>0</v>
      </c>
      <c r="FS64" s="12">
        <f t="shared" ref="FS64:FS69" si="386">FS$22 * IF(AND(FR$5=1,FQ$20=1), GD64, GB64)</f>
        <v>0</v>
      </c>
      <c r="FT64" s="12">
        <f t="shared" ref="FT64:FT69" si="387">FT$22 * IF(AND(FS$5=1,FQ$20=1), GD64, GB64)</f>
        <v>0</v>
      </c>
      <c r="FU64" s="12">
        <f t="shared" ref="FU64:FU69" si="388">FU$22 * IF(AND(FT$5=1,FQ$20=1), GD64, GB64)</f>
        <v>0</v>
      </c>
      <c r="FV64" s="12">
        <f t="shared" ref="FV64:FV69" si="389">FV$22 * IF(AND(FU$5=1,FQ$20=1), GD64, GB64)</f>
        <v>0</v>
      </c>
      <c r="FW64" s="12">
        <f t="shared" ref="FW64:FW69" si="390">FW$22 * IF(AND(FV$5=1,FQ$20=1), GD64, GB64)</f>
        <v>0</v>
      </c>
      <c r="FX64" s="12">
        <f t="shared" ref="FX64:FX69" si="391">FX$22 * IF(AND(FW$5=1,FQ$20=1), GD64, GB64)</f>
        <v>0</v>
      </c>
      <c r="FY64" s="12">
        <f t="shared" ref="FY64:FY69" si="392">FY$22 * IF(AND(FX$5=1,FQ$20=1), GD64, GB64)</f>
        <v>0</v>
      </c>
      <c r="GA64" s="30" t="s">
        <v>1307</v>
      </c>
      <c r="GB64">
        <f>_xlfn.XLOOKUP(GA64,'KPI Impacts'!$B$2:$H$2,'KPI Impacts'!$B64:$H64)</f>
        <v>1</v>
      </c>
      <c r="GC64" s="35" t="s">
        <v>1303</v>
      </c>
      <c r="GD64">
        <f>_xlfn.XLOOKUP(GC64,'KPI Impacts'!$B$2:$H$2,'KPI Impacts'!$B64:$H64)</f>
        <v>0</v>
      </c>
      <c r="GG64" s="12">
        <f t="shared" ref="GG64:GG69" si="393">GG$22*GR64</f>
        <v>0</v>
      </c>
      <c r="GH64" s="12">
        <f t="shared" ref="GH64:GH69" si="394">GH$22 * IF(AND(GG$5=1,GG$20=1), GT64, GR64)</f>
        <v>0</v>
      </c>
      <c r="GI64" s="12">
        <f t="shared" ref="GI64:GI69" si="395">GI$22 * IF(AND(GH$5=1,GG$20=1), GT64, GR64)</f>
        <v>0</v>
      </c>
      <c r="GJ64" s="12">
        <f t="shared" ref="GJ64:GJ69" si="396">GJ$22 * IF(AND(GI$5=1,GG$20=1), GT64, GR64)</f>
        <v>0</v>
      </c>
      <c r="GK64" s="12">
        <f t="shared" ref="GK64:GK69" si="397">GK$22 * IF(AND(GJ$5=1,GG$20=1), GT64, GR64)</f>
        <v>0</v>
      </c>
      <c r="GL64" s="12">
        <f t="shared" ref="GL64:GL69" si="398">GL$22 * IF(AND(GK$5=1,GG$20=1), GT64, GR64)</f>
        <v>0</v>
      </c>
      <c r="GM64" s="12">
        <f t="shared" ref="GM64:GM69" si="399">GM$22 * IF(AND(GL$5=1,GG$20=1), GT64, GR64)</f>
        <v>0</v>
      </c>
      <c r="GN64" s="12">
        <f t="shared" ref="GN64:GN69" si="400">GN$22 * IF(AND(GM$5=1,GG$20=1), GT64, GR64)</f>
        <v>0</v>
      </c>
      <c r="GO64" s="12">
        <f t="shared" ref="GO64:GO69" si="401">GO$22 * IF(AND(GN$5=1,GG$20=1), GT64, GR64)</f>
        <v>0</v>
      </c>
      <c r="GQ64" s="16" t="s">
        <v>1303</v>
      </c>
      <c r="GR64">
        <f>_xlfn.XLOOKUP(GQ64,'KPI Impacts'!$B$2:$H$2,'KPI Impacts'!$B64:$H64)</f>
        <v>0</v>
      </c>
      <c r="GS64" s="35" t="s">
        <v>1303</v>
      </c>
      <c r="GT64">
        <f>_xlfn.XLOOKUP(GS64,'KPI Impacts'!$B$2:$H$2,'KPI Impacts'!$B64:$H64)</f>
        <v>0</v>
      </c>
      <c r="GW64" s="12">
        <f t="shared" ref="GW64:GW69" si="402">GW$22*HH64</f>
        <v>0</v>
      </c>
      <c r="GX64" s="12">
        <f t="shared" ref="GX64:GX69" si="403">GX$22 * IF(AND(GW$5=1,GW$20=1), HJ64, HH64)</f>
        <v>0</v>
      </c>
      <c r="GY64" s="12">
        <f t="shared" ref="GY64:GY69" si="404">GY$22 * IF(AND(GX$5=1,GW$20=1), HJ64, HH64)</f>
        <v>0</v>
      </c>
      <c r="GZ64" s="12">
        <f t="shared" ref="GZ64:GZ69" si="405">GZ$22 * IF(AND(GY$5=1,GW$20=1), HJ64, HH64)</f>
        <v>0</v>
      </c>
      <c r="HA64" s="12">
        <f t="shared" ref="HA64:HA69" si="406">HA$22 * IF(AND(GZ$5=1,GW$20=1), HJ64, HH64)</f>
        <v>0</v>
      </c>
      <c r="HB64" s="12">
        <f t="shared" ref="HB64:HB69" si="407">HB$22 * IF(AND(HA$5=1,GW$20=1), HJ64, HH64)</f>
        <v>0</v>
      </c>
      <c r="HC64" s="12">
        <f t="shared" ref="HC64:HC69" si="408">HC$22 * IF(AND(HB$5=1,GW$20=1), HJ64, HH64)</f>
        <v>0</v>
      </c>
      <c r="HD64" s="12">
        <f t="shared" ref="HD64:HD69" si="409">HD$22 * IF(AND(HC$5=1,GW$20=1), HJ64, HH64)</f>
        <v>0</v>
      </c>
      <c r="HE64" s="12">
        <f t="shared" ref="HE64:HE69" si="410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35" t="s">
        <v>1303</v>
      </c>
      <c r="HJ64">
        <f>_xlfn.XLOOKUP(HI64,'KPI Impacts'!$B$2:$H$2,'KPI Impacts'!$B64:$H64)</f>
        <v>0</v>
      </c>
      <c r="HM64" s="12">
        <f t="shared" ref="HM64:HM69" si="411">HM$22*HX64</f>
        <v>0</v>
      </c>
      <c r="HN64" s="12">
        <f t="shared" ref="HN64:HN69" si="412">HN$22 * IF(AND(HM$5=1,HM$20=1), HZ64, HX64)</f>
        <v>0</v>
      </c>
      <c r="HO64" s="12">
        <f t="shared" ref="HO64:HO69" si="413">HO$22 * IF(AND(HN$5=1,HM$20=1), HZ64, HX64)</f>
        <v>0</v>
      </c>
      <c r="HP64" s="12">
        <f t="shared" ref="HP64:HP69" si="414">HP$22 * IF(AND(HO$5=1,HM$20=1), HZ64, HX64)</f>
        <v>0</v>
      </c>
      <c r="HQ64" s="12">
        <f t="shared" ref="HQ64:HQ69" si="415">HQ$22 * IF(AND(HP$5=1,HM$20=1), HZ64, HX64)</f>
        <v>0</v>
      </c>
      <c r="HR64" s="12">
        <f t="shared" ref="HR64:HR69" si="416">HR$22 * IF(AND(HQ$5=1,HM$20=1), HZ64, HX64)</f>
        <v>0</v>
      </c>
      <c r="HS64" s="12">
        <f t="shared" ref="HS64:HS69" si="417">HS$22 * IF(AND(HR$5=1,HM$20=1), HZ64, HX64)</f>
        <v>0</v>
      </c>
      <c r="HT64" s="12">
        <f t="shared" ref="HT64:HT69" si="418">HT$22 * IF(AND(HS$5=1,HM$20=1), HZ64, HX64)</f>
        <v>0</v>
      </c>
      <c r="HU64" s="12">
        <f t="shared" ref="HU64:HU69" si="419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420">IC$22*IN64</f>
        <v>0</v>
      </c>
      <c r="ID64" s="12">
        <f t="shared" ref="ID64:ID69" si="421">ID$22 * IF(AND(IC$5=1,IC$20=1), IP64, IN64)</f>
        <v>0</v>
      </c>
      <c r="IE64" s="12">
        <f t="shared" ref="IE64:IE69" si="422">IE$22 * IF(AND(ID$5=1,IC$20=1), IP64, IN64)</f>
        <v>0</v>
      </c>
      <c r="IF64" s="12">
        <f t="shared" ref="IF64:IF69" si="423">IF$22 * IF(AND(IE$5=1,IC$20=1), IP64, IN64)</f>
        <v>0</v>
      </c>
      <c r="IG64" s="12">
        <f t="shared" ref="IG64:IG69" si="424">IG$22 * IF(AND(IF$5=1,IC$20=1), IP64, IN64)</f>
        <v>0</v>
      </c>
      <c r="IH64" s="12">
        <f t="shared" ref="IH64:IH69" si="425">IH$22 * IF(AND(IG$5=1,IC$20=1), IP64, IN64)</f>
        <v>0</v>
      </c>
      <c r="II64" s="12">
        <f t="shared" ref="II64:II69" si="426">II$22 * IF(AND(IH$5=1,IC$20=1), IP64, IN64)</f>
        <v>0</v>
      </c>
      <c r="IJ64" s="12">
        <f t="shared" ref="IJ64:IJ69" si="427">IJ$22 * IF(AND(II$5=1,IC$20=1), IP64, IN64)</f>
        <v>0</v>
      </c>
      <c r="IK64" s="12">
        <f t="shared" ref="IK64:IK69" si="428">IK$22 * IF(AND(IJ$5=1,IC$20=1), IP64, IN64)</f>
        <v>0</v>
      </c>
      <c r="IM64" s="30" t="s">
        <v>1307</v>
      </c>
      <c r="IN64">
        <f>_xlfn.XLOOKUP(IM64,'KPI Impacts'!$B$2:$H$2,'KPI Impacts'!$B64:$H64)</f>
        <v>1</v>
      </c>
      <c r="IO64" s="9" t="s">
        <v>1303</v>
      </c>
      <c r="IP64">
        <f>_xlfn.XLOOKUP(IO64,'KPI Impacts'!$B$2:$H$2,'KPI Impacts'!$B64:$H64)</f>
        <v>0</v>
      </c>
      <c r="IS64" s="12">
        <f t="shared" ref="IS64:IS69" si="429">IS$22*JD64</f>
        <v>0</v>
      </c>
      <c r="IT64" s="12">
        <f t="shared" ref="IT64:IT69" si="430">IT$22 * IF(AND(IS$5=1,IS$20=1), JF64, JD64)</f>
        <v>0</v>
      </c>
      <c r="IU64" s="12">
        <f t="shared" ref="IU64:IU69" si="431">IU$22 * IF(AND(IT$5=1,IS$20=1), JF64, JD64)</f>
        <v>0</v>
      </c>
      <c r="IV64" s="12">
        <f t="shared" ref="IV64:IV69" si="432">IV$22 * IF(AND(IU$5=1,IS$20=1), JF64, JD64)</f>
        <v>0</v>
      </c>
      <c r="IW64" s="12">
        <f t="shared" ref="IW64:IW69" si="433">IW$22 * IF(AND(IV$5=1,IS$20=1), JF64, JD64)</f>
        <v>0</v>
      </c>
      <c r="IX64" s="12">
        <f t="shared" ref="IX64:IX69" si="434">IX$22 * IF(AND(IW$5=1,IS$20=1), JF64, JD64)</f>
        <v>0</v>
      </c>
      <c r="IY64" s="12">
        <f t="shared" ref="IY64:IY69" si="435">IY$22 * IF(AND(IX$5=1,IS$20=1), JF64, JD64)</f>
        <v>0</v>
      </c>
      <c r="IZ64" s="12">
        <f t="shared" ref="IZ64:IZ69" si="436">IZ$22 * IF(AND(IY$5=1,IS$20=1), JF64, JD64)</f>
        <v>0</v>
      </c>
      <c r="JA64" s="12">
        <f t="shared" ref="JA64:JA69" si="437">JA$22 * IF(AND(IZ$5=1,IS$20=1), JF64, JD64)</f>
        <v>0</v>
      </c>
      <c r="JC64" s="16" t="s">
        <v>1303</v>
      </c>
      <c r="JD64">
        <f>_xlfn.XLOOKUP(JC64,'KPI Impacts'!$B$2:$H$2,'KPI Impacts'!$B64:$H64)</f>
        <v>0</v>
      </c>
      <c r="JE64" s="9" t="s">
        <v>1303</v>
      </c>
      <c r="JF64">
        <f>_xlfn.XLOOKUP(JE64,'KPI Impacts'!$B$2:$H$2,'KPI Impacts'!$B64:$H64)</f>
        <v>0</v>
      </c>
      <c r="JI64" s="12">
        <f t="shared" ref="JI64:JI69" si="438">JI$22*JT64</f>
        <v>0</v>
      </c>
      <c r="JJ64" s="12">
        <f t="shared" ref="JJ64:JJ69" si="439">JJ$22 * IF(AND(JI$5=1,JI$20=1), JV64, JT64)</f>
        <v>0</v>
      </c>
      <c r="JK64" s="12">
        <f t="shared" ref="JK64:JK69" si="440">JK$22 * IF(AND(JJ$5=1,JI$20=1), JV64, JT64)</f>
        <v>0</v>
      </c>
      <c r="JL64" s="12">
        <f t="shared" ref="JL64:JL69" si="441">JL$22 * IF(AND(JK$5=1,JI$20=1), JV64, JT64)</f>
        <v>0</v>
      </c>
      <c r="JM64" s="12">
        <f t="shared" ref="JM64:JM69" si="442">JM$22 * IF(AND(JL$5=1,JI$20=1), JV64, JT64)</f>
        <v>0</v>
      </c>
      <c r="JN64" s="12">
        <f t="shared" ref="JN64:JN69" si="443">JN$22 * IF(AND(JM$5=1,JI$20=1), JV64, JT64)</f>
        <v>0</v>
      </c>
      <c r="JO64" s="12">
        <f t="shared" ref="JO64:JO69" si="444">JO$22 * IF(AND(JN$5=1,JI$20=1), JV64, JT64)</f>
        <v>0</v>
      </c>
      <c r="JP64" s="12">
        <f t="shared" ref="JP64:JP69" si="445">JP$22 * IF(AND(JO$5=1,JI$20=1), JV64, JT64)</f>
        <v>0</v>
      </c>
      <c r="JQ64" s="12">
        <f t="shared" ref="JQ64:JQ69" si="446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47">JY$22*KJ64</f>
        <v>0</v>
      </c>
      <c r="JZ64" s="12">
        <f t="shared" ref="JZ64:JZ69" si="448">JZ$22 * IF(AND(JY$5=1,JY$20=1), KL64, KJ64)</f>
        <v>0</v>
      </c>
      <c r="KA64" s="12">
        <f t="shared" ref="KA64:KA69" si="449">KA$22 * IF(AND(JZ$5=1,JY$20=1), KL64, KJ64)</f>
        <v>0</v>
      </c>
      <c r="KB64" s="12">
        <f t="shared" ref="KB64:KB69" si="450">KB$22 * IF(AND(KA$5=1,JY$20=1), KL64, KJ64)</f>
        <v>0</v>
      </c>
      <c r="KC64" s="12">
        <f t="shared" ref="KC64:KC69" si="451">KC$22 * IF(AND(KB$5=1,JY$20=1), KL64, KJ64)</f>
        <v>0</v>
      </c>
      <c r="KD64" s="12">
        <f t="shared" ref="KD64:KD69" si="452">KD$22 * IF(AND(KC$5=1,JY$20=1), KL64, KJ64)</f>
        <v>0</v>
      </c>
      <c r="KE64" s="12">
        <f t="shared" ref="KE64:KE69" si="453">KE$22 * IF(AND(KD$5=1,JY$20=1), KL64, KJ64)</f>
        <v>0</v>
      </c>
      <c r="KF64" s="12">
        <f t="shared" ref="KF64:KF69" si="454">KF$22 * IF(AND(KE$5=1,JY$20=1), KL64, KJ64)</f>
        <v>0</v>
      </c>
      <c r="KG64" s="12">
        <f t="shared" ref="KG64:KG69" si="455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56">KO$22*KZ64</f>
        <v>0</v>
      </c>
      <c r="KP64" s="12">
        <f t="shared" ref="KP64:KP69" si="457">KP$22 * IF(AND(KO$5=1,KO$20=1), LB64, KZ64)</f>
        <v>0</v>
      </c>
      <c r="KQ64" s="12">
        <f t="shared" ref="KQ64:KQ69" si="458">KQ$22 * IF(AND(KP$5=1,KO$20=1), LB64, KZ64)</f>
        <v>0</v>
      </c>
      <c r="KR64" s="12">
        <f t="shared" ref="KR64:KR69" si="459">KR$22 * IF(AND(KQ$5=1,KO$20=1), LB64, KZ64)</f>
        <v>0</v>
      </c>
      <c r="KS64" s="12">
        <f t="shared" ref="KS64:KS69" si="460">KS$22 * IF(AND(KR$5=1,KO$20=1), LB64, KZ64)</f>
        <v>0</v>
      </c>
      <c r="KT64" s="12">
        <f t="shared" ref="KT64:KT69" si="461">KT$22 * IF(AND(KS$5=1,KO$20=1), LB64, KZ64)</f>
        <v>0</v>
      </c>
      <c r="KU64" s="12">
        <f t="shared" ref="KU64:KU69" si="462">KU$22 * IF(AND(KT$5=1,KO$20=1), LB64, KZ64)</f>
        <v>0</v>
      </c>
      <c r="KV64" s="12">
        <f t="shared" ref="KV64:KV69" si="463">KV$22 * IF(AND(KU$5=1,KO$20=1), LB64, KZ64)</f>
        <v>0</v>
      </c>
      <c r="KW64" s="12">
        <f t="shared" ref="KW64:KW69" si="464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65">LE$22*LP64</f>
        <v>0</v>
      </c>
      <c r="LF64" s="12">
        <f t="shared" ref="LF64:LF69" si="466">LF$22 * IF(AND(LE$5=1,LE$20=1), LR64, LP64)</f>
        <v>0</v>
      </c>
      <c r="LG64" s="12">
        <f t="shared" ref="LG64:LG69" si="467">LG$22 * IF(AND(LF$5=1,LE$20=1), LR64, LP64)</f>
        <v>0</v>
      </c>
      <c r="LH64" s="12">
        <f t="shared" ref="LH64:LH69" si="468">LH$22 * IF(AND(LG$5=1,LE$20=1), LR64, LP64)</f>
        <v>0</v>
      </c>
      <c r="LI64" s="12">
        <f t="shared" ref="LI64:LI69" si="469">LI$22 * IF(AND(LH$5=1,LE$20=1), LR64, LP64)</f>
        <v>0</v>
      </c>
      <c r="LJ64" s="12">
        <f t="shared" ref="LJ64:LJ69" si="470">LJ$22 * IF(AND(LI$5=1,LE$20=1), LR64, LP64)</f>
        <v>0</v>
      </c>
      <c r="LK64" s="12">
        <f t="shared" ref="LK64:LK69" si="471">LK$22 * IF(AND(LJ$5=1,LE$20=1), LR64, LP64)</f>
        <v>0</v>
      </c>
      <c r="LL64" s="12">
        <f t="shared" ref="LL64:LL69" si="472">LL$22 * IF(AND(LK$5=1,LE$20=1), LR64, LP64)</f>
        <v>0</v>
      </c>
      <c r="LM64" s="12">
        <f t="shared" ref="LM64:LM69" si="473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74">LU$22*MF64</f>
        <v>0</v>
      </c>
      <c r="LV64" s="12">
        <f t="shared" ref="LV64:LV69" si="475">LV$22 * IF(AND(LU$5=1,LU$20=1), MH64, MF64)</f>
        <v>0</v>
      </c>
      <c r="LW64" s="12">
        <f t="shared" ref="LW64:LW69" si="476">LW$22 * IF(AND(LV$5=1,LU$20=1), MH64, MF64)</f>
        <v>0</v>
      </c>
      <c r="LX64" s="12">
        <f t="shared" ref="LX64:LX69" si="477">LX$22 * IF(AND(LW$5=1,LU$20=1), MH64, MF64)</f>
        <v>0</v>
      </c>
      <c r="LY64" s="12">
        <f t="shared" ref="LY64:LY69" si="478">LY$22 * IF(AND(LX$5=1,LU$20=1), MH64, MF64)</f>
        <v>0</v>
      </c>
      <c r="LZ64" s="12">
        <f t="shared" ref="LZ64:LZ69" si="479">LZ$22 * IF(AND(LY$5=1,LU$20=1), MH64, MF64)</f>
        <v>0</v>
      </c>
      <c r="MA64" s="12">
        <f t="shared" ref="MA64:MA69" si="480">MA$22 * IF(AND(LZ$5=1,LU$20=1), MH64, MF64)</f>
        <v>0</v>
      </c>
      <c r="MB64" s="12">
        <f t="shared" ref="MB64:MB69" si="481">MB$22 * IF(AND(MA$5=1,LU$20=1), MH64, MF64)</f>
        <v>0</v>
      </c>
      <c r="MC64" s="12">
        <f t="shared" ref="MC64:MC69" si="482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83">MK$22*MV64</f>
        <v>0</v>
      </c>
      <c r="ML64" s="12">
        <f t="shared" ref="ML64:ML69" si="484">ML$22 * IF(AND(MK$5=1,MK$20=1), MX64, MV64)</f>
        <v>0</v>
      </c>
      <c r="MM64" s="12">
        <f t="shared" ref="MM64:MM69" si="485">MM$22 * IF(AND(ML$5=1,MK$20=1), MX64, MV64)</f>
        <v>0</v>
      </c>
      <c r="MN64" s="12">
        <f t="shared" ref="MN64:MN69" si="486">MN$22 * IF(AND(MM$5=1,MK$20=1), MX64, MV64)</f>
        <v>0</v>
      </c>
      <c r="MO64" s="12">
        <f t="shared" ref="MO64:MO69" si="487">MO$22 * IF(AND(MN$5=1,MK$20=1), MX64, MV64)</f>
        <v>0</v>
      </c>
      <c r="MP64" s="12">
        <f t="shared" ref="MP64:MP69" si="488">MP$22 * IF(AND(MO$5=1,MK$20=1), MX64, MV64)</f>
        <v>0</v>
      </c>
      <c r="MQ64" s="12">
        <f t="shared" ref="MQ64:MQ69" si="489">MQ$22 * IF(AND(MP$5=1,MK$20=1), MX64, MV64)</f>
        <v>0</v>
      </c>
      <c r="MR64" s="12">
        <f t="shared" ref="MR64:MR69" si="490">MR$22 * IF(AND(MQ$5=1,MK$20=1), MX64, MV64)</f>
        <v>0</v>
      </c>
      <c r="MS64" s="12">
        <f t="shared" ref="MS64:MS69" si="491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2">NA$22*NL64</f>
        <v>0</v>
      </c>
      <c r="NB64" s="12">
        <f t="shared" ref="NB64:NB69" si="493">NB$22 * IF(AND(NA$5=1,NA$20=1), NN64, NL64)</f>
        <v>0</v>
      </c>
      <c r="NC64" s="12">
        <f t="shared" ref="NC64:NC69" si="494">NC$22 * IF(AND(NB$5=1,NA$20=1), NN64, NL64)</f>
        <v>0</v>
      </c>
      <c r="ND64" s="12">
        <f t="shared" ref="ND64:ND69" si="495">ND$22 * IF(AND(NC$5=1,NA$20=1), NN64, NL64)</f>
        <v>0</v>
      </c>
      <c r="NE64" s="12">
        <f t="shared" ref="NE64:NE69" si="496">NE$22 * IF(AND(ND$5=1,NA$20=1), NN64, NL64)</f>
        <v>0</v>
      </c>
      <c r="NF64" s="12">
        <f t="shared" ref="NF64:NF69" si="497">NF$22 * IF(AND(NE$5=1,NA$20=1), NN64, NL64)</f>
        <v>0</v>
      </c>
      <c r="NG64" s="12">
        <f t="shared" ref="NG64:NG69" si="498">NG$22 * IF(AND(NF$5=1,NA$20=1), NN64, NL64)</f>
        <v>0</v>
      </c>
      <c r="NH64" s="12">
        <f t="shared" ref="NH64:NH69" si="499">NH$22 * IF(AND(NG$5=1,NA$20=1), NN64, NL64)</f>
        <v>0</v>
      </c>
      <c r="NI64" s="12">
        <f t="shared" ref="NI64:NI69" si="500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1">NQ$22*OB64</f>
        <v>0</v>
      </c>
      <c r="NR64" s="12">
        <f t="shared" ref="NR64:NR69" si="502">NR$22 * IF(AND(NQ$5=1,NQ$20=1), OD64, OB64)</f>
        <v>0</v>
      </c>
      <c r="NS64" s="12">
        <f t="shared" ref="NS64:NS69" si="503">NS$22 * IF(AND(NR$5=1,NQ$20=1), OD64, OB64)</f>
        <v>0</v>
      </c>
      <c r="NT64" s="12">
        <f t="shared" ref="NT64:NT69" si="504">NT$22 * IF(AND(NS$5=1,NQ$20=1), OD64, OB64)</f>
        <v>0</v>
      </c>
      <c r="NU64" s="12">
        <f t="shared" ref="NU64:NU69" si="505">NU$22 * IF(AND(NT$5=1,NQ$20=1), OD64, OB64)</f>
        <v>0</v>
      </c>
      <c r="NV64" s="12">
        <f t="shared" ref="NV64:NV69" si="506">NV$22 * IF(AND(NU$5=1,NQ$20=1), OD64, OB64)</f>
        <v>0</v>
      </c>
      <c r="NW64" s="12">
        <f t="shared" ref="NW64:NW69" si="507">NW$22 * IF(AND(NV$5=1,NQ$20=1), OD64, OB64)</f>
        <v>0</v>
      </c>
      <c r="NX64" s="12">
        <f t="shared" ref="NX64:NX69" si="508">NX$22 * IF(AND(NW$5=1,NQ$20=1), OD64, OB64)</f>
        <v>0</v>
      </c>
      <c r="NY64" s="12">
        <f t="shared" ref="NY64:NY69" si="509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0">OG$22*OR64</f>
        <v>0</v>
      </c>
      <c r="OH64" s="12">
        <f t="shared" ref="OH64:OH69" si="511">OH$22 * IF(AND(OG$5=1,OG$20=1), OT64, OR64)</f>
        <v>0</v>
      </c>
      <c r="OI64" s="12">
        <f t="shared" ref="OI64:OI69" si="512">OI$22 * IF(AND(OH$5=1,OG$20=1), OT64, OR64)</f>
        <v>0</v>
      </c>
      <c r="OJ64" s="12">
        <f t="shared" ref="OJ64:OJ69" si="513">OJ$22 * IF(AND(OI$5=1,OG$20=1), OT64, OR64)</f>
        <v>0</v>
      </c>
      <c r="OK64" s="12">
        <f t="shared" ref="OK64:OK69" si="514">OK$22 * IF(AND(OJ$5=1,OG$20=1), OT64, OR64)</f>
        <v>0</v>
      </c>
      <c r="OL64" s="12">
        <f t="shared" ref="OL64:OL69" si="515">OL$22 * IF(AND(OK$5=1,OG$20=1), OT64, OR64)</f>
        <v>0</v>
      </c>
      <c r="OM64" s="12">
        <f t="shared" ref="OM64:OM69" si="516">OM$22 * IF(AND(OL$5=1,OG$20=1), OT64, OR64)</f>
        <v>0</v>
      </c>
      <c r="ON64" s="12">
        <f t="shared" ref="ON64:ON69" si="517">ON$22 * IF(AND(OM$5=1,OG$20=1), OT64, OR64)</f>
        <v>0</v>
      </c>
      <c r="OO64" s="12">
        <f t="shared" ref="OO64:OO69" si="518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2"/>
        <v>0</v>
      </c>
      <c r="C65" s="12">
        <f t="shared" si="312"/>
        <v>0</v>
      </c>
      <c r="D65" s="12">
        <f t="shared" si="312"/>
        <v>0</v>
      </c>
      <c r="E65" s="12">
        <f t="shared" si="312"/>
        <v>0</v>
      </c>
      <c r="F65" s="12">
        <f t="shared" si="312"/>
        <v>0</v>
      </c>
      <c r="G65" s="12">
        <f t="shared" si="312"/>
        <v>0</v>
      </c>
      <c r="H65" s="12">
        <f t="shared" si="312"/>
        <v>0</v>
      </c>
      <c r="I65" s="12">
        <f t="shared" si="313"/>
        <v>0</v>
      </c>
      <c r="J65" s="12">
        <f t="shared" si="313"/>
        <v>0</v>
      </c>
      <c r="M65">
        <f t="shared" si="314"/>
        <v>0</v>
      </c>
      <c r="N65">
        <f t="shared" si="315"/>
        <v>0</v>
      </c>
      <c r="O65">
        <f t="shared" si="316"/>
        <v>0</v>
      </c>
      <c r="P65">
        <f t="shared" si="317"/>
        <v>0</v>
      </c>
      <c r="Q65">
        <f t="shared" si="318"/>
        <v>0</v>
      </c>
      <c r="R65">
        <f t="shared" si="319"/>
        <v>0</v>
      </c>
      <c r="S65">
        <f t="shared" si="320"/>
        <v>0</v>
      </c>
      <c r="U65" t="s">
        <v>1307</v>
      </c>
      <c r="V65">
        <f>_xlfn.XLOOKUP(U65,'KPI Impacts'!$B$2:$H$2,'KPI Impacts'!$B65:$H65)</f>
        <v>1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1"/>
        <v>0</v>
      </c>
      <c r="BJ65" s="12">
        <f t="shared" si="322"/>
        <v>0</v>
      </c>
      <c r="BK65" s="12">
        <f t="shared" si="323"/>
        <v>0</v>
      </c>
      <c r="BL65" s="12">
        <f t="shared" si="324"/>
        <v>0</v>
      </c>
      <c r="BM65" s="12">
        <f t="shared" si="325"/>
        <v>0</v>
      </c>
      <c r="BN65" s="12">
        <f t="shared" si="326"/>
        <v>0</v>
      </c>
      <c r="BO65" s="12">
        <f t="shared" si="327"/>
        <v>0</v>
      </c>
      <c r="BP65" s="12">
        <f t="shared" si="328"/>
        <v>0</v>
      </c>
      <c r="BQ65" s="12">
        <f t="shared" si="329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330"/>
        <v>0</v>
      </c>
      <c r="BZ65" s="12">
        <f t="shared" si="331"/>
        <v>0</v>
      </c>
      <c r="CA65" s="12">
        <f t="shared" si="332"/>
        <v>0</v>
      </c>
      <c r="CB65" s="12">
        <f t="shared" si="333"/>
        <v>0</v>
      </c>
      <c r="CC65" s="12">
        <f t="shared" si="334"/>
        <v>0</v>
      </c>
      <c r="CD65" s="12">
        <f t="shared" si="335"/>
        <v>0</v>
      </c>
      <c r="CE65" s="12">
        <f t="shared" si="336"/>
        <v>0</v>
      </c>
      <c r="CF65" s="12">
        <f t="shared" si="337"/>
        <v>0</v>
      </c>
      <c r="CG65" s="12">
        <f t="shared" si="338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339"/>
        <v>0</v>
      </c>
      <c r="CP65" s="12">
        <f t="shared" si="340"/>
        <v>0</v>
      </c>
      <c r="CQ65" s="12">
        <f t="shared" si="341"/>
        <v>0</v>
      </c>
      <c r="CR65" s="12">
        <f t="shared" si="342"/>
        <v>0</v>
      </c>
      <c r="CS65" s="12">
        <f t="shared" si="343"/>
        <v>0</v>
      </c>
      <c r="CT65" s="12">
        <f t="shared" si="344"/>
        <v>0</v>
      </c>
      <c r="CU65" s="12">
        <f t="shared" si="345"/>
        <v>0</v>
      </c>
      <c r="CV65" s="12">
        <f t="shared" si="346"/>
        <v>0</v>
      </c>
      <c r="CW65" s="12">
        <f t="shared" si="347"/>
        <v>0</v>
      </c>
      <c r="CY65" s="16" t="s">
        <v>1303</v>
      </c>
      <c r="CZ65">
        <f>_xlfn.XLOOKUP(CY65,'KPI Impacts'!$B$2:$H$2,'KPI Impacts'!$B65:$H65)</f>
        <v>0</v>
      </c>
      <c r="DA65" s="16" t="s">
        <v>1303</v>
      </c>
      <c r="DB65">
        <f>_xlfn.XLOOKUP(DA65,'KPI Impacts'!$B$2:$H$2,'KPI Impacts'!$B65:$H65)</f>
        <v>0</v>
      </c>
      <c r="DE65" s="12">
        <f t="shared" si="348"/>
        <v>0</v>
      </c>
      <c r="DF65" s="12">
        <f t="shared" si="349"/>
        <v>0</v>
      </c>
      <c r="DG65" s="12">
        <f t="shared" si="350"/>
        <v>0</v>
      </c>
      <c r="DH65" s="12">
        <f t="shared" si="351"/>
        <v>0</v>
      </c>
      <c r="DI65" s="12">
        <f t="shared" si="352"/>
        <v>0</v>
      </c>
      <c r="DJ65" s="12">
        <f t="shared" si="353"/>
        <v>0</v>
      </c>
      <c r="DK65" s="12">
        <f t="shared" si="354"/>
        <v>0</v>
      </c>
      <c r="DL65" s="12">
        <f t="shared" si="355"/>
        <v>0</v>
      </c>
      <c r="DM65" s="12">
        <f t="shared" si="356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357"/>
        <v>0</v>
      </c>
      <c r="DV65" s="12">
        <f t="shared" si="358"/>
        <v>0</v>
      </c>
      <c r="DW65" s="12">
        <f t="shared" si="359"/>
        <v>0</v>
      </c>
      <c r="DX65" s="12">
        <f t="shared" si="360"/>
        <v>0</v>
      </c>
      <c r="DY65" s="12">
        <f t="shared" si="361"/>
        <v>0</v>
      </c>
      <c r="DZ65" s="12">
        <f t="shared" si="362"/>
        <v>0</v>
      </c>
      <c r="EA65" s="12">
        <f t="shared" si="363"/>
        <v>0</v>
      </c>
      <c r="EB65" s="12">
        <f t="shared" si="364"/>
        <v>0</v>
      </c>
      <c r="EC65" s="12">
        <f t="shared" si="365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66"/>
        <v>0</v>
      </c>
      <c r="EL65" s="12">
        <f t="shared" si="367"/>
        <v>0</v>
      </c>
      <c r="EM65" s="12">
        <f t="shared" si="368"/>
        <v>0</v>
      </c>
      <c r="EN65" s="12">
        <f t="shared" si="369"/>
        <v>0</v>
      </c>
      <c r="EO65" s="12">
        <f t="shared" si="370"/>
        <v>0</v>
      </c>
      <c r="EP65" s="12">
        <f t="shared" si="371"/>
        <v>0</v>
      </c>
      <c r="EQ65" s="12">
        <f t="shared" si="372"/>
        <v>0</v>
      </c>
      <c r="ER65" s="12">
        <f t="shared" si="373"/>
        <v>0</v>
      </c>
      <c r="ES65" s="12">
        <f t="shared" si="374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375"/>
        <v>0</v>
      </c>
      <c r="FB65" s="12">
        <f t="shared" si="376"/>
        <v>0</v>
      </c>
      <c r="FC65" s="12">
        <f t="shared" si="377"/>
        <v>0</v>
      </c>
      <c r="FD65" s="12">
        <f t="shared" si="378"/>
        <v>0</v>
      </c>
      <c r="FE65" s="12">
        <f t="shared" si="379"/>
        <v>0</v>
      </c>
      <c r="FF65" s="12">
        <f t="shared" si="380"/>
        <v>0</v>
      </c>
      <c r="FG65" s="12">
        <f t="shared" si="381"/>
        <v>0</v>
      </c>
      <c r="FH65" s="12">
        <f t="shared" si="382"/>
        <v>0</v>
      </c>
      <c r="FI65" s="12">
        <f t="shared" si="383"/>
        <v>0</v>
      </c>
      <c r="FK65" s="16" t="s">
        <v>1303</v>
      </c>
      <c r="FL65">
        <f>_xlfn.XLOOKUP(FK65,'KPI Impacts'!$B$2:$H$2,'KPI Impacts'!$B65:$H65)</f>
        <v>0</v>
      </c>
      <c r="FM65" s="35" t="s">
        <v>1303</v>
      </c>
      <c r="FN65">
        <f>_xlfn.XLOOKUP(FM65,'KPI Impacts'!$B$2:$H$2,'KPI Impacts'!$B65:$H65)</f>
        <v>0</v>
      </c>
      <c r="FQ65" s="12">
        <f t="shared" si="384"/>
        <v>0</v>
      </c>
      <c r="FR65" s="12">
        <f t="shared" si="385"/>
        <v>0</v>
      </c>
      <c r="FS65" s="12">
        <f t="shared" si="386"/>
        <v>0</v>
      </c>
      <c r="FT65" s="12">
        <f t="shared" si="387"/>
        <v>0</v>
      </c>
      <c r="FU65" s="12">
        <f t="shared" si="388"/>
        <v>0</v>
      </c>
      <c r="FV65" s="12">
        <f t="shared" si="389"/>
        <v>0</v>
      </c>
      <c r="FW65" s="12">
        <f t="shared" si="390"/>
        <v>0</v>
      </c>
      <c r="FX65" s="12">
        <f t="shared" si="391"/>
        <v>0</v>
      </c>
      <c r="FY65" s="12">
        <f t="shared" si="392"/>
        <v>0</v>
      </c>
      <c r="GA65" s="16" t="s">
        <v>1303</v>
      </c>
      <c r="GB65">
        <f>_xlfn.XLOOKUP(GA65,'KPI Impacts'!$B$2:$H$2,'KPI Impacts'!$B65:$H65)</f>
        <v>0</v>
      </c>
      <c r="GC65" s="35" t="s">
        <v>1303</v>
      </c>
      <c r="GD65">
        <f>_xlfn.XLOOKUP(GC65,'KPI Impacts'!$B$2:$H$2,'KPI Impacts'!$B65:$H65)</f>
        <v>0</v>
      </c>
      <c r="GG65" s="12">
        <f t="shared" si="393"/>
        <v>0</v>
      </c>
      <c r="GH65" s="12">
        <f t="shared" si="394"/>
        <v>0</v>
      </c>
      <c r="GI65" s="12">
        <f t="shared" si="395"/>
        <v>0</v>
      </c>
      <c r="GJ65" s="12">
        <f t="shared" si="396"/>
        <v>0</v>
      </c>
      <c r="GK65" s="12">
        <f t="shared" si="397"/>
        <v>0</v>
      </c>
      <c r="GL65" s="12">
        <f t="shared" si="398"/>
        <v>0</v>
      </c>
      <c r="GM65" s="12">
        <f t="shared" si="399"/>
        <v>0</v>
      </c>
      <c r="GN65" s="12">
        <f t="shared" si="400"/>
        <v>0</v>
      </c>
      <c r="GO65" s="12">
        <f t="shared" si="401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402"/>
        <v>0</v>
      </c>
      <c r="GX65" s="12">
        <f t="shared" si="403"/>
        <v>0</v>
      </c>
      <c r="GY65" s="12">
        <f t="shared" si="404"/>
        <v>0</v>
      </c>
      <c r="GZ65" s="12">
        <f t="shared" si="405"/>
        <v>0</v>
      </c>
      <c r="HA65" s="12">
        <f t="shared" si="406"/>
        <v>0</v>
      </c>
      <c r="HB65" s="12">
        <f t="shared" si="407"/>
        <v>0</v>
      </c>
      <c r="HC65" s="12">
        <f t="shared" si="408"/>
        <v>0</v>
      </c>
      <c r="HD65" s="12">
        <f t="shared" si="409"/>
        <v>0</v>
      </c>
      <c r="HE65" s="12">
        <f t="shared" si="410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411"/>
        <v>0</v>
      </c>
      <c r="HN65" s="12">
        <f t="shared" si="412"/>
        <v>0</v>
      </c>
      <c r="HO65" s="12">
        <f t="shared" si="413"/>
        <v>0</v>
      </c>
      <c r="HP65" s="12">
        <f t="shared" si="414"/>
        <v>0</v>
      </c>
      <c r="HQ65" s="12">
        <f t="shared" si="415"/>
        <v>0</v>
      </c>
      <c r="HR65" s="12">
        <f t="shared" si="416"/>
        <v>0</v>
      </c>
      <c r="HS65" s="12">
        <f t="shared" si="417"/>
        <v>0</v>
      </c>
      <c r="HT65" s="12">
        <f t="shared" si="418"/>
        <v>0</v>
      </c>
      <c r="HU65" s="12">
        <f t="shared" si="419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420"/>
        <v>0</v>
      </c>
      <c r="ID65" s="12">
        <f t="shared" si="421"/>
        <v>0</v>
      </c>
      <c r="IE65" s="12">
        <f t="shared" si="422"/>
        <v>0</v>
      </c>
      <c r="IF65" s="12">
        <f t="shared" si="423"/>
        <v>0</v>
      </c>
      <c r="IG65" s="12">
        <f t="shared" si="424"/>
        <v>0</v>
      </c>
      <c r="IH65" s="12">
        <f t="shared" si="425"/>
        <v>0</v>
      </c>
      <c r="II65" s="12">
        <f t="shared" si="426"/>
        <v>0</v>
      </c>
      <c r="IJ65" s="12">
        <f t="shared" si="427"/>
        <v>0</v>
      </c>
      <c r="IK65" s="12">
        <f t="shared" si="428"/>
        <v>0</v>
      </c>
      <c r="IM65" s="16" t="s">
        <v>1303</v>
      </c>
      <c r="IN65">
        <f>_xlfn.XLOOKUP(IM65,'KPI Impacts'!$B$2:$H$2,'KPI Impacts'!$B65:$H65)</f>
        <v>0</v>
      </c>
      <c r="IO65" s="9" t="s">
        <v>1303</v>
      </c>
      <c r="IP65">
        <f>_xlfn.XLOOKUP(IO65,'KPI Impacts'!$B$2:$H$2,'KPI Impacts'!$B65:$H65)</f>
        <v>0</v>
      </c>
      <c r="IS65" s="12">
        <f t="shared" si="429"/>
        <v>0</v>
      </c>
      <c r="IT65" s="12">
        <f t="shared" si="430"/>
        <v>0</v>
      </c>
      <c r="IU65" s="12">
        <f t="shared" si="431"/>
        <v>0</v>
      </c>
      <c r="IV65" s="12">
        <f t="shared" si="432"/>
        <v>0</v>
      </c>
      <c r="IW65" s="12">
        <f t="shared" si="433"/>
        <v>0</v>
      </c>
      <c r="IX65" s="12">
        <f t="shared" si="434"/>
        <v>0</v>
      </c>
      <c r="IY65" s="12">
        <f t="shared" si="435"/>
        <v>0</v>
      </c>
      <c r="IZ65" s="12">
        <f t="shared" si="436"/>
        <v>0</v>
      </c>
      <c r="JA65" s="12">
        <f t="shared" si="437"/>
        <v>0</v>
      </c>
      <c r="JC65" s="16" t="s">
        <v>1303</v>
      </c>
      <c r="JD65">
        <f>_xlfn.XLOOKUP(JC65,'KPI Impacts'!$B$2:$H$2,'KPI Impacts'!$B65:$H65)</f>
        <v>0</v>
      </c>
      <c r="JE65" s="9" t="s">
        <v>1303</v>
      </c>
      <c r="JF65">
        <f>_xlfn.XLOOKUP(JE65,'KPI Impacts'!$B$2:$H$2,'KPI Impacts'!$B65:$H65)</f>
        <v>0</v>
      </c>
      <c r="JI65" s="12">
        <f t="shared" si="438"/>
        <v>0</v>
      </c>
      <c r="JJ65" s="12">
        <f t="shared" si="439"/>
        <v>0</v>
      </c>
      <c r="JK65" s="12">
        <f t="shared" si="440"/>
        <v>0</v>
      </c>
      <c r="JL65" s="12">
        <f t="shared" si="441"/>
        <v>0</v>
      </c>
      <c r="JM65" s="12">
        <f t="shared" si="442"/>
        <v>0</v>
      </c>
      <c r="JN65" s="12">
        <f t="shared" si="443"/>
        <v>0</v>
      </c>
      <c r="JO65" s="12">
        <f t="shared" si="444"/>
        <v>0</v>
      </c>
      <c r="JP65" s="12">
        <f t="shared" si="445"/>
        <v>0</v>
      </c>
      <c r="JQ65" s="12">
        <f t="shared" si="446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47"/>
        <v>0</v>
      </c>
      <c r="JZ65" s="12">
        <f t="shared" si="448"/>
        <v>0</v>
      </c>
      <c r="KA65" s="12">
        <f t="shared" si="449"/>
        <v>0</v>
      </c>
      <c r="KB65" s="12">
        <f t="shared" si="450"/>
        <v>0</v>
      </c>
      <c r="KC65" s="12">
        <f t="shared" si="451"/>
        <v>0</v>
      </c>
      <c r="KD65" s="12">
        <f t="shared" si="452"/>
        <v>0</v>
      </c>
      <c r="KE65" s="12">
        <f t="shared" si="453"/>
        <v>0</v>
      </c>
      <c r="KF65" s="12">
        <f t="shared" si="454"/>
        <v>0</v>
      </c>
      <c r="KG65" s="12">
        <f t="shared" si="455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56"/>
        <v>0</v>
      </c>
      <c r="KP65" s="12">
        <f t="shared" si="457"/>
        <v>0</v>
      </c>
      <c r="KQ65" s="12">
        <f t="shared" si="458"/>
        <v>0</v>
      </c>
      <c r="KR65" s="12">
        <f t="shared" si="459"/>
        <v>0</v>
      </c>
      <c r="KS65" s="12">
        <f t="shared" si="460"/>
        <v>0</v>
      </c>
      <c r="KT65" s="12">
        <f t="shared" si="461"/>
        <v>0</v>
      </c>
      <c r="KU65" s="12">
        <f t="shared" si="462"/>
        <v>0</v>
      </c>
      <c r="KV65" s="12">
        <f t="shared" si="463"/>
        <v>0</v>
      </c>
      <c r="KW65" s="12">
        <f t="shared" si="464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65"/>
        <v>0</v>
      </c>
      <c r="LF65" s="12">
        <f t="shared" si="466"/>
        <v>0</v>
      </c>
      <c r="LG65" s="12">
        <f t="shared" si="467"/>
        <v>0</v>
      </c>
      <c r="LH65" s="12">
        <f t="shared" si="468"/>
        <v>0</v>
      </c>
      <c r="LI65" s="12">
        <f t="shared" si="469"/>
        <v>0</v>
      </c>
      <c r="LJ65" s="12">
        <f t="shared" si="470"/>
        <v>0</v>
      </c>
      <c r="LK65" s="12">
        <f t="shared" si="471"/>
        <v>0</v>
      </c>
      <c r="LL65" s="12">
        <f t="shared" si="472"/>
        <v>0</v>
      </c>
      <c r="LM65" s="12">
        <f t="shared" si="473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74"/>
        <v>0</v>
      </c>
      <c r="LV65" s="12">
        <f t="shared" si="475"/>
        <v>0</v>
      </c>
      <c r="LW65" s="12">
        <f t="shared" si="476"/>
        <v>0</v>
      </c>
      <c r="LX65" s="12">
        <f t="shared" si="477"/>
        <v>0</v>
      </c>
      <c r="LY65" s="12">
        <f t="shared" si="478"/>
        <v>0</v>
      </c>
      <c r="LZ65" s="12">
        <f t="shared" si="479"/>
        <v>0</v>
      </c>
      <c r="MA65" s="12">
        <f t="shared" si="480"/>
        <v>0</v>
      </c>
      <c r="MB65" s="12">
        <f t="shared" si="481"/>
        <v>0</v>
      </c>
      <c r="MC65" s="12">
        <f t="shared" si="482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83"/>
        <v>0</v>
      </c>
      <c r="ML65" s="12">
        <f t="shared" si="484"/>
        <v>0</v>
      </c>
      <c r="MM65" s="12">
        <f t="shared" si="485"/>
        <v>0</v>
      </c>
      <c r="MN65" s="12">
        <f t="shared" si="486"/>
        <v>0</v>
      </c>
      <c r="MO65" s="12">
        <f t="shared" si="487"/>
        <v>0</v>
      </c>
      <c r="MP65" s="12">
        <f t="shared" si="488"/>
        <v>0</v>
      </c>
      <c r="MQ65" s="12">
        <f t="shared" si="489"/>
        <v>0</v>
      </c>
      <c r="MR65" s="12">
        <f t="shared" si="490"/>
        <v>0</v>
      </c>
      <c r="MS65" s="12">
        <f t="shared" si="491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2"/>
        <v>0</v>
      </c>
      <c r="NB65" s="12">
        <f t="shared" si="493"/>
        <v>0</v>
      </c>
      <c r="NC65" s="12">
        <f t="shared" si="494"/>
        <v>0</v>
      </c>
      <c r="ND65" s="12">
        <f t="shared" si="495"/>
        <v>0</v>
      </c>
      <c r="NE65" s="12">
        <f t="shared" si="496"/>
        <v>0</v>
      </c>
      <c r="NF65" s="12">
        <f t="shared" si="497"/>
        <v>0</v>
      </c>
      <c r="NG65" s="12">
        <f t="shared" si="498"/>
        <v>0</v>
      </c>
      <c r="NH65" s="12">
        <f t="shared" si="499"/>
        <v>0</v>
      </c>
      <c r="NI65" s="12">
        <f t="shared" si="500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1"/>
        <v>0</v>
      </c>
      <c r="NR65" s="12">
        <f t="shared" si="502"/>
        <v>0</v>
      </c>
      <c r="NS65" s="12">
        <f t="shared" si="503"/>
        <v>0</v>
      </c>
      <c r="NT65" s="12">
        <f t="shared" si="504"/>
        <v>0</v>
      </c>
      <c r="NU65" s="12">
        <f t="shared" si="505"/>
        <v>0</v>
      </c>
      <c r="NV65" s="12">
        <f t="shared" si="506"/>
        <v>0</v>
      </c>
      <c r="NW65" s="12">
        <f t="shared" si="507"/>
        <v>0</v>
      </c>
      <c r="NX65" s="12">
        <f t="shared" si="508"/>
        <v>0</v>
      </c>
      <c r="NY65" s="12">
        <f t="shared" si="509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0"/>
        <v>0</v>
      </c>
      <c r="OH65" s="12">
        <f t="shared" si="511"/>
        <v>0</v>
      </c>
      <c r="OI65" s="12">
        <f t="shared" si="512"/>
        <v>0</v>
      </c>
      <c r="OJ65" s="12">
        <f t="shared" si="513"/>
        <v>0</v>
      </c>
      <c r="OK65" s="12">
        <f t="shared" si="514"/>
        <v>0</v>
      </c>
      <c r="OL65" s="12">
        <f t="shared" si="515"/>
        <v>0</v>
      </c>
      <c r="OM65" s="12">
        <f t="shared" si="516"/>
        <v>0</v>
      </c>
      <c r="ON65" s="12">
        <f t="shared" si="517"/>
        <v>0</v>
      </c>
      <c r="OO65" s="12">
        <f t="shared" si="518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2"/>
        <v>0</v>
      </c>
      <c r="C66" s="12">
        <f t="shared" si="312"/>
        <v>0</v>
      </c>
      <c r="D66" s="12">
        <f t="shared" si="312"/>
        <v>0</v>
      </c>
      <c r="E66" s="12">
        <f t="shared" si="312"/>
        <v>0</v>
      </c>
      <c r="F66" s="12">
        <f t="shared" si="312"/>
        <v>0</v>
      </c>
      <c r="G66" s="12">
        <f t="shared" si="312"/>
        <v>0</v>
      </c>
      <c r="H66" s="12">
        <f t="shared" si="312"/>
        <v>0</v>
      </c>
      <c r="I66" s="12">
        <f t="shared" si="313"/>
        <v>0</v>
      </c>
      <c r="J66" s="12">
        <f t="shared" si="313"/>
        <v>0</v>
      </c>
      <c r="M66">
        <f t="shared" si="314"/>
        <v>0</v>
      </c>
      <c r="N66">
        <f t="shared" si="315"/>
        <v>0</v>
      </c>
      <c r="O66">
        <f t="shared" si="316"/>
        <v>0</v>
      </c>
      <c r="P66">
        <f t="shared" si="317"/>
        <v>0</v>
      </c>
      <c r="Q66">
        <f t="shared" si="318"/>
        <v>0</v>
      </c>
      <c r="R66">
        <f t="shared" si="319"/>
        <v>0</v>
      </c>
      <c r="S66">
        <f t="shared" si="320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1"/>
        <v>0</v>
      </c>
      <c r="BJ66" s="12">
        <f t="shared" si="322"/>
        <v>0</v>
      </c>
      <c r="BK66" s="12">
        <f t="shared" si="323"/>
        <v>0</v>
      </c>
      <c r="BL66" s="12">
        <f t="shared" si="324"/>
        <v>0</v>
      </c>
      <c r="BM66" s="12">
        <f t="shared" si="325"/>
        <v>0</v>
      </c>
      <c r="BN66" s="12">
        <f t="shared" si="326"/>
        <v>0</v>
      </c>
      <c r="BO66" s="12">
        <f t="shared" si="327"/>
        <v>0</v>
      </c>
      <c r="BP66" s="12">
        <f t="shared" si="328"/>
        <v>0</v>
      </c>
      <c r="BQ66" s="12">
        <f t="shared" si="329"/>
        <v>0</v>
      </c>
      <c r="BS66" s="30" t="s">
        <v>1307</v>
      </c>
      <c r="BT66">
        <f>_xlfn.XLOOKUP(BS66,'KPI Impacts'!$B$2:$H$2,'KPI Impacts'!$B66:$H66)</f>
        <v>2</v>
      </c>
      <c r="BU66" s="35" t="s">
        <v>1303</v>
      </c>
      <c r="BV66">
        <f>_xlfn.XLOOKUP(BU66,'KPI Impacts'!$B$2:$H$2,'KPI Impacts'!$B66:$H66)</f>
        <v>0</v>
      </c>
      <c r="BY66" s="12">
        <f t="shared" si="330"/>
        <v>0</v>
      </c>
      <c r="BZ66" s="12">
        <f t="shared" si="331"/>
        <v>0</v>
      </c>
      <c r="CA66" s="12">
        <f t="shared" si="332"/>
        <v>0</v>
      </c>
      <c r="CB66" s="12">
        <f t="shared" si="333"/>
        <v>0</v>
      </c>
      <c r="CC66" s="12">
        <f t="shared" si="334"/>
        <v>0</v>
      </c>
      <c r="CD66" s="12">
        <f t="shared" si="335"/>
        <v>0</v>
      </c>
      <c r="CE66" s="12">
        <f t="shared" si="336"/>
        <v>0</v>
      </c>
      <c r="CF66" s="12">
        <f t="shared" si="337"/>
        <v>0</v>
      </c>
      <c r="CG66" s="12">
        <f t="shared" si="338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339"/>
        <v>0</v>
      </c>
      <c r="CP66" s="12">
        <f t="shared" si="340"/>
        <v>0</v>
      </c>
      <c r="CQ66" s="12">
        <f t="shared" si="341"/>
        <v>0</v>
      </c>
      <c r="CR66" s="12">
        <f t="shared" si="342"/>
        <v>0</v>
      </c>
      <c r="CS66" s="12">
        <f t="shared" si="343"/>
        <v>0</v>
      </c>
      <c r="CT66" s="12">
        <f t="shared" si="344"/>
        <v>0</v>
      </c>
      <c r="CU66" s="12">
        <f t="shared" si="345"/>
        <v>0</v>
      </c>
      <c r="CV66" s="12">
        <f t="shared" si="346"/>
        <v>0</v>
      </c>
      <c r="CW66" s="12">
        <f t="shared" si="347"/>
        <v>0</v>
      </c>
      <c r="CY66" s="16" t="s">
        <v>1303</v>
      </c>
      <c r="CZ66">
        <f>_xlfn.XLOOKUP(CY66,'KPI Impacts'!$B$2:$H$2,'KPI Impacts'!$B66:$H66)</f>
        <v>0</v>
      </c>
      <c r="DA66" s="16" t="s">
        <v>1303</v>
      </c>
      <c r="DB66">
        <f>_xlfn.XLOOKUP(DA66,'KPI Impacts'!$B$2:$H$2,'KPI Impacts'!$B66:$H66)</f>
        <v>0</v>
      </c>
      <c r="DE66" s="12">
        <f t="shared" si="348"/>
        <v>0</v>
      </c>
      <c r="DF66" s="12">
        <f t="shared" si="349"/>
        <v>0</v>
      </c>
      <c r="DG66" s="12">
        <f t="shared" si="350"/>
        <v>0</v>
      </c>
      <c r="DH66" s="12">
        <f t="shared" si="351"/>
        <v>0</v>
      </c>
      <c r="DI66" s="12">
        <f t="shared" si="352"/>
        <v>0</v>
      </c>
      <c r="DJ66" s="12">
        <f t="shared" si="353"/>
        <v>0</v>
      </c>
      <c r="DK66" s="12">
        <f t="shared" si="354"/>
        <v>0</v>
      </c>
      <c r="DL66" s="12">
        <f t="shared" si="355"/>
        <v>0</v>
      </c>
      <c r="DM66" s="12">
        <f t="shared" si="356"/>
        <v>0</v>
      </c>
      <c r="DO66" s="16" t="s">
        <v>1303</v>
      </c>
      <c r="DP66">
        <f>_xlfn.XLOOKUP(DO66,'KPI Impacts'!$B$2:$H$2,'KPI Impacts'!$B66:$H66)</f>
        <v>0</v>
      </c>
      <c r="DQ66" s="35" t="s">
        <v>1303</v>
      </c>
      <c r="DR66">
        <f>_xlfn.XLOOKUP(DQ66,'KPI Impacts'!$B$2:$H$2,'KPI Impacts'!$B66:$H66)</f>
        <v>0</v>
      </c>
      <c r="DU66" s="12">
        <f t="shared" si="357"/>
        <v>0</v>
      </c>
      <c r="DV66" s="12">
        <f t="shared" si="358"/>
        <v>0</v>
      </c>
      <c r="DW66" s="12">
        <f t="shared" si="359"/>
        <v>0</v>
      </c>
      <c r="DX66" s="12">
        <f t="shared" si="360"/>
        <v>0</v>
      </c>
      <c r="DY66" s="12">
        <f t="shared" si="361"/>
        <v>0</v>
      </c>
      <c r="DZ66" s="12">
        <f t="shared" si="362"/>
        <v>0</v>
      </c>
      <c r="EA66" s="12">
        <f t="shared" si="363"/>
        <v>0</v>
      </c>
      <c r="EB66" s="12">
        <f t="shared" si="364"/>
        <v>0</v>
      </c>
      <c r="EC66" s="12">
        <f t="shared" si="365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66"/>
        <v>0</v>
      </c>
      <c r="EL66" s="12">
        <f t="shared" si="367"/>
        <v>0</v>
      </c>
      <c r="EM66" s="12">
        <f t="shared" si="368"/>
        <v>0</v>
      </c>
      <c r="EN66" s="12">
        <f t="shared" si="369"/>
        <v>0</v>
      </c>
      <c r="EO66" s="12">
        <f t="shared" si="370"/>
        <v>0</v>
      </c>
      <c r="EP66" s="12">
        <f t="shared" si="371"/>
        <v>0</v>
      </c>
      <c r="EQ66" s="12">
        <f t="shared" si="372"/>
        <v>0</v>
      </c>
      <c r="ER66" s="12">
        <f t="shared" si="373"/>
        <v>0</v>
      </c>
      <c r="ES66" s="12">
        <f t="shared" si="374"/>
        <v>0</v>
      </c>
      <c r="EU66" s="29" t="s">
        <v>1304</v>
      </c>
      <c r="EV66">
        <f>_xlfn.XLOOKUP(EU66,'KPI Impacts'!$B$2:$H$2,'KPI Impacts'!$B66:$H66)</f>
        <v>-1.6</v>
      </c>
      <c r="EW66" s="35" t="s">
        <v>1303</v>
      </c>
      <c r="EX66">
        <f>_xlfn.XLOOKUP(EW66,'KPI Impacts'!$B$2:$H$2,'KPI Impacts'!$B66:$H66)</f>
        <v>0</v>
      </c>
      <c r="FA66" s="12">
        <f t="shared" si="375"/>
        <v>0</v>
      </c>
      <c r="FB66" s="12">
        <f t="shared" si="376"/>
        <v>0</v>
      </c>
      <c r="FC66" s="12">
        <f t="shared" si="377"/>
        <v>0</v>
      </c>
      <c r="FD66" s="12">
        <f t="shared" si="378"/>
        <v>0</v>
      </c>
      <c r="FE66" s="12">
        <f t="shared" si="379"/>
        <v>0</v>
      </c>
      <c r="FF66" s="12">
        <f t="shared" si="380"/>
        <v>0</v>
      </c>
      <c r="FG66" s="12">
        <f t="shared" si="381"/>
        <v>0</v>
      </c>
      <c r="FH66" s="12">
        <f t="shared" si="382"/>
        <v>0</v>
      </c>
      <c r="FI66" s="12">
        <f t="shared" si="383"/>
        <v>0</v>
      </c>
      <c r="FK66" s="16" t="s">
        <v>1303</v>
      </c>
      <c r="FL66">
        <f>_xlfn.XLOOKUP(FK66,'KPI Impacts'!$B$2:$H$2,'KPI Impacts'!$B66:$H66)</f>
        <v>0</v>
      </c>
      <c r="FM66" s="35" t="s">
        <v>1303</v>
      </c>
      <c r="FN66">
        <f>_xlfn.XLOOKUP(FM66,'KPI Impacts'!$B$2:$H$2,'KPI Impacts'!$B66:$H66)</f>
        <v>0</v>
      </c>
      <c r="FQ66" s="12">
        <f t="shared" si="384"/>
        <v>0</v>
      </c>
      <c r="FR66" s="12">
        <f t="shared" si="385"/>
        <v>0</v>
      </c>
      <c r="FS66" s="12">
        <f t="shared" si="386"/>
        <v>0</v>
      </c>
      <c r="FT66" s="12">
        <f t="shared" si="387"/>
        <v>0</v>
      </c>
      <c r="FU66" s="12">
        <f t="shared" si="388"/>
        <v>0</v>
      </c>
      <c r="FV66" s="12">
        <f t="shared" si="389"/>
        <v>0</v>
      </c>
      <c r="FW66" s="12">
        <f t="shared" si="390"/>
        <v>0</v>
      </c>
      <c r="FX66" s="12">
        <f t="shared" si="391"/>
        <v>0</v>
      </c>
      <c r="FY66" s="12">
        <f t="shared" si="392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393"/>
        <v>0</v>
      </c>
      <c r="GH66" s="12">
        <f t="shared" si="394"/>
        <v>0</v>
      </c>
      <c r="GI66" s="12">
        <f t="shared" si="395"/>
        <v>0</v>
      </c>
      <c r="GJ66" s="12">
        <f t="shared" si="396"/>
        <v>0</v>
      </c>
      <c r="GK66" s="12">
        <f t="shared" si="397"/>
        <v>0</v>
      </c>
      <c r="GL66" s="12">
        <f t="shared" si="398"/>
        <v>0</v>
      </c>
      <c r="GM66" s="12">
        <f t="shared" si="399"/>
        <v>0</v>
      </c>
      <c r="GN66" s="12">
        <f t="shared" si="400"/>
        <v>0</v>
      </c>
      <c r="GO66" s="12">
        <f t="shared" si="401"/>
        <v>0</v>
      </c>
      <c r="GQ66" s="29" t="s">
        <v>1306</v>
      </c>
      <c r="GR66">
        <f>_xlfn.XLOOKUP(GQ66,'KPI Impacts'!$B$2:$H$2,'KPI Impacts'!$B66:$H66)</f>
        <v>-3.2</v>
      </c>
      <c r="GS66" s="35" t="s">
        <v>1303</v>
      </c>
      <c r="GT66">
        <f>_xlfn.XLOOKUP(GS66,'KPI Impacts'!$B$2:$H$2,'KPI Impacts'!$B66:$H66)</f>
        <v>0</v>
      </c>
      <c r="GW66" s="12">
        <f t="shared" si="402"/>
        <v>0</v>
      </c>
      <c r="GX66" s="12">
        <f t="shared" si="403"/>
        <v>0</v>
      </c>
      <c r="GY66" s="12">
        <f t="shared" si="404"/>
        <v>0</v>
      </c>
      <c r="GZ66" s="12">
        <f t="shared" si="405"/>
        <v>0</v>
      </c>
      <c r="HA66" s="12">
        <f t="shared" si="406"/>
        <v>0</v>
      </c>
      <c r="HB66" s="12">
        <f t="shared" si="407"/>
        <v>0</v>
      </c>
      <c r="HC66" s="12">
        <f t="shared" si="408"/>
        <v>0</v>
      </c>
      <c r="HD66" s="12">
        <f t="shared" si="409"/>
        <v>0</v>
      </c>
      <c r="HE66" s="12">
        <f t="shared" si="410"/>
        <v>0</v>
      </c>
      <c r="HG66" s="16" t="s">
        <v>1303</v>
      </c>
      <c r="HH66">
        <f>_xlfn.XLOOKUP(HG66,'KPI Impacts'!$B$2:$H$2,'KPI Impacts'!$B66:$H66)</f>
        <v>0</v>
      </c>
      <c r="HI66" s="35" t="s">
        <v>1303</v>
      </c>
      <c r="HJ66">
        <f>_xlfn.XLOOKUP(HI66,'KPI Impacts'!$B$2:$H$2,'KPI Impacts'!$B66:$H66)</f>
        <v>0</v>
      </c>
      <c r="HM66" s="12">
        <f t="shared" si="411"/>
        <v>0</v>
      </c>
      <c r="HN66" s="12">
        <f t="shared" si="412"/>
        <v>0</v>
      </c>
      <c r="HO66" s="12">
        <f t="shared" si="413"/>
        <v>0</v>
      </c>
      <c r="HP66" s="12">
        <f t="shared" si="414"/>
        <v>0</v>
      </c>
      <c r="HQ66" s="12">
        <f t="shared" si="415"/>
        <v>0</v>
      </c>
      <c r="HR66" s="12">
        <f t="shared" si="416"/>
        <v>0</v>
      </c>
      <c r="HS66" s="12">
        <f t="shared" si="417"/>
        <v>0</v>
      </c>
      <c r="HT66" s="12">
        <f t="shared" si="418"/>
        <v>0</v>
      </c>
      <c r="HU66" s="12">
        <f t="shared" si="419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420"/>
        <v>0</v>
      </c>
      <c r="ID66" s="12">
        <f t="shared" si="421"/>
        <v>0</v>
      </c>
      <c r="IE66" s="12">
        <f t="shared" si="422"/>
        <v>0</v>
      </c>
      <c r="IF66" s="12">
        <f t="shared" si="423"/>
        <v>0</v>
      </c>
      <c r="IG66" s="12">
        <f t="shared" si="424"/>
        <v>0</v>
      </c>
      <c r="IH66" s="12">
        <f t="shared" si="425"/>
        <v>0</v>
      </c>
      <c r="II66" s="12">
        <f t="shared" si="426"/>
        <v>0</v>
      </c>
      <c r="IJ66" s="12">
        <f t="shared" si="427"/>
        <v>0</v>
      </c>
      <c r="IK66" s="12">
        <f t="shared" si="428"/>
        <v>0</v>
      </c>
      <c r="IM66" s="16" t="s">
        <v>1303</v>
      </c>
      <c r="IN66">
        <f>_xlfn.XLOOKUP(IM66,'KPI Impacts'!$B$2:$H$2,'KPI Impacts'!$B66:$H66)</f>
        <v>0</v>
      </c>
      <c r="IO66" s="9" t="s">
        <v>1303</v>
      </c>
      <c r="IP66">
        <f>_xlfn.XLOOKUP(IO66,'KPI Impacts'!$B$2:$H$2,'KPI Impacts'!$B66:$H66)</f>
        <v>0</v>
      </c>
      <c r="IS66" s="12">
        <f t="shared" si="429"/>
        <v>0</v>
      </c>
      <c r="IT66" s="12">
        <f t="shared" si="430"/>
        <v>0</v>
      </c>
      <c r="IU66" s="12">
        <f t="shared" si="431"/>
        <v>0</v>
      </c>
      <c r="IV66" s="12">
        <f t="shared" si="432"/>
        <v>0</v>
      </c>
      <c r="IW66" s="12">
        <f t="shared" si="433"/>
        <v>0</v>
      </c>
      <c r="IX66" s="12">
        <f t="shared" si="434"/>
        <v>0</v>
      </c>
      <c r="IY66" s="12">
        <f t="shared" si="435"/>
        <v>0</v>
      </c>
      <c r="IZ66" s="12">
        <f t="shared" si="436"/>
        <v>0</v>
      </c>
      <c r="JA66" s="12">
        <f t="shared" si="437"/>
        <v>0</v>
      </c>
      <c r="JC66" s="16" t="s">
        <v>1303</v>
      </c>
      <c r="JD66">
        <f>_xlfn.XLOOKUP(JC66,'KPI Impacts'!$B$2:$H$2,'KPI Impacts'!$B66:$H66)</f>
        <v>0</v>
      </c>
      <c r="JE66" s="9" t="s">
        <v>1303</v>
      </c>
      <c r="JF66">
        <f>_xlfn.XLOOKUP(JE66,'KPI Impacts'!$B$2:$H$2,'KPI Impacts'!$B66:$H66)</f>
        <v>0</v>
      </c>
      <c r="JI66" s="12">
        <f t="shared" si="438"/>
        <v>0</v>
      </c>
      <c r="JJ66" s="12">
        <f t="shared" si="439"/>
        <v>0</v>
      </c>
      <c r="JK66" s="12">
        <f t="shared" si="440"/>
        <v>0</v>
      </c>
      <c r="JL66" s="12">
        <f t="shared" si="441"/>
        <v>0</v>
      </c>
      <c r="JM66" s="12">
        <f t="shared" si="442"/>
        <v>0</v>
      </c>
      <c r="JN66" s="12">
        <f t="shared" si="443"/>
        <v>0</v>
      </c>
      <c r="JO66" s="12">
        <f t="shared" si="444"/>
        <v>0</v>
      </c>
      <c r="JP66" s="12">
        <f t="shared" si="445"/>
        <v>0</v>
      </c>
      <c r="JQ66" s="12">
        <f t="shared" si="446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47"/>
        <v>0</v>
      </c>
      <c r="JZ66" s="12">
        <f t="shared" si="448"/>
        <v>0</v>
      </c>
      <c r="KA66" s="12">
        <f t="shared" si="449"/>
        <v>0</v>
      </c>
      <c r="KB66" s="12">
        <f t="shared" si="450"/>
        <v>0</v>
      </c>
      <c r="KC66" s="12">
        <f t="shared" si="451"/>
        <v>0</v>
      </c>
      <c r="KD66" s="12">
        <f t="shared" si="452"/>
        <v>0</v>
      </c>
      <c r="KE66" s="12">
        <f t="shared" si="453"/>
        <v>0</v>
      </c>
      <c r="KF66" s="12">
        <f t="shared" si="454"/>
        <v>0</v>
      </c>
      <c r="KG66" s="12">
        <f t="shared" si="455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56"/>
        <v>0</v>
      </c>
      <c r="KP66" s="12">
        <f t="shared" si="457"/>
        <v>0</v>
      </c>
      <c r="KQ66" s="12">
        <f t="shared" si="458"/>
        <v>0</v>
      </c>
      <c r="KR66" s="12">
        <f t="shared" si="459"/>
        <v>0</v>
      </c>
      <c r="KS66" s="12">
        <f t="shared" si="460"/>
        <v>0</v>
      </c>
      <c r="KT66" s="12">
        <f t="shared" si="461"/>
        <v>0</v>
      </c>
      <c r="KU66" s="12">
        <f t="shared" si="462"/>
        <v>0</v>
      </c>
      <c r="KV66" s="12">
        <f t="shared" si="463"/>
        <v>0</v>
      </c>
      <c r="KW66" s="12">
        <f t="shared" si="464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65"/>
        <v>0</v>
      </c>
      <c r="LF66" s="12">
        <f t="shared" si="466"/>
        <v>0</v>
      </c>
      <c r="LG66" s="12">
        <f t="shared" si="467"/>
        <v>0</v>
      </c>
      <c r="LH66" s="12">
        <f t="shared" si="468"/>
        <v>0</v>
      </c>
      <c r="LI66" s="12">
        <f t="shared" si="469"/>
        <v>0</v>
      </c>
      <c r="LJ66" s="12">
        <f t="shared" si="470"/>
        <v>0</v>
      </c>
      <c r="LK66" s="12">
        <f t="shared" si="471"/>
        <v>0</v>
      </c>
      <c r="LL66" s="12">
        <f t="shared" si="472"/>
        <v>0</v>
      </c>
      <c r="LM66" s="12">
        <f t="shared" si="473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74"/>
        <v>0</v>
      </c>
      <c r="LV66" s="12">
        <f t="shared" si="475"/>
        <v>0</v>
      </c>
      <c r="LW66" s="12">
        <f t="shared" si="476"/>
        <v>0</v>
      </c>
      <c r="LX66" s="12">
        <f t="shared" si="477"/>
        <v>0</v>
      </c>
      <c r="LY66" s="12">
        <f t="shared" si="478"/>
        <v>0</v>
      </c>
      <c r="LZ66" s="12">
        <f t="shared" si="479"/>
        <v>0</v>
      </c>
      <c r="MA66" s="12">
        <f t="shared" si="480"/>
        <v>0</v>
      </c>
      <c r="MB66" s="12">
        <f t="shared" si="481"/>
        <v>0</v>
      </c>
      <c r="MC66" s="12">
        <f t="shared" si="482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83"/>
        <v>0</v>
      </c>
      <c r="ML66" s="12">
        <f t="shared" si="484"/>
        <v>0</v>
      </c>
      <c r="MM66" s="12">
        <f t="shared" si="485"/>
        <v>0</v>
      </c>
      <c r="MN66" s="12">
        <f t="shared" si="486"/>
        <v>0</v>
      </c>
      <c r="MO66" s="12">
        <f t="shared" si="487"/>
        <v>0</v>
      </c>
      <c r="MP66" s="12">
        <f t="shared" si="488"/>
        <v>0</v>
      </c>
      <c r="MQ66" s="12">
        <f t="shared" si="489"/>
        <v>0</v>
      </c>
      <c r="MR66" s="12">
        <f t="shared" si="490"/>
        <v>0</v>
      </c>
      <c r="MS66" s="12">
        <f t="shared" si="491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2"/>
        <v>0</v>
      </c>
      <c r="NB66" s="12">
        <f t="shared" si="493"/>
        <v>0</v>
      </c>
      <c r="NC66" s="12">
        <f t="shared" si="494"/>
        <v>0</v>
      </c>
      <c r="ND66" s="12">
        <f t="shared" si="495"/>
        <v>0</v>
      </c>
      <c r="NE66" s="12">
        <f t="shared" si="496"/>
        <v>0</v>
      </c>
      <c r="NF66" s="12">
        <f t="shared" si="497"/>
        <v>0</v>
      </c>
      <c r="NG66" s="12">
        <f t="shared" si="498"/>
        <v>0</v>
      </c>
      <c r="NH66" s="12">
        <f t="shared" si="499"/>
        <v>0</v>
      </c>
      <c r="NI66" s="12">
        <f t="shared" si="500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1"/>
        <v>0</v>
      </c>
      <c r="NR66" s="12">
        <f t="shared" si="502"/>
        <v>0</v>
      </c>
      <c r="NS66" s="12">
        <f t="shared" si="503"/>
        <v>0</v>
      </c>
      <c r="NT66" s="12">
        <f t="shared" si="504"/>
        <v>0</v>
      </c>
      <c r="NU66" s="12">
        <f t="shared" si="505"/>
        <v>0</v>
      </c>
      <c r="NV66" s="12">
        <f t="shared" si="506"/>
        <v>0</v>
      </c>
      <c r="NW66" s="12">
        <f t="shared" si="507"/>
        <v>0</v>
      </c>
      <c r="NX66" s="12">
        <f t="shared" si="508"/>
        <v>0</v>
      </c>
      <c r="NY66" s="12">
        <f t="shared" si="509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0"/>
        <v>0</v>
      </c>
      <c r="OH66" s="12">
        <f t="shared" si="511"/>
        <v>0</v>
      </c>
      <c r="OI66" s="12">
        <f t="shared" si="512"/>
        <v>0</v>
      </c>
      <c r="OJ66" s="12">
        <f t="shared" si="513"/>
        <v>0</v>
      </c>
      <c r="OK66" s="12">
        <f t="shared" si="514"/>
        <v>0</v>
      </c>
      <c r="OL66" s="12">
        <f t="shared" si="515"/>
        <v>0</v>
      </c>
      <c r="OM66" s="12">
        <f t="shared" si="516"/>
        <v>0</v>
      </c>
      <c r="ON66" s="12">
        <f t="shared" si="517"/>
        <v>0</v>
      </c>
      <c r="OO66" s="12">
        <f t="shared" si="518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2"/>
        <v>0</v>
      </c>
      <c r="C67" s="12">
        <f t="shared" si="312"/>
        <v>0</v>
      </c>
      <c r="D67" s="12">
        <f t="shared" si="312"/>
        <v>0</v>
      </c>
      <c r="E67" s="12">
        <f t="shared" si="312"/>
        <v>0</v>
      </c>
      <c r="F67" s="12">
        <f t="shared" si="312"/>
        <v>0</v>
      </c>
      <c r="G67" s="12">
        <f t="shared" si="312"/>
        <v>0</v>
      </c>
      <c r="H67" s="12">
        <f t="shared" si="312"/>
        <v>0</v>
      </c>
      <c r="I67" s="12">
        <f t="shared" si="313"/>
        <v>0</v>
      </c>
      <c r="J67" s="12">
        <f t="shared" si="313"/>
        <v>0</v>
      </c>
      <c r="M67">
        <f t="shared" si="314"/>
        <v>0</v>
      </c>
      <c r="N67">
        <f t="shared" si="315"/>
        <v>0</v>
      </c>
      <c r="O67">
        <f t="shared" si="316"/>
        <v>0</v>
      </c>
      <c r="P67">
        <f t="shared" si="317"/>
        <v>0</v>
      </c>
      <c r="Q67">
        <f t="shared" si="318"/>
        <v>0</v>
      </c>
      <c r="R67">
        <f t="shared" si="319"/>
        <v>0</v>
      </c>
      <c r="S67">
        <f t="shared" si="320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1"/>
        <v>0</v>
      </c>
      <c r="BJ67" s="12">
        <f t="shared" si="322"/>
        <v>0</v>
      </c>
      <c r="BK67" s="12">
        <f t="shared" si="323"/>
        <v>0</v>
      </c>
      <c r="BL67" s="12">
        <f t="shared" si="324"/>
        <v>0</v>
      </c>
      <c r="BM67" s="12">
        <f t="shared" si="325"/>
        <v>0</v>
      </c>
      <c r="BN67" s="12">
        <f t="shared" si="326"/>
        <v>0</v>
      </c>
      <c r="BO67" s="12">
        <f t="shared" si="327"/>
        <v>0</v>
      </c>
      <c r="BP67" s="12">
        <f t="shared" si="328"/>
        <v>0</v>
      </c>
      <c r="BQ67" s="12">
        <f t="shared" si="329"/>
        <v>0</v>
      </c>
      <c r="BS67" s="16" t="s">
        <v>1303</v>
      </c>
      <c r="BT67">
        <f>_xlfn.XLOOKUP(BS67,'KPI Impacts'!$B$2:$H$2,'KPI Impacts'!$B67:$H67)</f>
        <v>0</v>
      </c>
      <c r="BU67" s="35" t="s">
        <v>1303</v>
      </c>
      <c r="BV67">
        <f>_xlfn.XLOOKUP(BU67,'KPI Impacts'!$B$2:$H$2,'KPI Impacts'!$B67:$H67)</f>
        <v>0</v>
      </c>
      <c r="BY67" s="12">
        <f t="shared" si="330"/>
        <v>0</v>
      </c>
      <c r="BZ67" s="12">
        <f t="shared" si="331"/>
        <v>0</v>
      </c>
      <c r="CA67" s="12">
        <f t="shared" si="332"/>
        <v>0</v>
      </c>
      <c r="CB67" s="12">
        <f t="shared" si="333"/>
        <v>0</v>
      </c>
      <c r="CC67" s="12">
        <f t="shared" si="334"/>
        <v>0</v>
      </c>
      <c r="CD67" s="12">
        <f t="shared" si="335"/>
        <v>0</v>
      </c>
      <c r="CE67" s="12">
        <f t="shared" si="336"/>
        <v>0</v>
      </c>
      <c r="CF67" s="12">
        <f t="shared" si="337"/>
        <v>0</v>
      </c>
      <c r="CG67" s="12">
        <f t="shared" si="338"/>
        <v>0</v>
      </c>
      <c r="CI67" s="16" t="s">
        <v>1303</v>
      </c>
      <c r="CJ67">
        <f>_xlfn.XLOOKUP(CI67,'KPI Impacts'!$B$2:$H$2,'KPI Impacts'!$B67:$H67)</f>
        <v>0</v>
      </c>
      <c r="CK67" s="35" t="s">
        <v>1303</v>
      </c>
      <c r="CL67">
        <f>_xlfn.XLOOKUP(CK67,'KPI Impacts'!$B$2:$H$2,'KPI Impacts'!$B67:$H67)</f>
        <v>0</v>
      </c>
      <c r="CO67" s="12">
        <f t="shared" si="339"/>
        <v>0</v>
      </c>
      <c r="CP67" s="12">
        <f t="shared" si="340"/>
        <v>0</v>
      </c>
      <c r="CQ67" s="12">
        <f t="shared" si="341"/>
        <v>0</v>
      </c>
      <c r="CR67" s="12">
        <f t="shared" si="342"/>
        <v>0</v>
      </c>
      <c r="CS67" s="12">
        <f t="shared" si="343"/>
        <v>0</v>
      </c>
      <c r="CT67" s="12">
        <f t="shared" si="344"/>
        <v>0</v>
      </c>
      <c r="CU67" s="12">
        <f t="shared" si="345"/>
        <v>0</v>
      </c>
      <c r="CV67" s="12">
        <f t="shared" si="346"/>
        <v>0</v>
      </c>
      <c r="CW67" s="12">
        <f t="shared" si="347"/>
        <v>0</v>
      </c>
      <c r="CY67" s="16" t="s">
        <v>1303</v>
      </c>
      <c r="CZ67">
        <f>_xlfn.XLOOKUP(CY67,'KPI Impacts'!$B$2:$H$2,'KPI Impacts'!$B67:$H67)</f>
        <v>0</v>
      </c>
      <c r="DA67" s="16" t="s">
        <v>1303</v>
      </c>
      <c r="DB67">
        <f>_xlfn.XLOOKUP(DA67,'KPI Impacts'!$B$2:$H$2,'KPI Impacts'!$B67:$H67)</f>
        <v>0</v>
      </c>
      <c r="DE67" s="12">
        <f t="shared" si="348"/>
        <v>0</v>
      </c>
      <c r="DF67" s="12">
        <f t="shared" si="349"/>
        <v>0</v>
      </c>
      <c r="DG67" s="12">
        <f t="shared" si="350"/>
        <v>0</v>
      </c>
      <c r="DH67" s="12">
        <f t="shared" si="351"/>
        <v>0</v>
      </c>
      <c r="DI67" s="12">
        <f t="shared" si="352"/>
        <v>0</v>
      </c>
      <c r="DJ67" s="12">
        <f t="shared" si="353"/>
        <v>0</v>
      </c>
      <c r="DK67" s="12">
        <f t="shared" si="354"/>
        <v>0</v>
      </c>
      <c r="DL67" s="12">
        <f t="shared" si="355"/>
        <v>0</v>
      </c>
      <c r="DM67" s="12">
        <f t="shared" si="356"/>
        <v>0</v>
      </c>
      <c r="DO67" s="30" t="s">
        <v>1308</v>
      </c>
      <c r="DP67">
        <f>_xlfn.XLOOKUP(DO67,'KPI Impacts'!$B$2:$H$2,'KPI Impacts'!$B67:$H67)</f>
        <v>6</v>
      </c>
      <c r="DQ67" s="35" t="s">
        <v>1303</v>
      </c>
      <c r="DR67">
        <f>_xlfn.XLOOKUP(DQ67,'KPI Impacts'!$B$2:$H$2,'KPI Impacts'!$B67:$H67)</f>
        <v>0</v>
      </c>
      <c r="DU67" s="12">
        <f t="shared" si="357"/>
        <v>0</v>
      </c>
      <c r="DV67" s="12">
        <f t="shared" si="358"/>
        <v>0</v>
      </c>
      <c r="DW67" s="12">
        <f t="shared" si="359"/>
        <v>0</v>
      </c>
      <c r="DX67" s="12">
        <f t="shared" si="360"/>
        <v>0</v>
      </c>
      <c r="DY67" s="12">
        <f t="shared" si="361"/>
        <v>0</v>
      </c>
      <c r="DZ67" s="12">
        <f t="shared" si="362"/>
        <v>0</v>
      </c>
      <c r="EA67" s="12">
        <f t="shared" si="363"/>
        <v>0</v>
      </c>
      <c r="EB67" s="12">
        <f t="shared" si="364"/>
        <v>0</v>
      </c>
      <c r="EC67" s="12">
        <f t="shared" si="365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366"/>
        <v>0</v>
      </c>
      <c r="EL67" s="12">
        <f t="shared" si="367"/>
        <v>0</v>
      </c>
      <c r="EM67" s="12">
        <f t="shared" si="368"/>
        <v>0</v>
      </c>
      <c r="EN67" s="12">
        <f t="shared" si="369"/>
        <v>0</v>
      </c>
      <c r="EO67" s="12">
        <f t="shared" si="370"/>
        <v>0</v>
      </c>
      <c r="EP67" s="12">
        <f t="shared" si="371"/>
        <v>0</v>
      </c>
      <c r="EQ67" s="12">
        <f t="shared" si="372"/>
        <v>0</v>
      </c>
      <c r="ER67" s="12">
        <f t="shared" si="373"/>
        <v>0</v>
      </c>
      <c r="ES67" s="12">
        <f t="shared" si="374"/>
        <v>0</v>
      </c>
      <c r="EU67" s="30" t="s">
        <v>1307</v>
      </c>
      <c r="EV67">
        <f>_xlfn.XLOOKUP(EU67,'KPI Impacts'!$B$2:$H$2,'KPI Impacts'!$B67:$H67)</f>
        <v>2</v>
      </c>
      <c r="EW67" s="35" t="s">
        <v>1303</v>
      </c>
      <c r="EX67">
        <f>_xlfn.XLOOKUP(EW67,'KPI Impacts'!$B$2:$H$2,'KPI Impacts'!$B67:$H67)</f>
        <v>0</v>
      </c>
      <c r="FA67" s="12">
        <f t="shared" si="375"/>
        <v>0</v>
      </c>
      <c r="FB67" s="12">
        <f t="shared" si="376"/>
        <v>0</v>
      </c>
      <c r="FC67" s="12">
        <f t="shared" si="377"/>
        <v>0</v>
      </c>
      <c r="FD67" s="12">
        <f t="shared" si="378"/>
        <v>0</v>
      </c>
      <c r="FE67" s="12">
        <f t="shared" si="379"/>
        <v>0</v>
      </c>
      <c r="FF67" s="12">
        <f t="shared" si="380"/>
        <v>0</v>
      </c>
      <c r="FG67" s="12">
        <f t="shared" si="381"/>
        <v>0</v>
      </c>
      <c r="FH67" s="12">
        <f t="shared" si="382"/>
        <v>0</v>
      </c>
      <c r="FI67" s="12">
        <f t="shared" si="383"/>
        <v>0</v>
      </c>
      <c r="FK67" s="16" t="s">
        <v>1303</v>
      </c>
      <c r="FL67">
        <f>_xlfn.XLOOKUP(FK67,'KPI Impacts'!$B$2:$H$2,'KPI Impacts'!$B67:$H67)</f>
        <v>0</v>
      </c>
      <c r="FM67" s="35" t="s">
        <v>1303</v>
      </c>
      <c r="FN67">
        <f>_xlfn.XLOOKUP(FM67,'KPI Impacts'!$B$2:$H$2,'KPI Impacts'!$B67:$H67)</f>
        <v>0</v>
      </c>
      <c r="FQ67" s="12">
        <f t="shared" si="384"/>
        <v>0</v>
      </c>
      <c r="FR67" s="12">
        <f t="shared" si="385"/>
        <v>0</v>
      </c>
      <c r="FS67" s="12">
        <f t="shared" si="386"/>
        <v>0</v>
      </c>
      <c r="FT67" s="12">
        <f t="shared" si="387"/>
        <v>0</v>
      </c>
      <c r="FU67" s="12">
        <f t="shared" si="388"/>
        <v>0</v>
      </c>
      <c r="FV67" s="12">
        <f t="shared" si="389"/>
        <v>0</v>
      </c>
      <c r="FW67" s="12">
        <f t="shared" si="390"/>
        <v>0</v>
      </c>
      <c r="FX67" s="12">
        <f t="shared" si="391"/>
        <v>0</v>
      </c>
      <c r="FY67" s="12">
        <f t="shared" si="392"/>
        <v>0</v>
      </c>
      <c r="GA67" s="16" t="s">
        <v>1303</v>
      </c>
      <c r="GB67">
        <f>_xlfn.XLOOKUP(GA67,'KPI Impacts'!$B$2:$H$2,'KPI Impacts'!$B67:$H67)</f>
        <v>0</v>
      </c>
      <c r="GC67" s="35" t="s">
        <v>1303</v>
      </c>
      <c r="GD67">
        <f>_xlfn.XLOOKUP(GC67,'KPI Impacts'!$B$2:$H$2,'KPI Impacts'!$B67:$H67)</f>
        <v>0</v>
      </c>
      <c r="GG67" s="12">
        <f t="shared" si="393"/>
        <v>0</v>
      </c>
      <c r="GH67" s="12">
        <f t="shared" si="394"/>
        <v>0</v>
      </c>
      <c r="GI67" s="12">
        <f t="shared" si="395"/>
        <v>0</v>
      </c>
      <c r="GJ67" s="12">
        <f t="shared" si="396"/>
        <v>0</v>
      </c>
      <c r="GK67" s="12">
        <f t="shared" si="397"/>
        <v>0</v>
      </c>
      <c r="GL67" s="12">
        <f t="shared" si="398"/>
        <v>0</v>
      </c>
      <c r="GM67" s="12">
        <f t="shared" si="399"/>
        <v>0</v>
      </c>
      <c r="GN67" s="12">
        <f t="shared" si="400"/>
        <v>0</v>
      </c>
      <c r="GO67" s="12">
        <f t="shared" si="401"/>
        <v>0</v>
      </c>
      <c r="GQ67" s="30" t="s">
        <v>1309</v>
      </c>
      <c r="GR67">
        <f>_xlfn.XLOOKUP(GQ67,'KPI Impacts'!$B$2:$H$2,'KPI Impacts'!$B67:$H67)</f>
        <v>4</v>
      </c>
      <c r="GS67" s="35" t="s">
        <v>1303</v>
      </c>
      <c r="GT67">
        <f>_xlfn.XLOOKUP(GS67,'KPI Impacts'!$B$2:$H$2,'KPI Impacts'!$B67:$H67)</f>
        <v>0</v>
      </c>
      <c r="GW67" s="12">
        <f t="shared" si="402"/>
        <v>0</v>
      </c>
      <c r="GX67" s="12">
        <f t="shared" si="403"/>
        <v>0</v>
      </c>
      <c r="GY67" s="12">
        <f t="shared" si="404"/>
        <v>0</v>
      </c>
      <c r="GZ67" s="12">
        <f t="shared" si="405"/>
        <v>0</v>
      </c>
      <c r="HA67" s="12">
        <f t="shared" si="406"/>
        <v>0</v>
      </c>
      <c r="HB67" s="12">
        <f t="shared" si="407"/>
        <v>0</v>
      </c>
      <c r="HC67" s="12">
        <f t="shared" si="408"/>
        <v>0</v>
      </c>
      <c r="HD67" s="12">
        <f t="shared" si="409"/>
        <v>0</v>
      </c>
      <c r="HE67" s="12">
        <f t="shared" si="410"/>
        <v>0</v>
      </c>
      <c r="HG67" s="30" t="s">
        <v>1307</v>
      </c>
      <c r="HH67">
        <f>_xlfn.XLOOKUP(HG67,'KPI Impacts'!$B$2:$H$2,'KPI Impacts'!$B67:$H67)</f>
        <v>2</v>
      </c>
      <c r="HI67" s="35" t="s">
        <v>1303</v>
      </c>
      <c r="HJ67">
        <f>_xlfn.XLOOKUP(HI67,'KPI Impacts'!$B$2:$H$2,'KPI Impacts'!$B67:$H67)</f>
        <v>0</v>
      </c>
      <c r="HM67" s="12">
        <f t="shared" si="411"/>
        <v>0</v>
      </c>
      <c r="HN67" s="12">
        <f t="shared" si="412"/>
        <v>0</v>
      </c>
      <c r="HO67" s="12">
        <f t="shared" si="413"/>
        <v>0</v>
      </c>
      <c r="HP67" s="12">
        <f t="shared" si="414"/>
        <v>0</v>
      </c>
      <c r="HQ67" s="12">
        <f t="shared" si="415"/>
        <v>0</v>
      </c>
      <c r="HR67" s="12">
        <f t="shared" si="416"/>
        <v>0</v>
      </c>
      <c r="HS67" s="12">
        <f t="shared" si="417"/>
        <v>0</v>
      </c>
      <c r="HT67" s="12">
        <f t="shared" si="418"/>
        <v>0</v>
      </c>
      <c r="HU67" s="12">
        <f t="shared" si="419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420"/>
        <v>0</v>
      </c>
      <c r="ID67" s="12">
        <f t="shared" si="421"/>
        <v>0</v>
      </c>
      <c r="IE67" s="12">
        <f t="shared" si="422"/>
        <v>0</v>
      </c>
      <c r="IF67" s="12">
        <f t="shared" si="423"/>
        <v>0</v>
      </c>
      <c r="IG67" s="12">
        <f t="shared" si="424"/>
        <v>0</v>
      </c>
      <c r="IH67" s="12">
        <f t="shared" si="425"/>
        <v>0</v>
      </c>
      <c r="II67" s="12">
        <f t="shared" si="426"/>
        <v>0</v>
      </c>
      <c r="IJ67" s="12">
        <f t="shared" si="427"/>
        <v>0</v>
      </c>
      <c r="IK67" s="12">
        <f t="shared" si="428"/>
        <v>0</v>
      </c>
      <c r="IM67" s="29" t="s">
        <v>1304</v>
      </c>
      <c r="IN67">
        <f>_xlfn.XLOOKUP(IM67,'KPI Impacts'!$B$2:$H$2,'KPI Impacts'!$B67:$H67)</f>
        <v>-1.6</v>
      </c>
      <c r="IO67" s="9" t="s">
        <v>1303</v>
      </c>
      <c r="IP67">
        <f>_xlfn.XLOOKUP(IO67,'KPI Impacts'!$B$2:$H$2,'KPI Impacts'!$B67:$H67)</f>
        <v>0</v>
      </c>
      <c r="IS67" s="12">
        <f t="shared" si="429"/>
        <v>0</v>
      </c>
      <c r="IT67" s="12">
        <f t="shared" si="430"/>
        <v>0</v>
      </c>
      <c r="IU67" s="12">
        <f t="shared" si="431"/>
        <v>0</v>
      </c>
      <c r="IV67" s="12">
        <f t="shared" si="432"/>
        <v>0</v>
      </c>
      <c r="IW67" s="12">
        <f t="shared" si="433"/>
        <v>0</v>
      </c>
      <c r="IX67" s="12">
        <f t="shared" si="434"/>
        <v>0</v>
      </c>
      <c r="IY67" s="12">
        <f t="shared" si="435"/>
        <v>0</v>
      </c>
      <c r="IZ67" s="12">
        <f t="shared" si="436"/>
        <v>0</v>
      </c>
      <c r="JA67" s="12">
        <f t="shared" si="437"/>
        <v>0</v>
      </c>
      <c r="JC67" s="29" t="s">
        <v>1306</v>
      </c>
      <c r="JD67">
        <f>_xlfn.XLOOKUP(JC67,'KPI Impacts'!$B$2:$H$2,'KPI Impacts'!$B67:$H67)</f>
        <v>-3.2</v>
      </c>
      <c r="JE67" s="9" t="s">
        <v>1303</v>
      </c>
      <c r="JF67">
        <f>_xlfn.XLOOKUP(JE67,'KPI Impacts'!$B$2:$H$2,'KPI Impacts'!$B67:$H67)</f>
        <v>0</v>
      </c>
      <c r="JI67" s="12">
        <f t="shared" si="438"/>
        <v>0</v>
      </c>
      <c r="JJ67" s="12">
        <f t="shared" si="439"/>
        <v>0</v>
      </c>
      <c r="JK67" s="12">
        <f t="shared" si="440"/>
        <v>0</v>
      </c>
      <c r="JL67" s="12">
        <f t="shared" si="441"/>
        <v>0</v>
      </c>
      <c r="JM67" s="12">
        <f t="shared" si="442"/>
        <v>0</v>
      </c>
      <c r="JN67" s="12">
        <f t="shared" si="443"/>
        <v>0</v>
      </c>
      <c r="JO67" s="12">
        <f t="shared" si="444"/>
        <v>0</v>
      </c>
      <c r="JP67" s="12">
        <f t="shared" si="445"/>
        <v>0</v>
      </c>
      <c r="JQ67" s="12">
        <f t="shared" si="446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47"/>
        <v>0</v>
      </c>
      <c r="JZ67" s="12">
        <f t="shared" si="448"/>
        <v>0</v>
      </c>
      <c r="KA67" s="12">
        <f t="shared" si="449"/>
        <v>0</v>
      </c>
      <c r="KB67" s="12">
        <f t="shared" si="450"/>
        <v>0</v>
      </c>
      <c r="KC67" s="12">
        <f t="shared" si="451"/>
        <v>0</v>
      </c>
      <c r="KD67" s="12">
        <f t="shared" si="452"/>
        <v>0</v>
      </c>
      <c r="KE67" s="12">
        <f t="shared" si="453"/>
        <v>0</v>
      </c>
      <c r="KF67" s="12">
        <f t="shared" si="454"/>
        <v>0</v>
      </c>
      <c r="KG67" s="12">
        <f t="shared" si="455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56"/>
        <v>0</v>
      </c>
      <c r="KP67" s="12">
        <f t="shared" si="457"/>
        <v>0</v>
      </c>
      <c r="KQ67" s="12">
        <f t="shared" si="458"/>
        <v>0</v>
      </c>
      <c r="KR67" s="12">
        <f t="shared" si="459"/>
        <v>0</v>
      </c>
      <c r="KS67" s="12">
        <f t="shared" si="460"/>
        <v>0</v>
      </c>
      <c r="KT67" s="12">
        <f t="shared" si="461"/>
        <v>0</v>
      </c>
      <c r="KU67" s="12">
        <f t="shared" si="462"/>
        <v>0</v>
      </c>
      <c r="KV67" s="12">
        <f t="shared" si="463"/>
        <v>0</v>
      </c>
      <c r="KW67" s="12">
        <f t="shared" si="464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65"/>
        <v>0</v>
      </c>
      <c r="LF67" s="12">
        <f t="shared" si="466"/>
        <v>0</v>
      </c>
      <c r="LG67" s="12">
        <f t="shared" si="467"/>
        <v>0</v>
      </c>
      <c r="LH67" s="12">
        <f t="shared" si="468"/>
        <v>0</v>
      </c>
      <c r="LI67" s="12">
        <f t="shared" si="469"/>
        <v>0</v>
      </c>
      <c r="LJ67" s="12">
        <f t="shared" si="470"/>
        <v>0</v>
      </c>
      <c r="LK67" s="12">
        <f t="shared" si="471"/>
        <v>0</v>
      </c>
      <c r="LL67" s="12">
        <f t="shared" si="472"/>
        <v>0</v>
      </c>
      <c r="LM67" s="12">
        <f t="shared" si="473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74"/>
        <v>0</v>
      </c>
      <c r="LV67" s="12">
        <f t="shared" si="475"/>
        <v>0</v>
      </c>
      <c r="LW67" s="12">
        <f t="shared" si="476"/>
        <v>0</v>
      </c>
      <c r="LX67" s="12">
        <f t="shared" si="477"/>
        <v>0</v>
      </c>
      <c r="LY67" s="12">
        <f t="shared" si="478"/>
        <v>0</v>
      </c>
      <c r="LZ67" s="12">
        <f t="shared" si="479"/>
        <v>0</v>
      </c>
      <c r="MA67" s="12">
        <f t="shared" si="480"/>
        <v>0</v>
      </c>
      <c r="MB67" s="12">
        <f t="shared" si="481"/>
        <v>0</v>
      </c>
      <c r="MC67" s="12">
        <f t="shared" si="482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83"/>
        <v>0</v>
      </c>
      <c r="ML67" s="12">
        <f t="shared" si="484"/>
        <v>0</v>
      </c>
      <c r="MM67" s="12">
        <f t="shared" si="485"/>
        <v>0</v>
      </c>
      <c r="MN67" s="12">
        <f t="shared" si="486"/>
        <v>0</v>
      </c>
      <c r="MO67" s="12">
        <f t="shared" si="487"/>
        <v>0</v>
      </c>
      <c r="MP67" s="12">
        <f t="shared" si="488"/>
        <v>0</v>
      </c>
      <c r="MQ67" s="12">
        <f t="shared" si="489"/>
        <v>0</v>
      </c>
      <c r="MR67" s="12">
        <f t="shared" si="490"/>
        <v>0</v>
      </c>
      <c r="MS67" s="12">
        <f t="shared" si="491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2"/>
        <v>0</v>
      </c>
      <c r="NB67" s="12">
        <f t="shared" si="493"/>
        <v>0</v>
      </c>
      <c r="NC67" s="12">
        <f t="shared" si="494"/>
        <v>0</v>
      </c>
      <c r="ND67" s="12">
        <f t="shared" si="495"/>
        <v>0</v>
      </c>
      <c r="NE67" s="12">
        <f t="shared" si="496"/>
        <v>0</v>
      </c>
      <c r="NF67" s="12">
        <f t="shared" si="497"/>
        <v>0</v>
      </c>
      <c r="NG67" s="12">
        <f t="shared" si="498"/>
        <v>0</v>
      </c>
      <c r="NH67" s="12">
        <f t="shared" si="499"/>
        <v>0</v>
      </c>
      <c r="NI67" s="12">
        <f t="shared" si="500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1"/>
        <v>0</v>
      </c>
      <c r="NR67" s="12">
        <f t="shared" si="502"/>
        <v>0</v>
      </c>
      <c r="NS67" s="12">
        <f t="shared" si="503"/>
        <v>0</v>
      </c>
      <c r="NT67" s="12">
        <f t="shared" si="504"/>
        <v>0</v>
      </c>
      <c r="NU67" s="12">
        <f t="shared" si="505"/>
        <v>0</v>
      </c>
      <c r="NV67" s="12">
        <f t="shared" si="506"/>
        <v>0</v>
      </c>
      <c r="NW67" s="12">
        <f t="shared" si="507"/>
        <v>0</v>
      </c>
      <c r="NX67" s="12">
        <f t="shared" si="508"/>
        <v>0</v>
      </c>
      <c r="NY67" s="12">
        <f t="shared" si="509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0"/>
        <v>0</v>
      </c>
      <c r="OH67" s="12">
        <f t="shared" si="511"/>
        <v>0</v>
      </c>
      <c r="OI67" s="12">
        <f t="shared" si="512"/>
        <v>0</v>
      </c>
      <c r="OJ67" s="12">
        <f t="shared" si="513"/>
        <v>0</v>
      </c>
      <c r="OK67" s="12">
        <f t="shared" si="514"/>
        <v>0</v>
      </c>
      <c r="OL67" s="12">
        <f t="shared" si="515"/>
        <v>0</v>
      </c>
      <c r="OM67" s="12">
        <f t="shared" si="516"/>
        <v>0</v>
      </c>
      <c r="ON67" s="12">
        <f t="shared" si="517"/>
        <v>0</v>
      </c>
      <c r="OO67" s="12">
        <f t="shared" si="518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2"/>
        <v>0</v>
      </c>
      <c r="C68" s="12">
        <f t="shared" si="312"/>
        <v>0</v>
      </c>
      <c r="D68" s="12">
        <f t="shared" si="312"/>
        <v>0</v>
      </c>
      <c r="E68" s="12">
        <f t="shared" si="312"/>
        <v>0</v>
      </c>
      <c r="F68" s="12">
        <f t="shared" si="312"/>
        <v>0</v>
      </c>
      <c r="G68" s="12">
        <f t="shared" si="312"/>
        <v>0</v>
      </c>
      <c r="H68" s="12">
        <f t="shared" si="312"/>
        <v>0</v>
      </c>
      <c r="I68" s="12">
        <f t="shared" si="313"/>
        <v>0</v>
      </c>
      <c r="J68" s="12">
        <f t="shared" si="313"/>
        <v>0</v>
      </c>
      <c r="M68">
        <f t="shared" si="314"/>
        <v>0</v>
      </c>
      <c r="N68">
        <f t="shared" si="315"/>
        <v>0</v>
      </c>
      <c r="O68">
        <f t="shared" si="316"/>
        <v>0</v>
      </c>
      <c r="P68">
        <f t="shared" si="317"/>
        <v>0</v>
      </c>
      <c r="Q68">
        <f t="shared" si="318"/>
        <v>0</v>
      </c>
      <c r="R68">
        <f t="shared" si="319"/>
        <v>0</v>
      </c>
      <c r="S68">
        <f t="shared" si="320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1"/>
        <v>0</v>
      </c>
      <c r="BJ68" s="12">
        <f t="shared" si="322"/>
        <v>0</v>
      </c>
      <c r="BK68" s="12">
        <f t="shared" si="323"/>
        <v>0</v>
      </c>
      <c r="BL68" s="12">
        <f t="shared" si="324"/>
        <v>0</v>
      </c>
      <c r="BM68" s="12">
        <f t="shared" si="325"/>
        <v>0</v>
      </c>
      <c r="BN68" s="12">
        <f t="shared" si="326"/>
        <v>0</v>
      </c>
      <c r="BO68" s="12">
        <f t="shared" si="327"/>
        <v>0</v>
      </c>
      <c r="BP68" s="12">
        <f t="shared" si="328"/>
        <v>0</v>
      </c>
      <c r="BQ68" s="12">
        <f t="shared" si="329"/>
        <v>0</v>
      </c>
      <c r="BS68" s="30" t="s">
        <v>1307</v>
      </c>
      <c r="BT68">
        <f>_xlfn.XLOOKUP(BS68,'KPI Impacts'!$B$2:$H$2,'KPI Impacts'!$B68:$H68)</f>
        <v>2</v>
      </c>
      <c r="BU68" s="35" t="s">
        <v>1303</v>
      </c>
      <c r="BV68">
        <f>_xlfn.XLOOKUP(BU68,'KPI Impacts'!$B$2:$H$2,'KPI Impacts'!$B68:$H68)</f>
        <v>0</v>
      </c>
      <c r="BY68" s="12">
        <f t="shared" si="330"/>
        <v>0</v>
      </c>
      <c r="BZ68" s="12">
        <f t="shared" si="331"/>
        <v>0</v>
      </c>
      <c r="CA68" s="12">
        <f t="shared" si="332"/>
        <v>0</v>
      </c>
      <c r="CB68" s="12">
        <f t="shared" si="333"/>
        <v>0</v>
      </c>
      <c r="CC68" s="12">
        <f t="shared" si="334"/>
        <v>0</v>
      </c>
      <c r="CD68" s="12">
        <f t="shared" si="335"/>
        <v>0</v>
      </c>
      <c r="CE68" s="12">
        <f t="shared" si="336"/>
        <v>0</v>
      </c>
      <c r="CF68" s="12">
        <f t="shared" si="337"/>
        <v>0</v>
      </c>
      <c r="CG68" s="12">
        <f t="shared" si="338"/>
        <v>0</v>
      </c>
      <c r="CI68" s="30" t="s">
        <v>1307</v>
      </c>
      <c r="CJ68">
        <f>_xlfn.XLOOKUP(CI68,'KPI Impacts'!$B$2:$H$2,'KPI Impacts'!$B68:$H68)</f>
        <v>2</v>
      </c>
      <c r="CK68" s="35" t="s">
        <v>1303</v>
      </c>
      <c r="CL68">
        <f>_xlfn.XLOOKUP(CK68,'KPI Impacts'!$B$2:$H$2,'KPI Impacts'!$B68:$H68)</f>
        <v>0</v>
      </c>
      <c r="CO68" s="12">
        <f t="shared" si="339"/>
        <v>0</v>
      </c>
      <c r="CP68" s="12">
        <f t="shared" si="340"/>
        <v>0</v>
      </c>
      <c r="CQ68" s="12">
        <f t="shared" si="341"/>
        <v>0</v>
      </c>
      <c r="CR68" s="12">
        <f t="shared" si="342"/>
        <v>0</v>
      </c>
      <c r="CS68" s="12">
        <f t="shared" si="343"/>
        <v>0</v>
      </c>
      <c r="CT68" s="12">
        <f t="shared" si="344"/>
        <v>0</v>
      </c>
      <c r="CU68" s="12">
        <f t="shared" si="345"/>
        <v>0</v>
      </c>
      <c r="CV68" s="12">
        <f t="shared" si="346"/>
        <v>0</v>
      </c>
      <c r="CW68" s="12">
        <f t="shared" si="347"/>
        <v>0</v>
      </c>
      <c r="CY68" s="16" t="s">
        <v>1303</v>
      </c>
      <c r="CZ68">
        <f>_xlfn.XLOOKUP(CY68,'KPI Impacts'!$B$2:$H$2,'KPI Impacts'!$B68:$H68)</f>
        <v>0</v>
      </c>
      <c r="DA68" s="16" t="s">
        <v>1303</v>
      </c>
      <c r="DB68">
        <f>_xlfn.XLOOKUP(DA68,'KPI Impacts'!$B$2:$H$2,'KPI Impacts'!$B68:$H68)</f>
        <v>0</v>
      </c>
      <c r="DE68" s="12">
        <f t="shared" si="348"/>
        <v>0</v>
      </c>
      <c r="DF68" s="12">
        <f t="shared" si="349"/>
        <v>0</v>
      </c>
      <c r="DG68" s="12">
        <f t="shared" si="350"/>
        <v>0</v>
      </c>
      <c r="DH68" s="12">
        <f t="shared" si="351"/>
        <v>0</v>
      </c>
      <c r="DI68" s="12">
        <f t="shared" si="352"/>
        <v>0</v>
      </c>
      <c r="DJ68" s="12">
        <f t="shared" si="353"/>
        <v>0</v>
      </c>
      <c r="DK68" s="12">
        <f t="shared" si="354"/>
        <v>0</v>
      </c>
      <c r="DL68" s="12">
        <f t="shared" si="355"/>
        <v>0</v>
      </c>
      <c r="DM68" s="12">
        <f t="shared" si="356"/>
        <v>0</v>
      </c>
      <c r="DO68" s="16" t="s">
        <v>1303</v>
      </c>
      <c r="DP68">
        <f>_xlfn.XLOOKUP(DO68,'KPI Impacts'!$B$2:$H$2,'KPI Impacts'!$B68:$H68)</f>
        <v>0</v>
      </c>
      <c r="DQ68" s="35" t="s">
        <v>1303</v>
      </c>
      <c r="DR68">
        <f>_xlfn.XLOOKUP(DQ68,'KPI Impacts'!$B$2:$H$2,'KPI Impacts'!$B68:$H68)</f>
        <v>0</v>
      </c>
      <c r="DU68" s="12">
        <f t="shared" si="357"/>
        <v>0</v>
      </c>
      <c r="DV68" s="12">
        <f t="shared" si="358"/>
        <v>0</v>
      </c>
      <c r="DW68" s="12">
        <f t="shared" si="359"/>
        <v>0</v>
      </c>
      <c r="DX68" s="12">
        <f t="shared" si="360"/>
        <v>0</v>
      </c>
      <c r="DY68" s="12">
        <f t="shared" si="361"/>
        <v>0</v>
      </c>
      <c r="DZ68" s="12">
        <f t="shared" si="362"/>
        <v>0</v>
      </c>
      <c r="EA68" s="12">
        <f t="shared" si="363"/>
        <v>0</v>
      </c>
      <c r="EB68" s="12">
        <f t="shared" si="364"/>
        <v>0</v>
      </c>
      <c r="EC68" s="12">
        <f t="shared" si="365"/>
        <v>0</v>
      </c>
      <c r="EE68" s="29" t="s">
        <v>1306</v>
      </c>
      <c r="EF68">
        <f>_xlfn.XLOOKUP(EE68,'KPI Impacts'!$B$2:$H$2,'KPI Impacts'!$B68:$H68)</f>
        <v>-3.2</v>
      </c>
      <c r="EG68" s="35" t="s">
        <v>1303</v>
      </c>
      <c r="EH68">
        <f>_xlfn.XLOOKUP(EG68,'KPI Impacts'!$B$2:$H$2,'KPI Impacts'!$B68:$H68)</f>
        <v>0</v>
      </c>
      <c r="EK68" s="12">
        <f t="shared" si="366"/>
        <v>0</v>
      </c>
      <c r="EL68" s="12">
        <f t="shared" si="367"/>
        <v>0</v>
      </c>
      <c r="EM68" s="12">
        <f t="shared" si="368"/>
        <v>0</v>
      </c>
      <c r="EN68" s="12">
        <f t="shared" si="369"/>
        <v>0</v>
      </c>
      <c r="EO68" s="12">
        <f t="shared" si="370"/>
        <v>0</v>
      </c>
      <c r="EP68" s="12">
        <f t="shared" si="371"/>
        <v>0</v>
      </c>
      <c r="EQ68" s="12">
        <f t="shared" si="372"/>
        <v>0</v>
      </c>
      <c r="ER68" s="12">
        <f t="shared" si="373"/>
        <v>0</v>
      </c>
      <c r="ES68" s="12">
        <f t="shared" si="374"/>
        <v>0</v>
      </c>
      <c r="EU68" s="16" t="s">
        <v>1303</v>
      </c>
      <c r="EV68">
        <f>_xlfn.XLOOKUP(EU68,'KPI Impacts'!$B$2:$H$2,'KPI Impacts'!$B68:$H68)</f>
        <v>0</v>
      </c>
      <c r="EW68" s="35" t="s">
        <v>1303</v>
      </c>
      <c r="EX68">
        <f>_xlfn.XLOOKUP(EW68,'KPI Impacts'!$B$2:$H$2,'KPI Impacts'!$B68:$H68)</f>
        <v>0</v>
      </c>
      <c r="FA68" s="12">
        <f t="shared" si="375"/>
        <v>0</v>
      </c>
      <c r="FB68" s="12">
        <f t="shared" si="376"/>
        <v>0</v>
      </c>
      <c r="FC68" s="12">
        <f t="shared" si="377"/>
        <v>0</v>
      </c>
      <c r="FD68" s="12">
        <f t="shared" si="378"/>
        <v>0</v>
      </c>
      <c r="FE68" s="12">
        <f t="shared" si="379"/>
        <v>0</v>
      </c>
      <c r="FF68" s="12">
        <f t="shared" si="380"/>
        <v>0</v>
      </c>
      <c r="FG68" s="12">
        <f t="shared" si="381"/>
        <v>0</v>
      </c>
      <c r="FH68" s="12">
        <f t="shared" si="382"/>
        <v>0</v>
      </c>
      <c r="FI68" s="12">
        <f t="shared" si="383"/>
        <v>0</v>
      </c>
      <c r="FK68" s="16" t="s">
        <v>1303</v>
      </c>
      <c r="FL68">
        <f>_xlfn.XLOOKUP(FK68,'KPI Impacts'!$B$2:$H$2,'KPI Impacts'!$B68:$H68)</f>
        <v>0</v>
      </c>
      <c r="FM68" s="35" t="s">
        <v>1303</v>
      </c>
      <c r="FN68">
        <f>_xlfn.XLOOKUP(FM68,'KPI Impacts'!$B$2:$H$2,'KPI Impacts'!$B68:$H68)</f>
        <v>0</v>
      </c>
      <c r="FQ68" s="12">
        <f t="shared" si="384"/>
        <v>0</v>
      </c>
      <c r="FR68" s="12">
        <f t="shared" si="385"/>
        <v>0</v>
      </c>
      <c r="FS68" s="12">
        <f t="shared" si="386"/>
        <v>0</v>
      </c>
      <c r="FT68" s="12">
        <f t="shared" si="387"/>
        <v>0</v>
      </c>
      <c r="FU68" s="12">
        <f t="shared" si="388"/>
        <v>0</v>
      </c>
      <c r="FV68" s="12">
        <f t="shared" si="389"/>
        <v>0</v>
      </c>
      <c r="FW68" s="12">
        <f t="shared" si="390"/>
        <v>0</v>
      </c>
      <c r="FX68" s="12">
        <f t="shared" si="391"/>
        <v>0</v>
      </c>
      <c r="FY68" s="12">
        <f t="shared" si="392"/>
        <v>0</v>
      </c>
      <c r="GA68" s="30" t="s">
        <v>1307</v>
      </c>
      <c r="GB68">
        <f>_xlfn.XLOOKUP(GA68,'KPI Impacts'!$B$2:$H$2,'KPI Impacts'!$B68:$H68)</f>
        <v>2</v>
      </c>
      <c r="GC68" s="35" t="s">
        <v>1303</v>
      </c>
      <c r="GD68">
        <f>_xlfn.XLOOKUP(GC68,'KPI Impacts'!$B$2:$H$2,'KPI Impacts'!$B68:$H68)</f>
        <v>0</v>
      </c>
      <c r="GG68" s="12">
        <f t="shared" si="393"/>
        <v>0</v>
      </c>
      <c r="GH68" s="12">
        <f t="shared" si="394"/>
        <v>0</v>
      </c>
      <c r="GI68" s="12">
        <f t="shared" si="395"/>
        <v>0</v>
      </c>
      <c r="GJ68" s="12">
        <f t="shared" si="396"/>
        <v>0</v>
      </c>
      <c r="GK68" s="12">
        <f t="shared" si="397"/>
        <v>0</v>
      </c>
      <c r="GL68" s="12">
        <f t="shared" si="398"/>
        <v>0</v>
      </c>
      <c r="GM68" s="12">
        <f t="shared" si="399"/>
        <v>0</v>
      </c>
      <c r="GN68" s="12">
        <f t="shared" si="400"/>
        <v>0</v>
      </c>
      <c r="GO68" s="12">
        <f t="shared" si="401"/>
        <v>0</v>
      </c>
      <c r="GQ68" s="16" t="s">
        <v>1303</v>
      </c>
      <c r="GR68">
        <f>_xlfn.XLOOKUP(GQ68,'KPI Impacts'!$B$2:$H$2,'KPI Impacts'!$B68:$H68)</f>
        <v>0</v>
      </c>
      <c r="GS68" s="35" t="s">
        <v>1303</v>
      </c>
      <c r="GT68">
        <f>_xlfn.XLOOKUP(GS68,'KPI Impacts'!$B$2:$H$2,'KPI Impacts'!$B68:$H68)</f>
        <v>0</v>
      </c>
      <c r="GW68" s="12">
        <f t="shared" si="402"/>
        <v>0</v>
      </c>
      <c r="GX68" s="12">
        <f t="shared" si="403"/>
        <v>0</v>
      </c>
      <c r="GY68" s="12">
        <f t="shared" si="404"/>
        <v>0</v>
      </c>
      <c r="GZ68" s="12">
        <f t="shared" si="405"/>
        <v>0</v>
      </c>
      <c r="HA68" s="12">
        <f t="shared" si="406"/>
        <v>0</v>
      </c>
      <c r="HB68" s="12">
        <f t="shared" si="407"/>
        <v>0</v>
      </c>
      <c r="HC68" s="12">
        <f t="shared" si="408"/>
        <v>0</v>
      </c>
      <c r="HD68" s="12">
        <f t="shared" si="409"/>
        <v>0</v>
      </c>
      <c r="HE68" s="12">
        <f t="shared" si="410"/>
        <v>0</v>
      </c>
      <c r="HG68" s="16" t="s">
        <v>1303</v>
      </c>
      <c r="HH68">
        <f>_xlfn.XLOOKUP(HG68,'KPI Impacts'!$B$2:$H$2,'KPI Impacts'!$B68:$H68)</f>
        <v>0</v>
      </c>
      <c r="HI68" s="35" t="s">
        <v>1303</v>
      </c>
      <c r="HJ68">
        <f>_xlfn.XLOOKUP(HI68,'KPI Impacts'!$B$2:$H$2,'KPI Impacts'!$B68:$H68)</f>
        <v>0</v>
      </c>
      <c r="HM68" s="12">
        <f t="shared" si="411"/>
        <v>0</v>
      </c>
      <c r="HN68" s="12">
        <f t="shared" si="412"/>
        <v>0</v>
      </c>
      <c r="HO68" s="12">
        <f t="shared" si="413"/>
        <v>0</v>
      </c>
      <c r="HP68" s="12">
        <f t="shared" si="414"/>
        <v>0</v>
      </c>
      <c r="HQ68" s="12">
        <f t="shared" si="415"/>
        <v>0</v>
      </c>
      <c r="HR68" s="12">
        <f t="shared" si="416"/>
        <v>0</v>
      </c>
      <c r="HS68" s="12">
        <f t="shared" si="417"/>
        <v>0</v>
      </c>
      <c r="HT68" s="12">
        <f t="shared" si="418"/>
        <v>0</v>
      </c>
      <c r="HU68" s="12">
        <f t="shared" si="419"/>
        <v>0</v>
      </c>
      <c r="HW68" s="16" t="s">
        <v>1303</v>
      </c>
      <c r="HX68">
        <f>_xlfn.XLOOKUP(HW68,'KPI Impacts'!$B$2:$H$2,'KPI Impacts'!$B68:$H68)</f>
        <v>0</v>
      </c>
      <c r="HY68" s="35" t="s">
        <v>1303</v>
      </c>
      <c r="HZ68">
        <f>_xlfn.XLOOKUP(HY68,'KPI Impacts'!$B$2:$H$2,'KPI Impacts'!$B68:$H68)</f>
        <v>0</v>
      </c>
      <c r="IC68" s="12">
        <f t="shared" si="420"/>
        <v>0</v>
      </c>
      <c r="ID68" s="12">
        <f t="shared" si="421"/>
        <v>0</v>
      </c>
      <c r="IE68" s="12">
        <f t="shared" si="422"/>
        <v>0</v>
      </c>
      <c r="IF68" s="12">
        <f t="shared" si="423"/>
        <v>0</v>
      </c>
      <c r="IG68" s="12">
        <f t="shared" si="424"/>
        <v>0</v>
      </c>
      <c r="IH68" s="12">
        <f t="shared" si="425"/>
        <v>0</v>
      </c>
      <c r="II68" s="12">
        <f t="shared" si="426"/>
        <v>0</v>
      </c>
      <c r="IJ68" s="12">
        <f t="shared" si="427"/>
        <v>0</v>
      </c>
      <c r="IK68" s="12">
        <f t="shared" si="428"/>
        <v>0</v>
      </c>
      <c r="IM68" s="29" t="s">
        <v>1304</v>
      </c>
      <c r="IN68">
        <f>_xlfn.XLOOKUP(IM68,'KPI Impacts'!$B$2:$H$2,'KPI Impacts'!$B68:$H68)</f>
        <v>-1.6</v>
      </c>
      <c r="IO68" s="9" t="s">
        <v>1303</v>
      </c>
      <c r="IP68">
        <f>_xlfn.XLOOKUP(IO68,'KPI Impacts'!$B$2:$H$2,'KPI Impacts'!$B68:$H68)</f>
        <v>0</v>
      </c>
      <c r="IS68" s="12">
        <f t="shared" si="429"/>
        <v>0</v>
      </c>
      <c r="IT68" s="12">
        <f t="shared" si="430"/>
        <v>0</v>
      </c>
      <c r="IU68" s="12">
        <f t="shared" si="431"/>
        <v>0</v>
      </c>
      <c r="IV68" s="12">
        <f t="shared" si="432"/>
        <v>0</v>
      </c>
      <c r="IW68" s="12">
        <f t="shared" si="433"/>
        <v>0</v>
      </c>
      <c r="IX68" s="12">
        <f t="shared" si="434"/>
        <v>0</v>
      </c>
      <c r="IY68" s="12">
        <f t="shared" si="435"/>
        <v>0</v>
      </c>
      <c r="IZ68" s="12">
        <f t="shared" si="436"/>
        <v>0</v>
      </c>
      <c r="JA68" s="12">
        <f t="shared" si="437"/>
        <v>0</v>
      </c>
      <c r="JC68" s="16" t="s">
        <v>1303</v>
      </c>
      <c r="JD68">
        <f>_xlfn.XLOOKUP(JC68,'KPI Impacts'!$B$2:$H$2,'KPI Impacts'!$B68:$H68)</f>
        <v>0</v>
      </c>
      <c r="JE68" s="9" t="s">
        <v>1303</v>
      </c>
      <c r="JF68">
        <f>_xlfn.XLOOKUP(JE68,'KPI Impacts'!$B$2:$H$2,'KPI Impacts'!$B68:$H68)</f>
        <v>0</v>
      </c>
      <c r="JI68" s="12">
        <f t="shared" si="438"/>
        <v>0</v>
      </c>
      <c r="JJ68" s="12">
        <f t="shared" si="439"/>
        <v>0</v>
      </c>
      <c r="JK68" s="12">
        <f t="shared" si="440"/>
        <v>0</v>
      </c>
      <c r="JL68" s="12">
        <f t="shared" si="441"/>
        <v>0</v>
      </c>
      <c r="JM68" s="12">
        <f t="shared" si="442"/>
        <v>0</v>
      </c>
      <c r="JN68" s="12">
        <f t="shared" si="443"/>
        <v>0</v>
      </c>
      <c r="JO68" s="12">
        <f t="shared" si="444"/>
        <v>0</v>
      </c>
      <c r="JP68" s="12">
        <f t="shared" si="445"/>
        <v>0</v>
      </c>
      <c r="JQ68" s="12">
        <f t="shared" si="446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47"/>
        <v>0</v>
      </c>
      <c r="JZ68" s="12">
        <f t="shared" si="448"/>
        <v>0</v>
      </c>
      <c r="KA68" s="12">
        <f t="shared" si="449"/>
        <v>0</v>
      </c>
      <c r="KB68" s="12">
        <f t="shared" si="450"/>
        <v>0</v>
      </c>
      <c r="KC68" s="12">
        <f t="shared" si="451"/>
        <v>0</v>
      </c>
      <c r="KD68" s="12">
        <f t="shared" si="452"/>
        <v>0</v>
      </c>
      <c r="KE68" s="12">
        <f t="shared" si="453"/>
        <v>0</v>
      </c>
      <c r="KF68" s="12">
        <f t="shared" si="454"/>
        <v>0</v>
      </c>
      <c r="KG68" s="12">
        <f t="shared" si="455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56"/>
        <v>0</v>
      </c>
      <c r="KP68" s="12">
        <f t="shared" si="457"/>
        <v>0</v>
      </c>
      <c r="KQ68" s="12">
        <f t="shared" si="458"/>
        <v>0</v>
      </c>
      <c r="KR68" s="12">
        <f t="shared" si="459"/>
        <v>0</v>
      </c>
      <c r="KS68" s="12">
        <f t="shared" si="460"/>
        <v>0</v>
      </c>
      <c r="KT68" s="12">
        <f t="shared" si="461"/>
        <v>0</v>
      </c>
      <c r="KU68" s="12">
        <f t="shared" si="462"/>
        <v>0</v>
      </c>
      <c r="KV68" s="12">
        <f t="shared" si="463"/>
        <v>0</v>
      </c>
      <c r="KW68" s="12">
        <f t="shared" si="464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65"/>
        <v>0</v>
      </c>
      <c r="LF68" s="12">
        <f t="shared" si="466"/>
        <v>0</v>
      </c>
      <c r="LG68" s="12">
        <f t="shared" si="467"/>
        <v>0</v>
      </c>
      <c r="LH68" s="12">
        <f t="shared" si="468"/>
        <v>0</v>
      </c>
      <c r="LI68" s="12">
        <f t="shared" si="469"/>
        <v>0</v>
      </c>
      <c r="LJ68" s="12">
        <f t="shared" si="470"/>
        <v>0</v>
      </c>
      <c r="LK68" s="12">
        <f t="shared" si="471"/>
        <v>0</v>
      </c>
      <c r="LL68" s="12">
        <f t="shared" si="472"/>
        <v>0</v>
      </c>
      <c r="LM68" s="12">
        <f t="shared" si="473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74"/>
        <v>0</v>
      </c>
      <c r="LV68" s="12">
        <f t="shared" si="475"/>
        <v>0</v>
      </c>
      <c r="LW68" s="12">
        <f t="shared" si="476"/>
        <v>0</v>
      </c>
      <c r="LX68" s="12">
        <f t="shared" si="477"/>
        <v>0</v>
      </c>
      <c r="LY68" s="12">
        <f t="shared" si="478"/>
        <v>0</v>
      </c>
      <c r="LZ68" s="12">
        <f t="shared" si="479"/>
        <v>0</v>
      </c>
      <c r="MA68" s="12">
        <f t="shared" si="480"/>
        <v>0</v>
      </c>
      <c r="MB68" s="12">
        <f t="shared" si="481"/>
        <v>0</v>
      </c>
      <c r="MC68" s="12">
        <f t="shared" si="482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83"/>
        <v>0</v>
      </c>
      <c r="ML68" s="12">
        <f t="shared" si="484"/>
        <v>0</v>
      </c>
      <c r="MM68" s="12">
        <f t="shared" si="485"/>
        <v>0</v>
      </c>
      <c r="MN68" s="12">
        <f t="shared" si="486"/>
        <v>0</v>
      </c>
      <c r="MO68" s="12">
        <f t="shared" si="487"/>
        <v>0</v>
      </c>
      <c r="MP68" s="12">
        <f t="shared" si="488"/>
        <v>0</v>
      </c>
      <c r="MQ68" s="12">
        <f t="shared" si="489"/>
        <v>0</v>
      </c>
      <c r="MR68" s="12">
        <f t="shared" si="490"/>
        <v>0</v>
      </c>
      <c r="MS68" s="12">
        <f t="shared" si="491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2"/>
        <v>0</v>
      </c>
      <c r="NB68" s="12">
        <f t="shared" si="493"/>
        <v>0</v>
      </c>
      <c r="NC68" s="12">
        <f t="shared" si="494"/>
        <v>0</v>
      </c>
      <c r="ND68" s="12">
        <f t="shared" si="495"/>
        <v>0</v>
      </c>
      <c r="NE68" s="12">
        <f t="shared" si="496"/>
        <v>0</v>
      </c>
      <c r="NF68" s="12">
        <f t="shared" si="497"/>
        <v>0</v>
      </c>
      <c r="NG68" s="12">
        <f t="shared" si="498"/>
        <v>0</v>
      </c>
      <c r="NH68" s="12">
        <f t="shared" si="499"/>
        <v>0</v>
      </c>
      <c r="NI68" s="12">
        <f t="shared" si="500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1"/>
        <v>0</v>
      </c>
      <c r="NR68" s="12">
        <f t="shared" si="502"/>
        <v>0</v>
      </c>
      <c r="NS68" s="12">
        <f t="shared" si="503"/>
        <v>0</v>
      </c>
      <c r="NT68" s="12">
        <f t="shared" si="504"/>
        <v>0</v>
      </c>
      <c r="NU68" s="12">
        <f t="shared" si="505"/>
        <v>0</v>
      </c>
      <c r="NV68" s="12">
        <f t="shared" si="506"/>
        <v>0</v>
      </c>
      <c r="NW68" s="12">
        <f t="shared" si="507"/>
        <v>0</v>
      </c>
      <c r="NX68" s="12">
        <f t="shared" si="508"/>
        <v>0</v>
      </c>
      <c r="NY68" s="12">
        <f t="shared" si="509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0"/>
        <v>0</v>
      </c>
      <c r="OH68" s="12">
        <f t="shared" si="511"/>
        <v>0</v>
      </c>
      <c r="OI68" s="12">
        <f t="shared" si="512"/>
        <v>0</v>
      </c>
      <c r="OJ68" s="12">
        <f t="shared" si="513"/>
        <v>0</v>
      </c>
      <c r="OK68" s="12">
        <f t="shared" si="514"/>
        <v>0</v>
      </c>
      <c r="OL68" s="12">
        <f t="shared" si="515"/>
        <v>0</v>
      </c>
      <c r="OM68" s="12">
        <f t="shared" si="516"/>
        <v>0</v>
      </c>
      <c r="ON68" s="12">
        <f t="shared" si="517"/>
        <v>0</v>
      </c>
      <c r="OO68" s="12">
        <f t="shared" si="518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2"/>
        <v>0</v>
      </c>
      <c r="C69" s="12">
        <f t="shared" si="312"/>
        <v>0</v>
      </c>
      <c r="D69" s="12">
        <f t="shared" si="312"/>
        <v>0</v>
      </c>
      <c r="E69" s="12">
        <f t="shared" si="312"/>
        <v>0</v>
      </c>
      <c r="F69" s="12">
        <f t="shared" si="312"/>
        <v>0</v>
      </c>
      <c r="G69" s="12">
        <f t="shared" si="312"/>
        <v>0</v>
      </c>
      <c r="H69" s="12">
        <f t="shared" si="312"/>
        <v>0</v>
      </c>
      <c r="I69" s="12">
        <f t="shared" si="313"/>
        <v>0</v>
      </c>
      <c r="J69" s="12">
        <f t="shared" si="313"/>
        <v>0</v>
      </c>
      <c r="M69">
        <f t="shared" si="314"/>
        <v>0</v>
      </c>
      <c r="N69">
        <f t="shared" si="315"/>
        <v>0</v>
      </c>
      <c r="O69">
        <f t="shared" si="316"/>
        <v>0</v>
      </c>
      <c r="P69">
        <f t="shared" si="317"/>
        <v>0</v>
      </c>
      <c r="Q69">
        <f t="shared" si="318"/>
        <v>0</v>
      </c>
      <c r="R69">
        <f t="shared" si="319"/>
        <v>0</v>
      </c>
      <c r="S69">
        <f t="shared" si="320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1"/>
        <v>0</v>
      </c>
      <c r="BJ69" s="12">
        <f t="shared" si="322"/>
        <v>0</v>
      </c>
      <c r="BK69" s="12">
        <f t="shared" si="323"/>
        <v>0</v>
      </c>
      <c r="BL69" s="12">
        <f t="shared" si="324"/>
        <v>0</v>
      </c>
      <c r="BM69" s="12">
        <f t="shared" si="325"/>
        <v>0</v>
      </c>
      <c r="BN69" s="12">
        <f t="shared" si="326"/>
        <v>0</v>
      </c>
      <c r="BO69" s="12">
        <f t="shared" si="327"/>
        <v>0</v>
      </c>
      <c r="BP69" s="12">
        <f t="shared" si="328"/>
        <v>0</v>
      </c>
      <c r="BQ69" s="12">
        <f t="shared" si="329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330"/>
        <v>0</v>
      </c>
      <c r="BZ69" s="12">
        <f t="shared" si="331"/>
        <v>0</v>
      </c>
      <c r="CA69" s="12">
        <f t="shared" si="332"/>
        <v>0</v>
      </c>
      <c r="CB69" s="12">
        <f t="shared" si="333"/>
        <v>0</v>
      </c>
      <c r="CC69" s="12">
        <f t="shared" si="334"/>
        <v>0</v>
      </c>
      <c r="CD69" s="12">
        <f t="shared" si="335"/>
        <v>0</v>
      </c>
      <c r="CE69" s="12">
        <f t="shared" si="336"/>
        <v>0</v>
      </c>
      <c r="CF69" s="12">
        <f t="shared" si="337"/>
        <v>0</v>
      </c>
      <c r="CG69" s="12">
        <f t="shared" si="338"/>
        <v>0</v>
      </c>
      <c r="CI69" s="30" t="s">
        <v>1309</v>
      </c>
      <c r="CJ69">
        <f>_xlfn.XLOOKUP(CI69,'KPI Impacts'!$B$2:$H$2,'KPI Impacts'!$B69:$H69)</f>
        <v>4</v>
      </c>
      <c r="CK69" s="35" t="s">
        <v>1303</v>
      </c>
      <c r="CL69">
        <f>_xlfn.XLOOKUP(CK69,'KPI Impacts'!$B$2:$H$2,'KPI Impacts'!$B69:$H69)</f>
        <v>0</v>
      </c>
      <c r="CO69" s="12">
        <f t="shared" si="339"/>
        <v>0</v>
      </c>
      <c r="CP69" s="12">
        <f t="shared" si="340"/>
        <v>0</v>
      </c>
      <c r="CQ69" s="12">
        <f t="shared" si="341"/>
        <v>0</v>
      </c>
      <c r="CR69" s="12">
        <f t="shared" si="342"/>
        <v>0</v>
      </c>
      <c r="CS69" s="12">
        <f t="shared" si="343"/>
        <v>0</v>
      </c>
      <c r="CT69" s="12">
        <f t="shared" si="344"/>
        <v>0</v>
      </c>
      <c r="CU69" s="12">
        <f t="shared" si="345"/>
        <v>0</v>
      </c>
      <c r="CV69" s="12">
        <f t="shared" si="346"/>
        <v>0</v>
      </c>
      <c r="CW69" s="12">
        <f t="shared" si="347"/>
        <v>0</v>
      </c>
      <c r="CY69" s="30" t="s">
        <v>1309</v>
      </c>
      <c r="CZ69">
        <f>_xlfn.XLOOKUP(CY69,'KPI Impacts'!$B$2:$H$2,'KPI Impacts'!$B69:$H69)</f>
        <v>4</v>
      </c>
      <c r="DA69" s="30" t="s">
        <v>1309</v>
      </c>
      <c r="DB69">
        <f>_xlfn.XLOOKUP(DA69,'KPI Impacts'!$B$2:$H$2,'KPI Impacts'!$B69:$H69)</f>
        <v>4</v>
      </c>
      <c r="DE69" s="12">
        <f t="shared" si="348"/>
        <v>0</v>
      </c>
      <c r="DF69" s="12">
        <f t="shared" si="349"/>
        <v>0</v>
      </c>
      <c r="DG69" s="12">
        <f t="shared" si="350"/>
        <v>0</v>
      </c>
      <c r="DH69" s="12">
        <f t="shared" si="351"/>
        <v>0</v>
      </c>
      <c r="DI69" s="12">
        <f t="shared" si="352"/>
        <v>0</v>
      </c>
      <c r="DJ69" s="12">
        <f t="shared" si="353"/>
        <v>0</v>
      </c>
      <c r="DK69" s="12">
        <f t="shared" si="354"/>
        <v>0</v>
      </c>
      <c r="DL69" s="12">
        <f t="shared" si="355"/>
        <v>0</v>
      </c>
      <c r="DM69" s="12">
        <f t="shared" si="356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57"/>
        <v>0</v>
      </c>
      <c r="DV69" s="12">
        <f t="shared" si="358"/>
        <v>0</v>
      </c>
      <c r="DW69" s="12">
        <f t="shared" si="359"/>
        <v>0</v>
      </c>
      <c r="DX69" s="12">
        <f t="shared" si="360"/>
        <v>0</v>
      </c>
      <c r="DY69" s="12">
        <f t="shared" si="361"/>
        <v>0</v>
      </c>
      <c r="DZ69" s="12">
        <f t="shared" si="362"/>
        <v>0</v>
      </c>
      <c r="EA69" s="12">
        <f t="shared" si="363"/>
        <v>0</v>
      </c>
      <c r="EB69" s="12">
        <f t="shared" si="364"/>
        <v>0</v>
      </c>
      <c r="EC69" s="12">
        <f t="shared" si="365"/>
        <v>0</v>
      </c>
      <c r="EE69" s="16" t="s">
        <v>1303</v>
      </c>
      <c r="EF69">
        <f>_xlfn.XLOOKUP(EE69,'KPI Impacts'!$B$2:$H$2,'KPI Impacts'!$B69:$H69)</f>
        <v>0</v>
      </c>
      <c r="EG69" s="35" t="s">
        <v>1303</v>
      </c>
      <c r="EH69">
        <f>_xlfn.XLOOKUP(EG69,'KPI Impacts'!$B$2:$H$2,'KPI Impacts'!$B69:$H69)</f>
        <v>0</v>
      </c>
      <c r="EK69" s="12">
        <f t="shared" si="366"/>
        <v>0</v>
      </c>
      <c r="EL69" s="12">
        <f t="shared" si="367"/>
        <v>0</v>
      </c>
      <c r="EM69" s="12">
        <f t="shared" si="368"/>
        <v>0</v>
      </c>
      <c r="EN69" s="12">
        <f t="shared" si="369"/>
        <v>0</v>
      </c>
      <c r="EO69" s="12">
        <f t="shared" si="370"/>
        <v>0</v>
      </c>
      <c r="EP69" s="12">
        <f t="shared" si="371"/>
        <v>0</v>
      </c>
      <c r="EQ69" s="12">
        <f t="shared" si="372"/>
        <v>0</v>
      </c>
      <c r="ER69" s="12">
        <f t="shared" si="373"/>
        <v>0</v>
      </c>
      <c r="ES69" s="12">
        <f t="shared" si="374"/>
        <v>0</v>
      </c>
      <c r="EU69" s="30" t="s">
        <v>1309</v>
      </c>
      <c r="EV69">
        <f>_xlfn.XLOOKUP(EU69,'KPI Impacts'!$B$2:$H$2,'KPI Impacts'!$B69:$H69)</f>
        <v>4</v>
      </c>
      <c r="EW69" s="35" t="s">
        <v>1303</v>
      </c>
      <c r="EX69">
        <f>_xlfn.XLOOKUP(EW69,'KPI Impacts'!$B$2:$H$2,'KPI Impacts'!$B69:$H69)</f>
        <v>0</v>
      </c>
      <c r="FA69" s="12">
        <f t="shared" si="375"/>
        <v>0</v>
      </c>
      <c r="FB69" s="12">
        <f t="shared" si="376"/>
        <v>0</v>
      </c>
      <c r="FC69" s="12">
        <f t="shared" si="377"/>
        <v>0</v>
      </c>
      <c r="FD69" s="12">
        <f t="shared" si="378"/>
        <v>0</v>
      </c>
      <c r="FE69" s="12">
        <f t="shared" si="379"/>
        <v>0</v>
      </c>
      <c r="FF69" s="12">
        <f t="shared" si="380"/>
        <v>0</v>
      </c>
      <c r="FG69" s="12">
        <f t="shared" si="381"/>
        <v>0</v>
      </c>
      <c r="FH69" s="12">
        <f t="shared" si="382"/>
        <v>0</v>
      </c>
      <c r="FI69" s="12">
        <f t="shared" si="383"/>
        <v>0</v>
      </c>
      <c r="FK69" s="30" t="s">
        <v>1307</v>
      </c>
      <c r="FL69">
        <f>_xlfn.XLOOKUP(FK69,'KPI Impacts'!$B$2:$H$2,'KPI Impacts'!$B69:$H69)</f>
        <v>2</v>
      </c>
      <c r="FM69" s="35" t="s">
        <v>1303</v>
      </c>
      <c r="FN69">
        <f>_xlfn.XLOOKUP(FM69,'KPI Impacts'!$B$2:$H$2,'KPI Impacts'!$B69:$H69)</f>
        <v>0</v>
      </c>
      <c r="FQ69" s="12">
        <f t="shared" si="384"/>
        <v>0</v>
      </c>
      <c r="FR69" s="12">
        <f t="shared" si="385"/>
        <v>0</v>
      </c>
      <c r="FS69" s="12">
        <f t="shared" si="386"/>
        <v>0</v>
      </c>
      <c r="FT69" s="12">
        <f t="shared" si="387"/>
        <v>0</v>
      </c>
      <c r="FU69" s="12">
        <f t="shared" si="388"/>
        <v>0</v>
      </c>
      <c r="FV69" s="12">
        <f t="shared" si="389"/>
        <v>0</v>
      </c>
      <c r="FW69" s="12">
        <f t="shared" si="390"/>
        <v>0</v>
      </c>
      <c r="FX69" s="12">
        <f t="shared" si="391"/>
        <v>0</v>
      </c>
      <c r="FY69" s="12">
        <f t="shared" si="392"/>
        <v>0</v>
      </c>
      <c r="GA69" s="16" t="s">
        <v>1303</v>
      </c>
      <c r="GB69">
        <f>_xlfn.XLOOKUP(GA69,'KPI Impacts'!$B$2:$H$2,'KPI Impacts'!$B69:$H69)</f>
        <v>0</v>
      </c>
      <c r="GC69" s="35" t="s">
        <v>1303</v>
      </c>
      <c r="GD69">
        <f>_xlfn.XLOOKUP(GC69,'KPI Impacts'!$B$2:$H$2,'KPI Impacts'!$B69:$H69)</f>
        <v>0</v>
      </c>
      <c r="GG69" s="12">
        <f t="shared" si="393"/>
        <v>0</v>
      </c>
      <c r="GH69" s="12">
        <f t="shared" si="394"/>
        <v>0</v>
      </c>
      <c r="GI69" s="12">
        <f t="shared" si="395"/>
        <v>0</v>
      </c>
      <c r="GJ69" s="12">
        <f t="shared" si="396"/>
        <v>0</v>
      </c>
      <c r="GK69" s="12">
        <f t="shared" si="397"/>
        <v>0</v>
      </c>
      <c r="GL69" s="12">
        <f t="shared" si="398"/>
        <v>0</v>
      </c>
      <c r="GM69" s="12">
        <f t="shared" si="399"/>
        <v>0</v>
      </c>
      <c r="GN69" s="12">
        <f t="shared" si="400"/>
        <v>0</v>
      </c>
      <c r="GO69" s="12">
        <f t="shared" si="401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402"/>
        <v>0</v>
      </c>
      <c r="GX69" s="12">
        <f t="shared" si="403"/>
        <v>0</v>
      </c>
      <c r="GY69" s="12">
        <f t="shared" si="404"/>
        <v>0</v>
      </c>
      <c r="GZ69" s="12">
        <f t="shared" si="405"/>
        <v>0</v>
      </c>
      <c r="HA69" s="12">
        <f t="shared" si="406"/>
        <v>0</v>
      </c>
      <c r="HB69" s="12">
        <f t="shared" si="407"/>
        <v>0</v>
      </c>
      <c r="HC69" s="12">
        <f t="shared" si="408"/>
        <v>0</v>
      </c>
      <c r="HD69" s="12">
        <f t="shared" si="409"/>
        <v>0</v>
      </c>
      <c r="HE69" s="12">
        <f t="shared" si="410"/>
        <v>0</v>
      </c>
      <c r="HG69" s="30" t="s">
        <v>1307</v>
      </c>
      <c r="HH69">
        <f>_xlfn.XLOOKUP(HG69,'KPI Impacts'!$B$2:$H$2,'KPI Impacts'!$B69:$H69)</f>
        <v>2</v>
      </c>
      <c r="HI69" s="35" t="s">
        <v>1303</v>
      </c>
      <c r="HJ69">
        <f>_xlfn.XLOOKUP(HI69,'KPI Impacts'!$B$2:$H$2,'KPI Impacts'!$B69:$H69)</f>
        <v>0</v>
      </c>
      <c r="HM69" s="12">
        <f t="shared" si="411"/>
        <v>0</v>
      </c>
      <c r="HN69" s="12">
        <f t="shared" si="412"/>
        <v>0</v>
      </c>
      <c r="HO69" s="12">
        <f t="shared" si="413"/>
        <v>0</v>
      </c>
      <c r="HP69" s="12">
        <f t="shared" si="414"/>
        <v>0</v>
      </c>
      <c r="HQ69" s="12">
        <f t="shared" si="415"/>
        <v>0</v>
      </c>
      <c r="HR69" s="12">
        <f t="shared" si="416"/>
        <v>0</v>
      </c>
      <c r="HS69" s="12">
        <f t="shared" si="417"/>
        <v>0</v>
      </c>
      <c r="HT69" s="12">
        <f t="shared" si="418"/>
        <v>0</v>
      </c>
      <c r="HU69" s="12">
        <f t="shared" si="419"/>
        <v>0</v>
      </c>
      <c r="HW69" s="30" t="s">
        <v>1307</v>
      </c>
      <c r="HX69">
        <f>_xlfn.XLOOKUP(HW69,'KPI Impacts'!$B$2:$H$2,'KPI Impacts'!$B69:$H69)</f>
        <v>2</v>
      </c>
      <c r="HY69" s="35" t="s">
        <v>1303</v>
      </c>
      <c r="HZ69">
        <f>_xlfn.XLOOKUP(HY69,'KPI Impacts'!$B$2:$H$2,'KPI Impacts'!$B69:$H69)</f>
        <v>0</v>
      </c>
      <c r="IC69" s="12">
        <f t="shared" si="420"/>
        <v>0</v>
      </c>
      <c r="ID69" s="12">
        <f t="shared" si="421"/>
        <v>0</v>
      </c>
      <c r="IE69" s="12">
        <f t="shared" si="422"/>
        <v>0</v>
      </c>
      <c r="IF69" s="12">
        <f t="shared" si="423"/>
        <v>0</v>
      </c>
      <c r="IG69" s="12">
        <f t="shared" si="424"/>
        <v>0</v>
      </c>
      <c r="IH69" s="12">
        <f t="shared" si="425"/>
        <v>0</v>
      </c>
      <c r="II69" s="12">
        <f t="shared" si="426"/>
        <v>0</v>
      </c>
      <c r="IJ69" s="12">
        <f t="shared" si="427"/>
        <v>0</v>
      </c>
      <c r="IK69" s="12">
        <f t="shared" si="428"/>
        <v>0</v>
      </c>
      <c r="IM69" s="29" t="s">
        <v>1304</v>
      </c>
      <c r="IN69">
        <f>_xlfn.XLOOKUP(IM69,'KPI Impacts'!$B$2:$H$2,'KPI Impacts'!$B69:$H69)</f>
        <v>-1.6</v>
      </c>
      <c r="IO69" s="9" t="s">
        <v>1303</v>
      </c>
      <c r="IP69">
        <f>_xlfn.XLOOKUP(IO69,'KPI Impacts'!$B$2:$H$2,'KPI Impacts'!$B69:$H69)</f>
        <v>0</v>
      </c>
      <c r="IS69" s="12">
        <f t="shared" si="429"/>
        <v>0</v>
      </c>
      <c r="IT69" s="12">
        <f t="shared" si="430"/>
        <v>0</v>
      </c>
      <c r="IU69" s="12">
        <f t="shared" si="431"/>
        <v>0</v>
      </c>
      <c r="IV69" s="12">
        <f t="shared" si="432"/>
        <v>0</v>
      </c>
      <c r="IW69" s="12">
        <f t="shared" si="433"/>
        <v>0</v>
      </c>
      <c r="IX69" s="12">
        <f t="shared" si="434"/>
        <v>0</v>
      </c>
      <c r="IY69" s="12">
        <f t="shared" si="435"/>
        <v>0</v>
      </c>
      <c r="IZ69" s="12">
        <f t="shared" si="436"/>
        <v>0</v>
      </c>
      <c r="JA69" s="12">
        <f t="shared" si="437"/>
        <v>0</v>
      </c>
      <c r="JC69" s="29" t="s">
        <v>1304</v>
      </c>
      <c r="JD69">
        <f>_xlfn.XLOOKUP(JC69,'KPI Impacts'!$B$2:$H$2,'KPI Impacts'!$B69:$H69)</f>
        <v>-1.6</v>
      </c>
      <c r="JE69" s="9" t="s">
        <v>1303</v>
      </c>
      <c r="JF69">
        <f>_xlfn.XLOOKUP(JE69,'KPI Impacts'!$B$2:$H$2,'KPI Impacts'!$B69:$H69)</f>
        <v>0</v>
      </c>
      <c r="JI69" s="12">
        <f t="shared" si="438"/>
        <v>0</v>
      </c>
      <c r="JJ69" s="12">
        <f t="shared" si="439"/>
        <v>0</v>
      </c>
      <c r="JK69" s="12">
        <f t="shared" si="440"/>
        <v>0</v>
      </c>
      <c r="JL69" s="12">
        <f t="shared" si="441"/>
        <v>0</v>
      </c>
      <c r="JM69" s="12">
        <f t="shared" si="442"/>
        <v>0</v>
      </c>
      <c r="JN69" s="12">
        <f t="shared" si="443"/>
        <v>0</v>
      </c>
      <c r="JO69" s="12">
        <f t="shared" si="444"/>
        <v>0</v>
      </c>
      <c r="JP69" s="12">
        <f t="shared" si="445"/>
        <v>0</v>
      </c>
      <c r="JQ69" s="12">
        <f t="shared" si="446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47"/>
        <v>0</v>
      </c>
      <c r="JZ69" s="12">
        <f t="shared" si="448"/>
        <v>0</v>
      </c>
      <c r="KA69" s="12">
        <f t="shared" si="449"/>
        <v>0</v>
      </c>
      <c r="KB69" s="12">
        <f t="shared" si="450"/>
        <v>0</v>
      </c>
      <c r="KC69" s="12">
        <f t="shared" si="451"/>
        <v>0</v>
      </c>
      <c r="KD69" s="12">
        <f t="shared" si="452"/>
        <v>0</v>
      </c>
      <c r="KE69" s="12">
        <f t="shared" si="453"/>
        <v>0</v>
      </c>
      <c r="KF69" s="12">
        <f t="shared" si="454"/>
        <v>0</v>
      </c>
      <c r="KG69" s="12">
        <f t="shared" si="455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56"/>
        <v>0</v>
      </c>
      <c r="KP69" s="12">
        <f t="shared" si="457"/>
        <v>0</v>
      </c>
      <c r="KQ69" s="12">
        <f t="shared" si="458"/>
        <v>0</v>
      </c>
      <c r="KR69" s="12">
        <f t="shared" si="459"/>
        <v>0</v>
      </c>
      <c r="KS69" s="12">
        <f t="shared" si="460"/>
        <v>0</v>
      </c>
      <c r="KT69" s="12">
        <f t="shared" si="461"/>
        <v>0</v>
      </c>
      <c r="KU69" s="12">
        <f t="shared" si="462"/>
        <v>0</v>
      </c>
      <c r="KV69" s="12">
        <f t="shared" si="463"/>
        <v>0</v>
      </c>
      <c r="KW69" s="12">
        <f t="shared" si="464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65"/>
        <v>0</v>
      </c>
      <c r="LF69" s="12">
        <f t="shared" si="466"/>
        <v>0</v>
      </c>
      <c r="LG69" s="12">
        <f t="shared" si="467"/>
        <v>0</v>
      </c>
      <c r="LH69" s="12">
        <f t="shared" si="468"/>
        <v>0</v>
      </c>
      <c r="LI69" s="12">
        <f t="shared" si="469"/>
        <v>0</v>
      </c>
      <c r="LJ69" s="12">
        <f t="shared" si="470"/>
        <v>0</v>
      </c>
      <c r="LK69" s="12">
        <f t="shared" si="471"/>
        <v>0</v>
      </c>
      <c r="LL69" s="12">
        <f t="shared" si="472"/>
        <v>0</v>
      </c>
      <c r="LM69" s="12">
        <f t="shared" si="473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74"/>
        <v>0</v>
      </c>
      <c r="LV69" s="12">
        <f t="shared" si="475"/>
        <v>0</v>
      </c>
      <c r="LW69" s="12">
        <f t="shared" si="476"/>
        <v>0</v>
      </c>
      <c r="LX69" s="12">
        <f t="shared" si="477"/>
        <v>0</v>
      </c>
      <c r="LY69" s="12">
        <f t="shared" si="478"/>
        <v>0</v>
      </c>
      <c r="LZ69" s="12">
        <f t="shared" si="479"/>
        <v>0</v>
      </c>
      <c r="MA69" s="12">
        <f t="shared" si="480"/>
        <v>0</v>
      </c>
      <c r="MB69" s="12">
        <f t="shared" si="481"/>
        <v>0</v>
      </c>
      <c r="MC69" s="12">
        <f t="shared" si="482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83"/>
        <v>0</v>
      </c>
      <c r="ML69" s="12">
        <f t="shared" si="484"/>
        <v>0</v>
      </c>
      <c r="MM69" s="12">
        <f t="shared" si="485"/>
        <v>0</v>
      </c>
      <c r="MN69" s="12">
        <f t="shared" si="486"/>
        <v>0</v>
      </c>
      <c r="MO69" s="12">
        <f t="shared" si="487"/>
        <v>0</v>
      </c>
      <c r="MP69" s="12">
        <f t="shared" si="488"/>
        <v>0</v>
      </c>
      <c r="MQ69" s="12">
        <f t="shared" si="489"/>
        <v>0</v>
      </c>
      <c r="MR69" s="12">
        <f t="shared" si="490"/>
        <v>0</v>
      </c>
      <c r="MS69" s="12">
        <f t="shared" si="491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2"/>
        <v>0</v>
      </c>
      <c r="NB69" s="12">
        <f t="shared" si="493"/>
        <v>0</v>
      </c>
      <c r="NC69" s="12">
        <f t="shared" si="494"/>
        <v>0</v>
      </c>
      <c r="ND69" s="12">
        <f t="shared" si="495"/>
        <v>0</v>
      </c>
      <c r="NE69" s="12">
        <f t="shared" si="496"/>
        <v>0</v>
      </c>
      <c r="NF69" s="12">
        <f t="shared" si="497"/>
        <v>0</v>
      </c>
      <c r="NG69" s="12">
        <f t="shared" si="498"/>
        <v>0</v>
      </c>
      <c r="NH69" s="12">
        <f t="shared" si="499"/>
        <v>0</v>
      </c>
      <c r="NI69" s="12">
        <f t="shared" si="500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1"/>
        <v>0</v>
      </c>
      <c r="NR69" s="12">
        <f t="shared" si="502"/>
        <v>0</v>
      </c>
      <c r="NS69" s="12">
        <f t="shared" si="503"/>
        <v>0</v>
      </c>
      <c r="NT69" s="12">
        <f t="shared" si="504"/>
        <v>0</v>
      </c>
      <c r="NU69" s="12">
        <f t="shared" si="505"/>
        <v>0</v>
      </c>
      <c r="NV69" s="12">
        <f t="shared" si="506"/>
        <v>0</v>
      </c>
      <c r="NW69" s="12">
        <f t="shared" si="507"/>
        <v>0</v>
      </c>
      <c r="NX69" s="12">
        <f t="shared" si="508"/>
        <v>0</v>
      </c>
      <c r="NY69" s="12">
        <f t="shared" si="509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0"/>
        <v>0</v>
      </c>
      <c r="OH69" s="12">
        <f t="shared" si="511"/>
        <v>0</v>
      </c>
      <c r="OI69" s="12">
        <f t="shared" si="512"/>
        <v>0</v>
      </c>
      <c r="OJ69" s="12">
        <f t="shared" si="513"/>
        <v>0</v>
      </c>
      <c r="OK69" s="12">
        <f t="shared" si="514"/>
        <v>0</v>
      </c>
      <c r="OL69" s="12">
        <f t="shared" si="515"/>
        <v>0</v>
      </c>
      <c r="OM69" s="12">
        <f t="shared" si="516"/>
        <v>0</v>
      </c>
      <c r="ON69" s="12">
        <f t="shared" si="517"/>
        <v>0</v>
      </c>
      <c r="OO69" s="12">
        <f t="shared" si="518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35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16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35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35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35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35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35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C70" s="16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35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16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35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35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35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35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35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C71" s="16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35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16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35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35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35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35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35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C72" s="16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19">M73+Y73+AQ73+BI73+BY73+CO73+DE73+DU73+EK73+FA73+FQ73+GG73+GW73+HM73+IC73+IS73+JI73+JY73+KO73+LE73+LU73+MK73+NA73+NQ73+OG73</f>
        <v>0</v>
      </c>
      <c r="C73" s="12">
        <f t="shared" si="519"/>
        <v>0</v>
      </c>
      <c r="D73" s="12">
        <f t="shared" si="519"/>
        <v>0</v>
      </c>
      <c r="E73" s="12">
        <f t="shared" si="519"/>
        <v>0</v>
      </c>
      <c r="F73" s="12">
        <f t="shared" si="519"/>
        <v>0</v>
      </c>
      <c r="G73" s="12">
        <f t="shared" si="519"/>
        <v>0</v>
      </c>
      <c r="H73" s="12">
        <f t="shared" si="519"/>
        <v>0</v>
      </c>
      <c r="I73" s="12">
        <f t="shared" ref="I73:J76" si="520">AF73+AX73+BP73+CF73+CV73+DL73+EB73+ER73+FH73+FX73+GN73+HD73+HT73+IJ73+IZ73+JP73+KF73+KV73+LL73+MB73+MR73+NH73+NX73+ON73</f>
        <v>0</v>
      </c>
      <c r="J73" s="12">
        <f t="shared" si="520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16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35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9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s="16" t="s">
        <v>1303</v>
      </c>
      <c r="JD73">
        <f>_xlfn.XLOOKUP(JC73,'KPI Impacts'!$B$2:$H$2,'KPI Impacts'!$B73:$H73)</f>
        <v>0</v>
      </c>
      <c r="JE73" s="9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19"/>
        <v>0</v>
      </c>
      <c r="C74" s="12">
        <f t="shared" si="519"/>
        <v>0</v>
      </c>
      <c r="D74" s="12">
        <f t="shared" si="519"/>
        <v>0</v>
      </c>
      <c r="E74" s="12">
        <f t="shared" si="519"/>
        <v>0</v>
      </c>
      <c r="F74" s="12">
        <f t="shared" si="519"/>
        <v>0</v>
      </c>
      <c r="G74" s="12">
        <f t="shared" si="519"/>
        <v>0</v>
      </c>
      <c r="H74" s="12">
        <f t="shared" si="519"/>
        <v>0</v>
      </c>
      <c r="I74" s="12">
        <f t="shared" si="520"/>
        <v>0</v>
      </c>
      <c r="J74" s="12">
        <f t="shared" si="520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16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35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9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s="16" t="s">
        <v>1303</v>
      </c>
      <c r="JD74">
        <f>_xlfn.XLOOKUP(JC74,'KPI Impacts'!$B$2:$H$2,'KPI Impacts'!$B74:$H74)</f>
        <v>0</v>
      </c>
      <c r="JE74" s="9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19"/>
        <v>0</v>
      </c>
      <c r="C75" s="12">
        <f t="shared" si="519"/>
        <v>0</v>
      </c>
      <c r="D75" s="12">
        <f t="shared" si="519"/>
        <v>0</v>
      </c>
      <c r="E75" s="12">
        <f t="shared" si="519"/>
        <v>0</v>
      </c>
      <c r="F75" s="12">
        <f t="shared" si="519"/>
        <v>0</v>
      </c>
      <c r="G75" s="12">
        <f t="shared" si="519"/>
        <v>0</v>
      </c>
      <c r="H75" s="12">
        <f t="shared" si="519"/>
        <v>0</v>
      </c>
      <c r="I75" s="12">
        <f t="shared" si="520"/>
        <v>0</v>
      </c>
      <c r="J75" s="12">
        <f t="shared" si="520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16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5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9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s="16" t="s">
        <v>1303</v>
      </c>
      <c r="JD75">
        <f>_xlfn.XLOOKUP(JC75,'KPI Impacts'!$B$2:$H$2,'KPI Impacts'!$B75:$H75)</f>
        <v>0</v>
      </c>
      <c r="JE75" s="9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19"/>
        <v>0</v>
      </c>
      <c r="C76" s="12">
        <f t="shared" si="519"/>
        <v>0</v>
      </c>
      <c r="D76" s="12">
        <f t="shared" si="519"/>
        <v>0</v>
      </c>
      <c r="E76" s="12">
        <f t="shared" si="519"/>
        <v>0</v>
      </c>
      <c r="F76" s="12">
        <f t="shared" si="519"/>
        <v>0</v>
      </c>
      <c r="G76" s="12">
        <f t="shared" si="519"/>
        <v>0</v>
      </c>
      <c r="H76" s="12">
        <f t="shared" si="519"/>
        <v>0</v>
      </c>
      <c r="I76" s="12">
        <f t="shared" si="520"/>
        <v>0</v>
      </c>
      <c r="J76" s="12">
        <f t="shared" si="520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16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35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9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s="16" t="s">
        <v>1303</v>
      </c>
      <c r="JD76">
        <f>_xlfn.XLOOKUP(JC76,'KPI Impacts'!$B$2:$H$2,'KPI Impacts'!$B76:$H76)</f>
        <v>0</v>
      </c>
      <c r="JE76" s="9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35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16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35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35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35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35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35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C77" s="16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35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16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35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35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35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35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35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C78" s="16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35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16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35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35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35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35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35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C79" s="16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35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16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35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35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35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35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35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C80" s="16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35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16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35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35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35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35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35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C81" s="16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35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16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35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35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35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35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35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C82" s="16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35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16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35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35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35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35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35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C83" s="16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1">M84+Y84+AQ84+BI84+BY84+CO84+DE84+DU84+EK84+FA84+FQ84+GG84+GW84+HM84+IC84+IS84+JI84+JY84+KO84+LE84+LU84+MK84+NA84+NQ84+OG84</f>
        <v>0</v>
      </c>
      <c r="C84" s="12">
        <f t="shared" si="521"/>
        <v>0</v>
      </c>
      <c r="D84" s="12">
        <f t="shared" si="521"/>
        <v>0</v>
      </c>
      <c r="E84" s="12">
        <f t="shared" si="521"/>
        <v>0</v>
      </c>
      <c r="F84" s="12">
        <f t="shared" si="521"/>
        <v>0</v>
      </c>
      <c r="G84" s="12">
        <f t="shared" si="521"/>
        <v>0</v>
      </c>
      <c r="H84" s="12">
        <f t="shared" si="521"/>
        <v>0</v>
      </c>
      <c r="I84" s="12">
        <f t="shared" ref="I84:J84" si="522">AF84+AX84+BP84+CF84+CV84+DL84+EB84+ER84+FH84+FX84+GN84+HD84+HT84+IJ84+IZ84+JP84+KF84+KV84+LL84+MB84+MR84+NH84+NX84+ON84</f>
        <v>0</v>
      </c>
      <c r="J84" s="12">
        <f t="shared" si="522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1309</v>
      </c>
      <c r="V84">
        <f>_xlfn.XLOOKUP(U84,'KPI Impacts'!$B$2:$H$2,'KPI Impacts'!$B84:$H84)</f>
        <v>2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1307</v>
      </c>
      <c r="AJ84">
        <f>_xlfn.XLOOKUP(AI84,'KPI Impacts'!$K$2:$Q$2,'KPI Impacts'!$K84:$Q84)</f>
        <v>0.6</v>
      </c>
      <c r="AK84" t="s">
        <v>1309</v>
      </c>
      <c r="AL84">
        <f>_xlfn.XLOOKUP(AK84,'KPI Impacts'!$K$2:$Q$2,'KPI Impacts'!$K84:$Q84)</f>
        <v>1.2</v>
      </c>
      <c r="AM84" t="s">
        <v>1308</v>
      </c>
      <c r="AN84">
        <f>_xlfn.XLOOKUP(AM84,'KPI Impacts'!$K$2:$Q$2,'KPI Impacts'!$K84:$Q84)</f>
        <v>2.4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1307</v>
      </c>
      <c r="BB84">
        <f>_xlfn.XLOOKUP(BA84,'KPI Impacts'!$K$2:$Q$2,'KPI Impacts'!$K84:$Q84)</f>
        <v>0.6</v>
      </c>
      <c r="BC84" t="s">
        <v>1309</v>
      </c>
      <c r="BD84">
        <f>_xlfn.XLOOKUP(BC84,'KPI Impacts'!$K$2:$Q$2,'KPI Impacts'!$K84:$Q84)</f>
        <v>1.2</v>
      </c>
      <c r="BE84" t="s">
        <v>1308</v>
      </c>
      <c r="BF84">
        <f>_xlfn.XLOOKUP(BE84,'KPI Impacts'!$K$2:$Q$2,'KPI Impacts'!$K84:$Q84)</f>
        <v>2.4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30" t="s">
        <v>1307</v>
      </c>
      <c r="BT84">
        <f>_xlfn.XLOOKUP(BS84,'KPI Impacts'!$B$2:$H$2,'KPI Impacts'!$B84:$H84)</f>
        <v>1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30" t="s">
        <v>1309</v>
      </c>
      <c r="CJ84">
        <f>_xlfn.XLOOKUP(CI84,'KPI Impacts'!$B$2:$H$2,'KPI Impacts'!$B84:$H84)</f>
        <v>2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30" t="s">
        <v>1307</v>
      </c>
      <c r="CZ84">
        <f>_xlfn.XLOOKUP(CY84,'KPI Impacts'!$B$2:$H$2,'KPI Impacts'!$B84:$H84)</f>
        <v>1</v>
      </c>
      <c r="DA84" s="30" t="s">
        <v>1309</v>
      </c>
      <c r="DB84">
        <f>_xlfn.XLOOKUP(DA84,'KPI Impacts'!$B$2:$H$2,'KPI Impacts'!$B84:$H84)</f>
        <v>2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30" t="s">
        <v>1307</v>
      </c>
      <c r="DP84">
        <f>_xlfn.XLOOKUP(DO84,'KPI Impacts'!$B$2:$H$2,'KPI Impacts'!$B84:$H84)</f>
        <v>1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30" t="s">
        <v>1309</v>
      </c>
      <c r="GB84">
        <f>_xlfn.XLOOKUP(GA84,'KPI Impacts'!$B$2:$H$2,'KPI Impacts'!$B84:$H84)</f>
        <v>2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30" t="s">
        <v>1307</v>
      </c>
      <c r="GR84">
        <f>_xlfn.XLOOKUP(GQ84,'KPI Impacts'!$B$2:$H$2,'KPI Impacts'!$B84:$H84)</f>
        <v>1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30" t="s">
        <v>1307</v>
      </c>
      <c r="HH84">
        <f>_xlfn.XLOOKUP(HG84,'KPI Impacts'!$B$2:$H$2,'KPI Impacts'!$B84:$H84)</f>
        <v>1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30" t="s">
        <v>1308</v>
      </c>
      <c r="IN84">
        <f>_xlfn.XLOOKUP(IM84,'KPI Impacts'!$B$2:$H$2,'KPI Impacts'!$B84:$H84)</f>
        <v>4</v>
      </c>
      <c r="IO84" s="9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s="16" t="s">
        <v>1303</v>
      </c>
      <c r="JD84">
        <f>_xlfn.XLOOKUP(JC84,'KPI Impacts'!$B$2:$H$2,'KPI Impacts'!$B84:$H84)</f>
        <v>0</v>
      </c>
      <c r="JE84" s="9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1"/>
        <v>0</v>
      </c>
      <c r="C85" s="12">
        <f t="shared" si="521"/>
        <v>0</v>
      </c>
      <c r="D85" s="12">
        <f t="shared" si="521"/>
        <v>0</v>
      </c>
      <c r="E85" s="12">
        <f t="shared" si="521"/>
        <v>0</v>
      </c>
      <c r="F85" s="12">
        <f t="shared" si="521"/>
        <v>0</v>
      </c>
      <c r="G85" s="12">
        <f t="shared" si="521"/>
        <v>0</v>
      </c>
      <c r="H85" s="12">
        <f t="shared" si="521"/>
        <v>0</v>
      </c>
      <c r="I85" s="12">
        <f t="shared" ref="I85:J86" si="523">AF85+AX85+BP85+CF85+CV85+DL85+EB85+ER85+FH85+FX85+GN85+HD85+HT85+IJ85+IZ85+JP85+KF85+KV85+LL85+MB85+MR85+NH85+NX85+ON85</f>
        <v>0</v>
      </c>
      <c r="J85" s="12">
        <f t="shared" si="523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1309</v>
      </c>
      <c r="V85">
        <f>_xlfn.XLOOKUP(U85,'KPI Impacts'!$B$2:$H$2,'KPI Impacts'!$B85:$H85)</f>
        <v>4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1307</v>
      </c>
      <c r="AJ85">
        <f>_xlfn.XLOOKUP(AI85,'KPI Impacts'!$K$2:$Q$2,'KPI Impacts'!$K85:$Q85)</f>
        <v>0.44999999999999996</v>
      </c>
      <c r="AK85" t="s">
        <v>1309</v>
      </c>
      <c r="AL85">
        <f>_xlfn.XLOOKUP(AK85,'KPI Impacts'!$K$2:$Q$2,'KPI Impacts'!$K85:$Q85)</f>
        <v>0.75</v>
      </c>
      <c r="AM85" t="s">
        <v>1308</v>
      </c>
      <c r="AN85">
        <f>_xlfn.XLOOKUP(AM85,'KPI Impacts'!$K$2:$Q$2,'KPI Impacts'!$K85:$Q85)</f>
        <v>0.89999999999999991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1307</v>
      </c>
      <c r="BB85">
        <f>_xlfn.XLOOKUP(BA85,'KPI Impacts'!$K$2:$Q$2,'KPI Impacts'!$K85:$Q85)</f>
        <v>0.44999999999999996</v>
      </c>
      <c r="BC85" t="s">
        <v>1309</v>
      </c>
      <c r="BD85">
        <f>_xlfn.XLOOKUP(BC85,'KPI Impacts'!$K$2:$Q$2,'KPI Impacts'!$K85:$Q85)</f>
        <v>0.75</v>
      </c>
      <c r="BE85" t="s">
        <v>1308</v>
      </c>
      <c r="BF85">
        <f>_xlfn.XLOOKUP(BE85,'KPI Impacts'!$K$2:$Q$2,'KPI Impacts'!$K85:$Q85)</f>
        <v>0.89999999999999991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30" t="s">
        <v>1309</v>
      </c>
      <c r="BT85">
        <f>_xlfn.XLOOKUP(BS85,'KPI Impacts'!$B$2:$H$2,'KPI Impacts'!$B85:$H85)</f>
        <v>4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0" t="s">
        <v>1307</v>
      </c>
      <c r="DB85">
        <f>_xlfn.XLOOKUP(DA85,'KPI Impacts'!$B$2:$H$2,'KPI Impacts'!$B85:$H85)</f>
        <v>2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30" t="s">
        <v>1307</v>
      </c>
      <c r="DP85">
        <f>_xlfn.XLOOKUP(DO85,'KPI Impacts'!$B$2:$H$2,'KPI Impacts'!$B85:$H85)</f>
        <v>2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30" t="s">
        <v>1307</v>
      </c>
      <c r="GR85">
        <f>_xlfn.XLOOKUP(GQ85,'KPI Impacts'!$B$2:$H$2,'KPI Impacts'!$B85:$H85)</f>
        <v>2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30" t="s">
        <v>1307</v>
      </c>
      <c r="HH85">
        <f>_xlfn.XLOOKUP(HG85,'KPI Impacts'!$B$2:$H$2,'KPI Impacts'!$B85:$H85)</f>
        <v>2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30" t="s">
        <v>1307</v>
      </c>
      <c r="IN85">
        <f>_xlfn.XLOOKUP(IM85,'KPI Impacts'!$B$2:$H$2,'KPI Impacts'!$B85:$H85)</f>
        <v>2</v>
      </c>
      <c r="IO85" s="9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s="16" t="s">
        <v>1303</v>
      </c>
      <c r="JD85">
        <f>_xlfn.XLOOKUP(JC85,'KPI Impacts'!$B$2:$H$2,'KPI Impacts'!$B85:$H85)</f>
        <v>0</v>
      </c>
      <c r="JE85" s="9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1"/>
        <v>0</v>
      </c>
      <c r="C86" s="12">
        <f t="shared" si="521"/>
        <v>0</v>
      </c>
      <c r="D86" s="12">
        <f t="shared" si="521"/>
        <v>0</v>
      </c>
      <c r="E86" s="12">
        <f t="shared" si="521"/>
        <v>0</v>
      </c>
      <c r="F86" s="12">
        <f t="shared" si="521"/>
        <v>0</v>
      </c>
      <c r="G86" s="12">
        <f t="shared" si="521"/>
        <v>0</v>
      </c>
      <c r="H86" s="12">
        <f t="shared" si="521"/>
        <v>0</v>
      </c>
      <c r="I86" s="12">
        <f t="shared" si="523"/>
        <v>0</v>
      </c>
      <c r="J86" s="12">
        <f t="shared" si="523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1307</v>
      </c>
      <c r="V86">
        <f>_xlfn.XLOOKUP(U86,'KPI Impacts'!$B$2:$H$2,'KPI Impacts'!$B86:$H86)</f>
        <v>2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1307</v>
      </c>
      <c r="AJ86">
        <f>_xlfn.XLOOKUP(AI86,'KPI Impacts'!$K$2:$Q$2,'KPI Impacts'!$K86:$Q86)</f>
        <v>0.44999999999999996</v>
      </c>
      <c r="AK86" t="s">
        <v>1309</v>
      </c>
      <c r="AL86">
        <f>_xlfn.XLOOKUP(AK86,'KPI Impacts'!$K$2:$Q$2,'KPI Impacts'!$K86:$Q86)</f>
        <v>0.75</v>
      </c>
      <c r="AM86" t="s">
        <v>1308</v>
      </c>
      <c r="AN86">
        <f>_xlfn.XLOOKUP(AM86,'KPI Impacts'!$K$2:$Q$2,'KPI Impacts'!$K86:$Q86)</f>
        <v>0.89999999999999991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1307</v>
      </c>
      <c r="BB86">
        <f>_xlfn.XLOOKUP(BA86,'KPI Impacts'!$K$2:$Q$2,'KPI Impacts'!$K86:$Q86)</f>
        <v>0.44999999999999996</v>
      </c>
      <c r="BC86" t="s">
        <v>1309</v>
      </c>
      <c r="BD86">
        <f>_xlfn.XLOOKUP(BC86,'KPI Impacts'!$K$2:$Q$2,'KPI Impacts'!$K86:$Q86)</f>
        <v>0.75</v>
      </c>
      <c r="BE86" t="s">
        <v>1308</v>
      </c>
      <c r="BF86">
        <f>_xlfn.XLOOKUP(BE86,'KPI Impacts'!$K$2:$Q$2,'KPI Impacts'!$K86:$Q86)</f>
        <v>0.89999999999999991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30" t="s">
        <v>1307</v>
      </c>
      <c r="BT86">
        <f>_xlfn.XLOOKUP(BS86,'KPI Impacts'!$B$2:$H$2,'KPI Impacts'!$B86:$H86)</f>
        <v>2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30" t="s">
        <v>1307</v>
      </c>
      <c r="CJ86">
        <f>_xlfn.XLOOKUP(CI86,'KPI Impacts'!$B$2:$H$2,'KPI Impacts'!$B86:$H86)</f>
        <v>2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29" t="s">
        <v>1306</v>
      </c>
      <c r="CZ86">
        <f>_xlfn.XLOOKUP(CY86,'KPI Impacts'!$B$2:$H$2,'KPI Impacts'!$B86:$H86)</f>
        <v>-3.2</v>
      </c>
      <c r="DA86" s="16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30" t="s">
        <v>1309</v>
      </c>
      <c r="DP86">
        <f>_xlfn.XLOOKUP(DO86,'KPI Impacts'!$B$2:$H$2,'KPI Impacts'!$B86:$H86)</f>
        <v>4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30" t="s">
        <v>1309</v>
      </c>
      <c r="GR86">
        <f>_xlfn.XLOOKUP(GQ86,'KPI Impacts'!$B$2:$H$2,'KPI Impacts'!$B86:$H86)</f>
        <v>4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30" t="s">
        <v>1308</v>
      </c>
      <c r="HX86">
        <f>_xlfn.XLOOKUP(HW86,'KPI Impacts'!$B$2:$H$2,'KPI Impacts'!$B86:$H86)</f>
        <v>6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9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s="16" t="s">
        <v>1303</v>
      </c>
      <c r="JD86">
        <f>_xlfn.XLOOKUP(JC86,'KPI Impacts'!$B$2:$H$2,'KPI Impacts'!$B86:$H86)</f>
        <v>0</v>
      </c>
      <c r="JE86" s="9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35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16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35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35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35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35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35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C87" s="16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24">M88+Y88+AQ88+BI88+BY88+CO88+DE88+DU88+EK88+FA88+FQ88+GG88+GW88+HM88+IC88+IS88+JI88+JY88+KO88+LE88+LU88+MK88+NA88+NQ88+OG88</f>
        <v>0</v>
      </c>
      <c r="C88" s="12">
        <f t="shared" si="524"/>
        <v>0</v>
      </c>
      <c r="D88" s="12">
        <f t="shared" si="524"/>
        <v>0</v>
      </c>
      <c r="E88" s="12">
        <f t="shared" si="524"/>
        <v>0</v>
      </c>
      <c r="F88" s="12">
        <f t="shared" si="524"/>
        <v>0</v>
      </c>
      <c r="G88" s="12">
        <f t="shared" si="524"/>
        <v>0</v>
      </c>
      <c r="H88" s="12">
        <f t="shared" si="524"/>
        <v>0</v>
      </c>
      <c r="I88" s="12">
        <f t="shared" ref="I88:J88" si="525">AF88+AX88+BP88+CF88+CV88+DL88+EB88+ER88+FH88+FX88+GN88+HD88+HT88+IJ88+IZ88+JP88+KF88+KV88+LL88+MB88+MR88+NH88+NX88+ON88</f>
        <v>0</v>
      </c>
      <c r="J88" s="12">
        <f t="shared" si="525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1307</v>
      </c>
      <c r="AJ88">
        <f>_xlfn.XLOOKUP(AI88,'KPI Impacts'!$K$2:$Q$2,'KPI Impacts'!$K88:$Q88)</f>
        <v>0.24</v>
      </c>
      <c r="AK88" t="s">
        <v>1309</v>
      </c>
      <c r="AL88">
        <f>_xlfn.XLOOKUP(AK88,'KPI Impacts'!$K$2:$Q$2,'KPI Impacts'!$K88:$Q88)</f>
        <v>0.48</v>
      </c>
      <c r="AM88" t="s">
        <v>1308</v>
      </c>
      <c r="AN88">
        <f>_xlfn.XLOOKUP(AM88,'KPI Impacts'!$K$2:$Q$2,'KPI Impacts'!$K88:$Q88)</f>
        <v>0.72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1307</v>
      </c>
      <c r="BB88">
        <f>_xlfn.XLOOKUP(BA88,'KPI Impacts'!$K$2:$Q$2,'KPI Impacts'!$K88:$Q88)</f>
        <v>0.24</v>
      </c>
      <c r="BC88" t="s">
        <v>1309</v>
      </c>
      <c r="BD88">
        <f>_xlfn.XLOOKUP(BC88,'KPI Impacts'!$K$2:$Q$2,'KPI Impacts'!$K88:$Q88)</f>
        <v>0.48</v>
      </c>
      <c r="BE88" t="s">
        <v>1308</v>
      </c>
      <c r="BF88">
        <f>_xlfn.XLOOKUP(BE88,'KPI Impacts'!$K$2:$Q$2,'KPI Impacts'!$K88:$Q88)</f>
        <v>0.72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30" t="s">
        <v>1307</v>
      </c>
      <c r="CJ88">
        <f>_xlfn.XLOOKUP(CI88,'KPI Impacts'!$B$2:$H$2,'KPI Impacts'!$B88:$H88)</f>
        <v>1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0" t="s">
        <v>1307</v>
      </c>
      <c r="DB88">
        <f>_xlfn.XLOOKUP(DA88,'KPI Impacts'!$B$2:$H$2,'KPI Impacts'!$B88:$H88)</f>
        <v>1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30" t="s">
        <v>1308</v>
      </c>
      <c r="EF88">
        <f>_xlfn.XLOOKUP(EE88,'KPI Impacts'!$B$2:$H$2,'KPI Impacts'!$B88:$H88)</f>
        <v>4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30" t="s">
        <v>1308</v>
      </c>
      <c r="EV88">
        <f>_xlfn.XLOOKUP(EU88,'KPI Impacts'!$B$2:$H$2,'KPI Impacts'!$B88:$H88)</f>
        <v>4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30" t="s">
        <v>1307</v>
      </c>
      <c r="GB88">
        <f>_xlfn.XLOOKUP(GA88,'KPI Impacts'!$B$2:$H$2,'KPI Impacts'!$B88:$H88)</f>
        <v>1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30" t="s">
        <v>1307</v>
      </c>
      <c r="HX88">
        <f>_xlfn.XLOOKUP(HW88,'KPI Impacts'!$B$2:$H$2,'KPI Impacts'!$B88:$H88)</f>
        <v>1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9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s="29" t="s">
        <v>1304</v>
      </c>
      <c r="JD88">
        <f>_xlfn.XLOOKUP(JC88,'KPI Impacts'!$B$2:$H$2,'KPI Impacts'!$B88:$H88)</f>
        <v>-0.8</v>
      </c>
      <c r="JE88" s="9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U89" s="9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DA89" s="9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Q89" s="9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G89" s="9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W89" s="9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M89" s="9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U90" s="9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DA90" s="9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Q90" s="9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G90" s="9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W90" s="9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M90" s="9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U91" s="9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DA91" s="9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Q91" s="9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G91" s="9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W91" s="9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M91" s="9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U92" s="9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DA92" s="9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Q92" s="9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G92" s="9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W92" s="9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M92" s="9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26">M93+Y93+AQ93+BI93+BY93+CO93+DE93+DU93+EK93+FA93+FQ93+GG93+GW93+HM93+IC93+IS93+JI93+JY93+KO93+LE93+LU93+MK93+NA93+NQ93+OG93</f>
        <v>0</v>
      </c>
      <c r="C93" s="12">
        <f t="shared" si="526"/>
        <v>0</v>
      </c>
      <c r="D93" s="12">
        <f t="shared" si="526"/>
        <v>0</v>
      </c>
      <c r="E93" s="12">
        <f t="shared" si="526"/>
        <v>0</v>
      </c>
      <c r="F93" s="12">
        <f t="shared" si="526"/>
        <v>0</v>
      </c>
      <c r="G93" s="12">
        <f t="shared" si="526"/>
        <v>0</v>
      </c>
      <c r="H93" s="12">
        <f t="shared" si="526"/>
        <v>0</v>
      </c>
      <c r="I93" s="12">
        <f t="shared" ref="I93:J96" si="527">AF93+AX93+BP93+CF93+CV93+DL93+EB93+ER93+FH93+FX93+GN93+HD93+HT93+IJ93+IZ93+JP93+KF93+KV93+LL93+MB93+MR93+NH93+NX93+ON93</f>
        <v>0</v>
      </c>
      <c r="J93" s="12">
        <f t="shared" si="527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t="s">
        <v>1303</v>
      </c>
      <c r="BT93">
        <f>_xlfn.XLOOKUP(BS93,'KPI Impacts'!$B$2:$H$2,'KPI Impacts'!$B93:$H93)</f>
        <v>0</v>
      </c>
      <c r="BU93" s="9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t="s">
        <v>1303</v>
      </c>
      <c r="CJ93">
        <f>_xlfn.XLOOKUP(CI93,'KPI Impacts'!$B$2:$H$2,'KPI Impacts'!$B93:$H93)</f>
        <v>0</v>
      </c>
      <c r="CK93" s="9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t="s">
        <v>1303</v>
      </c>
      <c r="CZ93">
        <f>_xlfn.XLOOKUP(CY93,'KPI Impacts'!$B$2:$H$2,'KPI Impacts'!$B93:$H93)</f>
        <v>0</v>
      </c>
      <c r="DA93" s="9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t="s">
        <v>1303</v>
      </c>
      <c r="DP93">
        <f>_xlfn.XLOOKUP(DO93,'KPI Impacts'!$B$2:$H$2,'KPI Impacts'!$B93:$H93)</f>
        <v>0</v>
      </c>
      <c r="DQ93" s="9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t="s">
        <v>1303</v>
      </c>
      <c r="EF93">
        <f>_xlfn.XLOOKUP(EE93,'KPI Impacts'!$B$2:$H$2,'KPI Impacts'!$B93:$H93)</f>
        <v>0</v>
      </c>
      <c r="EG93" s="9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t="s">
        <v>1303</v>
      </c>
      <c r="EV93">
        <f>_xlfn.XLOOKUP(EU93,'KPI Impacts'!$B$2:$H$2,'KPI Impacts'!$B93:$H93)</f>
        <v>0</v>
      </c>
      <c r="EW93" s="9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t="s">
        <v>1303</v>
      </c>
      <c r="FL93">
        <f>_xlfn.XLOOKUP(FK93,'KPI Impacts'!$B$2:$H$2,'KPI Impacts'!$B93:$H93)</f>
        <v>0</v>
      </c>
      <c r="FM93" s="9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t="s">
        <v>1303</v>
      </c>
      <c r="GB93">
        <f>_xlfn.XLOOKUP(GA93,'KPI Impacts'!$B$2:$H$2,'KPI Impacts'!$B93:$H93)</f>
        <v>0</v>
      </c>
      <c r="GC93" s="9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t="s">
        <v>1303</v>
      </c>
      <c r="GR93">
        <f>_xlfn.XLOOKUP(GQ93,'KPI Impacts'!$B$2:$H$2,'KPI Impacts'!$B93:$H93)</f>
        <v>0</v>
      </c>
      <c r="GS93" s="9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t="s">
        <v>1303</v>
      </c>
      <c r="HH93">
        <f>_xlfn.XLOOKUP(HG93,'KPI Impacts'!$B$2:$H$2,'KPI Impacts'!$B93:$H93)</f>
        <v>0</v>
      </c>
      <c r="HI93" s="9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t="s">
        <v>1303</v>
      </c>
      <c r="HX93">
        <f>_xlfn.XLOOKUP(HW93,'KPI Impacts'!$B$2:$H$2,'KPI Impacts'!$B93:$H93)</f>
        <v>0</v>
      </c>
      <c r="HY93" s="9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t="s">
        <v>1303</v>
      </c>
      <c r="IN93">
        <f>_xlfn.XLOOKUP(IM93,'KPI Impacts'!$B$2:$H$2,'KPI Impacts'!$B93:$H93)</f>
        <v>0</v>
      </c>
      <c r="IO93" s="9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9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26"/>
        <v>0</v>
      </c>
      <c r="C94" s="12">
        <f t="shared" si="526"/>
        <v>0</v>
      </c>
      <c r="D94" s="12">
        <f t="shared" si="526"/>
        <v>0</v>
      </c>
      <c r="E94" s="12">
        <f t="shared" si="526"/>
        <v>0</v>
      </c>
      <c r="F94" s="12">
        <f t="shared" si="526"/>
        <v>0</v>
      </c>
      <c r="G94" s="12">
        <f t="shared" si="526"/>
        <v>0</v>
      </c>
      <c r="H94" s="12">
        <f t="shared" si="526"/>
        <v>0</v>
      </c>
      <c r="I94" s="12">
        <f t="shared" si="527"/>
        <v>0</v>
      </c>
      <c r="J94" s="12">
        <f t="shared" si="527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t="s">
        <v>1303</v>
      </c>
      <c r="BT94">
        <f>_xlfn.XLOOKUP(BS94,'KPI Impacts'!$B$2:$H$2,'KPI Impacts'!$B94:$H94)</f>
        <v>0</v>
      </c>
      <c r="BU94" s="9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t="s">
        <v>1303</v>
      </c>
      <c r="CJ94">
        <f>_xlfn.XLOOKUP(CI94,'KPI Impacts'!$B$2:$H$2,'KPI Impacts'!$B94:$H94)</f>
        <v>0</v>
      </c>
      <c r="CK94" s="9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t="s">
        <v>1303</v>
      </c>
      <c r="CZ94">
        <f>_xlfn.XLOOKUP(CY94,'KPI Impacts'!$B$2:$H$2,'KPI Impacts'!$B94:$H94)</f>
        <v>0</v>
      </c>
      <c r="DA94" s="9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t="s">
        <v>1303</v>
      </c>
      <c r="DP94">
        <f>_xlfn.XLOOKUP(DO94,'KPI Impacts'!$B$2:$H$2,'KPI Impacts'!$B94:$H94)</f>
        <v>0</v>
      </c>
      <c r="DQ94" s="9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t="s">
        <v>1303</v>
      </c>
      <c r="EF94">
        <f>_xlfn.XLOOKUP(EE94,'KPI Impacts'!$B$2:$H$2,'KPI Impacts'!$B94:$H94)</f>
        <v>0</v>
      </c>
      <c r="EG94" s="9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t="s">
        <v>1303</v>
      </c>
      <c r="EV94">
        <f>_xlfn.XLOOKUP(EU94,'KPI Impacts'!$B$2:$H$2,'KPI Impacts'!$B94:$H94)</f>
        <v>0</v>
      </c>
      <c r="EW94" s="9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t="s">
        <v>1303</v>
      </c>
      <c r="FL94">
        <f>_xlfn.XLOOKUP(FK94,'KPI Impacts'!$B$2:$H$2,'KPI Impacts'!$B94:$H94)</f>
        <v>0</v>
      </c>
      <c r="FM94" s="9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t="s">
        <v>1303</v>
      </c>
      <c r="GB94">
        <f>_xlfn.XLOOKUP(GA94,'KPI Impacts'!$B$2:$H$2,'KPI Impacts'!$B94:$H94)</f>
        <v>0</v>
      </c>
      <c r="GC94" s="9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t="s">
        <v>1303</v>
      </c>
      <c r="GR94">
        <f>_xlfn.XLOOKUP(GQ94,'KPI Impacts'!$B$2:$H$2,'KPI Impacts'!$B94:$H94)</f>
        <v>0</v>
      </c>
      <c r="GS94" s="9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t="s">
        <v>1303</v>
      </c>
      <c r="HH94">
        <f>_xlfn.XLOOKUP(HG94,'KPI Impacts'!$B$2:$H$2,'KPI Impacts'!$B94:$H94)</f>
        <v>0</v>
      </c>
      <c r="HI94" s="9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t="s">
        <v>1303</v>
      </c>
      <c r="HX94">
        <f>_xlfn.XLOOKUP(HW94,'KPI Impacts'!$B$2:$H$2,'KPI Impacts'!$B94:$H94)</f>
        <v>0</v>
      </c>
      <c r="HY94" s="9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t="s">
        <v>1303</v>
      </c>
      <c r="IN94">
        <f>_xlfn.XLOOKUP(IM94,'KPI Impacts'!$B$2:$H$2,'KPI Impacts'!$B94:$H94)</f>
        <v>0</v>
      </c>
      <c r="IO94" s="9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9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26"/>
        <v>0</v>
      </c>
      <c r="C95" s="12">
        <f t="shared" si="526"/>
        <v>0</v>
      </c>
      <c r="D95" s="12">
        <f t="shared" si="526"/>
        <v>0</v>
      </c>
      <c r="E95" s="12">
        <f t="shared" si="526"/>
        <v>0</v>
      </c>
      <c r="F95" s="12">
        <f t="shared" si="526"/>
        <v>0</v>
      </c>
      <c r="G95" s="12">
        <f t="shared" si="526"/>
        <v>0</v>
      </c>
      <c r="H95" s="12">
        <f t="shared" si="526"/>
        <v>0</v>
      </c>
      <c r="I95" s="12">
        <f t="shared" si="527"/>
        <v>0</v>
      </c>
      <c r="J95" s="12">
        <f t="shared" si="527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t="s">
        <v>1303</v>
      </c>
      <c r="BT95">
        <f>_xlfn.XLOOKUP(BS95,'KPI Impacts'!$B$2:$H$2,'KPI Impacts'!$B95:$H95)</f>
        <v>0</v>
      </c>
      <c r="BU95" s="9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t="s">
        <v>1303</v>
      </c>
      <c r="CJ95">
        <f>_xlfn.XLOOKUP(CI95,'KPI Impacts'!$B$2:$H$2,'KPI Impacts'!$B95:$H95)</f>
        <v>0</v>
      </c>
      <c r="CK95" s="9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t="s">
        <v>1303</v>
      </c>
      <c r="CZ95">
        <f>_xlfn.XLOOKUP(CY95,'KPI Impacts'!$B$2:$H$2,'KPI Impacts'!$B95:$H95)</f>
        <v>0</v>
      </c>
      <c r="DA95" s="9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t="s">
        <v>1303</v>
      </c>
      <c r="DP95">
        <f>_xlfn.XLOOKUP(DO95,'KPI Impacts'!$B$2:$H$2,'KPI Impacts'!$B95:$H95)</f>
        <v>0</v>
      </c>
      <c r="DQ95" s="9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t="s">
        <v>1303</v>
      </c>
      <c r="EF95">
        <f>_xlfn.XLOOKUP(EE95,'KPI Impacts'!$B$2:$H$2,'KPI Impacts'!$B95:$H95)</f>
        <v>0</v>
      </c>
      <c r="EG95" s="9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t="s">
        <v>1303</v>
      </c>
      <c r="EV95">
        <f>_xlfn.XLOOKUP(EU95,'KPI Impacts'!$B$2:$H$2,'KPI Impacts'!$B95:$H95)</f>
        <v>0</v>
      </c>
      <c r="EW95" s="9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t="s">
        <v>1303</v>
      </c>
      <c r="FL95">
        <f>_xlfn.XLOOKUP(FK95,'KPI Impacts'!$B$2:$H$2,'KPI Impacts'!$B95:$H95)</f>
        <v>0</v>
      </c>
      <c r="FM95" s="9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t="s">
        <v>1303</v>
      </c>
      <c r="GB95">
        <f>_xlfn.XLOOKUP(GA95,'KPI Impacts'!$B$2:$H$2,'KPI Impacts'!$B95:$H95)</f>
        <v>0</v>
      </c>
      <c r="GC95" s="9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t="s">
        <v>1303</v>
      </c>
      <c r="GR95">
        <f>_xlfn.XLOOKUP(GQ95,'KPI Impacts'!$B$2:$H$2,'KPI Impacts'!$B95:$H95)</f>
        <v>0</v>
      </c>
      <c r="GS95" s="9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t="s">
        <v>1303</v>
      </c>
      <c r="HH95">
        <f>_xlfn.XLOOKUP(HG95,'KPI Impacts'!$B$2:$H$2,'KPI Impacts'!$B95:$H95)</f>
        <v>0</v>
      </c>
      <c r="HI95" s="9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t="s">
        <v>1303</v>
      </c>
      <c r="HX95">
        <f>_xlfn.XLOOKUP(HW95,'KPI Impacts'!$B$2:$H$2,'KPI Impacts'!$B95:$H95)</f>
        <v>0</v>
      </c>
      <c r="HY95" s="9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t="s">
        <v>1303</v>
      </c>
      <c r="IN95">
        <f>_xlfn.XLOOKUP(IM95,'KPI Impacts'!$B$2:$H$2,'KPI Impacts'!$B95:$H95)</f>
        <v>0</v>
      </c>
      <c r="IO95" s="9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9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26"/>
        <v>0</v>
      </c>
      <c r="C96" s="12">
        <f t="shared" si="526"/>
        <v>0</v>
      </c>
      <c r="D96" s="12">
        <f t="shared" si="526"/>
        <v>0</v>
      </c>
      <c r="E96" s="12">
        <f t="shared" si="526"/>
        <v>0</v>
      </c>
      <c r="F96" s="12">
        <f t="shared" si="526"/>
        <v>0</v>
      </c>
      <c r="G96" s="12">
        <f t="shared" si="526"/>
        <v>0</v>
      </c>
      <c r="H96" s="12">
        <f t="shared" si="526"/>
        <v>0</v>
      </c>
      <c r="I96" s="12">
        <f t="shared" si="527"/>
        <v>0</v>
      </c>
      <c r="J96" s="12">
        <f t="shared" si="527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t="s">
        <v>1303</v>
      </c>
      <c r="BT96">
        <f>_xlfn.XLOOKUP(BS96,'KPI Impacts'!$B$2:$H$2,'KPI Impacts'!$B96:$H96)</f>
        <v>0</v>
      </c>
      <c r="BU96" s="9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t="s">
        <v>1303</v>
      </c>
      <c r="CJ96">
        <f>_xlfn.XLOOKUP(CI96,'KPI Impacts'!$B$2:$H$2,'KPI Impacts'!$B96:$H96)</f>
        <v>0</v>
      </c>
      <c r="CK96" s="9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t="s">
        <v>1303</v>
      </c>
      <c r="CZ96">
        <f>_xlfn.XLOOKUP(CY96,'KPI Impacts'!$B$2:$H$2,'KPI Impacts'!$B96:$H96)</f>
        <v>0</v>
      </c>
      <c r="DA96" s="9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t="s">
        <v>1303</v>
      </c>
      <c r="DP96">
        <f>_xlfn.XLOOKUP(DO96,'KPI Impacts'!$B$2:$H$2,'KPI Impacts'!$B96:$H96)</f>
        <v>0</v>
      </c>
      <c r="DQ96" s="9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t="s">
        <v>1303</v>
      </c>
      <c r="EF96">
        <f>_xlfn.XLOOKUP(EE96,'KPI Impacts'!$B$2:$H$2,'KPI Impacts'!$B96:$H96)</f>
        <v>0</v>
      </c>
      <c r="EG96" s="9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t="s">
        <v>1303</v>
      </c>
      <c r="EV96">
        <f>_xlfn.XLOOKUP(EU96,'KPI Impacts'!$B$2:$H$2,'KPI Impacts'!$B96:$H96)</f>
        <v>0</v>
      </c>
      <c r="EW96" s="9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t="s">
        <v>1303</v>
      </c>
      <c r="FL96">
        <f>_xlfn.XLOOKUP(FK96,'KPI Impacts'!$B$2:$H$2,'KPI Impacts'!$B96:$H96)</f>
        <v>0</v>
      </c>
      <c r="FM96" s="9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t="s">
        <v>1303</v>
      </c>
      <c r="GB96">
        <f>_xlfn.XLOOKUP(GA96,'KPI Impacts'!$B$2:$H$2,'KPI Impacts'!$B96:$H96)</f>
        <v>0</v>
      </c>
      <c r="GC96" s="9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t="s">
        <v>1303</v>
      </c>
      <c r="GR96">
        <f>_xlfn.XLOOKUP(GQ96,'KPI Impacts'!$B$2:$H$2,'KPI Impacts'!$B96:$H96)</f>
        <v>0</v>
      </c>
      <c r="GS96" s="9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t="s">
        <v>1303</v>
      </c>
      <c r="HH96">
        <f>_xlfn.XLOOKUP(HG96,'KPI Impacts'!$B$2:$H$2,'KPI Impacts'!$B96:$H96)</f>
        <v>0</v>
      </c>
      <c r="HI96" s="9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t="s">
        <v>1303</v>
      </c>
      <c r="HX96">
        <f>_xlfn.XLOOKUP(HW96,'KPI Impacts'!$B$2:$H$2,'KPI Impacts'!$B96:$H96)</f>
        <v>0</v>
      </c>
      <c r="HY96" s="9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t="s">
        <v>1303</v>
      </c>
      <c r="IN96">
        <f>_xlfn.XLOOKUP(IM96,'KPI Impacts'!$B$2:$H$2,'KPI Impacts'!$B96:$H96)</f>
        <v>0</v>
      </c>
      <c r="IO96" s="9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9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28">M102+Y102+AQ102+BI102+BY102+CO102+DE102+DU102+EK102+FA102+FQ102+GG102+GW102+HM102+IC102+IS102+JI102+JY102+KO102+LE102+LU102+MK102+NA102+NQ102+OG102</f>
        <v>0</v>
      </c>
      <c r="C102" s="12">
        <f t="shared" si="528"/>
        <v>0</v>
      </c>
      <c r="D102" s="12">
        <f t="shared" si="528"/>
        <v>0</v>
      </c>
      <c r="E102" s="12">
        <f t="shared" si="528"/>
        <v>0</v>
      </c>
      <c r="F102" s="12">
        <f t="shared" si="528"/>
        <v>0</v>
      </c>
      <c r="G102" s="12">
        <f t="shared" si="528"/>
        <v>0</v>
      </c>
      <c r="H102" s="12">
        <f t="shared" si="528"/>
        <v>0</v>
      </c>
      <c r="I102" s="12">
        <f t="shared" ref="I102:J104" si="529">AF102+AX102+BP102+CF102+CV102+DL102+EB102+ER102+FH102+FX102+GN102+HD102+HT102+IJ102+IZ102+JP102+KF102+KV102+LL102+MB102+MR102+NH102+NX102+ON102</f>
        <v>0</v>
      </c>
      <c r="J102" s="12">
        <f t="shared" si="529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9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9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9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9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9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9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9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28"/>
        <v>0</v>
      </c>
      <c r="C103" s="12">
        <f t="shared" si="528"/>
        <v>0</v>
      </c>
      <c r="D103" s="12">
        <f t="shared" si="528"/>
        <v>0</v>
      </c>
      <c r="E103" s="12">
        <f t="shared" si="528"/>
        <v>0</v>
      </c>
      <c r="F103" s="12">
        <f t="shared" si="528"/>
        <v>0</v>
      </c>
      <c r="G103" s="12">
        <f t="shared" si="528"/>
        <v>0</v>
      </c>
      <c r="H103" s="12">
        <f t="shared" si="528"/>
        <v>0</v>
      </c>
      <c r="I103" s="12">
        <f t="shared" si="529"/>
        <v>0</v>
      </c>
      <c r="J103" s="12">
        <f t="shared" si="529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9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9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9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9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9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9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9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28"/>
        <v>0</v>
      </c>
      <c r="C104" s="12">
        <f t="shared" si="528"/>
        <v>0</v>
      </c>
      <c r="D104" s="12">
        <f t="shared" si="528"/>
        <v>0</v>
      </c>
      <c r="E104" s="12">
        <f t="shared" si="528"/>
        <v>0</v>
      </c>
      <c r="F104" s="12">
        <f t="shared" si="528"/>
        <v>0</v>
      </c>
      <c r="G104" s="12">
        <f t="shared" si="528"/>
        <v>0</v>
      </c>
      <c r="H104" s="12">
        <f t="shared" si="528"/>
        <v>0</v>
      </c>
      <c r="I104" s="12">
        <f t="shared" si="529"/>
        <v>0</v>
      </c>
      <c r="J104" s="12">
        <f t="shared" si="529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9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9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9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9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9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9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9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1614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1615</v>
      </c>
      <c r="B109" s="8">
        <f>Y6+AQ6+BI11+BY11+CO11+DE11+DU11+EK11+FA11+FQ11+GG11+GW11+HM11+IC11+IS11+JI11+JY11+KO11+LE11+LU11+MK11+NA11+NQ11+OG11</f>
        <v>0</v>
      </c>
      <c r="C109" s="8">
        <f t="shared" ref="C109:J109" si="530">Z6+AR6+BJ11+BZ11+CP11+DF11+DV11+EL11+FB11+FR11+GH11+GX11+HN11+ID11+IT11+JJ11+JZ11+KP11+LF11+LV11+ML11+NB11+NR11+OH11</f>
        <v>0</v>
      </c>
      <c r="D109" s="8">
        <f t="shared" si="530"/>
        <v>0</v>
      </c>
      <c r="E109" s="8">
        <f t="shared" si="530"/>
        <v>0</v>
      </c>
      <c r="F109" s="8">
        <f t="shared" si="530"/>
        <v>0</v>
      </c>
      <c r="G109" s="8">
        <f t="shared" si="530"/>
        <v>0</v>
      </c>
      <c r="H109" s="8">
        <f t="shared" si="530"/>
        <v>0</v>
      </c>
      <c r="I109" s="8">
        <f>AF6+AX6+BP11+CF11+CV11+DL11+EB11+ER11+FH11+FX11+GN11+HD11+HT11+IJ11+IZ11+JP11+KF11+KV11+LL11+MB11+MR11+NH11+NX11+ON11</f>
        <v>0</v>
      </c>
      <c r="J109" s="8">
        <f t="shared" si="530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1620</v>
      </c>
      <c r="B110" s="10">
        <f t="shared" ref="B110:J110" si="531">BI13+BY13+CO13+DE13+DU13+EK13+FA13+FQ13+GG13+GW13+HM13+IC13+IS13+JI13+JY13+KO13+LE13+LU13+MK13+NA13+NQ13+OG13</f>
        <v>0</v>
      </c>
      <c r="C110" s="10">
        <f t="shared" si="531"/>
        <v>0</v>
      </c>
      <c r="D110" s="10">
        <f t="shared" si="531"/>
        <v>0</v>
      </c>
      <c r="E110" s="10">
        <f t="shared" si="531"/>
        <v>0</v>
      </c>
      <c r="F110" s="10">
        <f t="shared" si="531"/>
        <v>0</v>
      </c>
      <c r="G110" s="10">
        <f t="shared" si="531"/>
        <v>0</v>
      </c>
      <c r="H110" s="10">
        <f t="shared" si="531"/>
        <v>0</v>
      </c>
      <c r="I110" s="10">
        <f t="shared" si="531"/>
        <v>0</v>
      </c>
      <c r="J110" s="10">
        <f t="shared" si="531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1616</v>
      </c>
      <c r="B111" s="10">
        <f>B108-B110</f>
        <v>0</v>
      </c>
      <c r="C111" s="10">
        <f t="shared" ref="C111:J111" si="532">C108-C110</f>
        <v>100000000</v>
      </c>
      <c r="D111" s="10">
        <f t="shared" si="532"/>
        <v>100000000</v>
      </c>
      <c r="E111" s="10">
        <f t="shared" si="532"/>
        <v>100000000</v>
      </c>
      <c r="F111" s="10">
        <f t="shared" si="532"/>
        <v>100000000</v>
      </c>
      <c r="G111" s="10">
        <f t="shared" si="532"/>
        <v>100000000</v>
      </c>
      <c r="H111" s="10">
        <f t="shared" si="532"/>
        <v>100000000</v>
      </c>
      <c r="I111" s="10">
        <f t="shared" si="532"/>
        <v>100000000</v>
      </c>
      <c r="J111" s="10">
        <f t="shared" si="532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1617</v>
      </c>
      <c r="B112" s="8">
        <f>B109+B110</f>
        <v>0</v>
      </c>
      <c r="C112" s="8">
        <f t="shared" ref="C112:J112" si="533">C109+C110</f>
        <v>0</v>
      </c>
      <c r="D112" s="8">
        <f t="shared" si="533"/>
        <v>0</v>
      </c>
      <c r="E112" s="8">
        <f t="shared" si="533"/>
        <v>0</v>
      </c>
      <c r="F112" s="8">
        <f t="shared" si="533"/>
        <v>0</v>
      </c>
      <c r="G112" s="8">
        <f t="shared" si="533"/>
        <v>0</v>
      </c>
      <c r="H112" s="8">
        <f t="shared" si="533"/>
        <v>0</v>
      </c>
      <c r="I112" s="8">
        <f t="shared" si="533"/>
        <v>0</v>
      </c>
      <c r="J112" s="8">
        <f t="shared" si="533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1618</v>
      </c>
      <c r="B113" s="8">
        <f>B108-B112</f>
        <v>0</v>
      </c>
      <c r="C113" s="8">
        <f t="shared" ref="C113:J113" si="534">C108-C112</f>
        <v>100000000</v>
      </c>
      <c r="D113" s="8">
        <f t="shared" si="534"/>
        <v>100000000</v>
      </c>
      <c r="E113" s="8">
        <f t="shared" si="534"/>
        <v>100000000</v>
      </c>
      <c r="F113" s="8">
        <f t="shared" si="534"/>
        <v>100000000</v>
      </c>
      <c r="G113" s="8">
        <f t="shared" si="534"/>
        <v>100000000</v>
      </c>
      <c r="H113" s="8">
        <f t="shared" si="534"/>
        <v>100000000</v>
      </c>
      <c r="I113" s="8">
        <f t="shared" si="534"/>
        <v>100000000</v>
      </c>
      <c r="J113" s="8">
        <f t="shared" si="534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1619</v>
      </c>
      <c r="B114" s="8">
        <f>C110</f>
        <v>0</v>
      </c>
      <c r="C114" s="8">
        <f t="shared" ref="C114:I114" si="535">D110</f>
        <v>0</v>
      </c>
      <c r="D114" s="8">
        <f t="shared" si="535"/>
        <v>0</v>
      </c>
      <c r="E114" s="8">
        <f t="shared" si="535"/>
        <v>0</v>
      </c>
      <c r="F114" s="8">
        <f t="shared" si="535"/>
        <v>0</v>
      </c>
      <c r="G114" s="8">
        <f t="shared" si="535"/>
        <v>0</v>
      </c>
      <c r="H114" s="8">
        <f t="shared" si="535"/>
        <v>0</v>
      </c>
      <c r="I114" s="8">
        <f t="shared" si="535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B17B-E65F-774D-9FC2-CE5F8D209913}">
  <dimension ref="A1:SW114"/>
  <sheetViews>
    <sheetView zoomScaleNormal="100" workbookViewId="0">
      <pane xSplit="1" ySplit="22" topLeftCell="CS23" activePane="bottomRight" state="frozen"/>
      <selection pane="topRight" activeCell="B1" sqref="B1"/>
      <selection pane="bottomLeft" activeCell="A23" sqref="A23"/>
      <selection pane="bottomRight" activeCell="EZ62" sqref="EZ62"/>
    </sheetView>
  </sheetViews>
  <sheetFormatPr baseColWidth="10" defaultColWidth="13.83203125" defaultRowHeight="15" x14ac:dyDescent="0.2"/>
  <cols>
    <col min="1" max="1" width="25.83203125" customWidth="1"/>
    <col min="2" max="10" width="16.5" customWidth="1"/>
    <col min="12" max="12" width="25.1640625" customWidth="1"/>
    <col min="24" max="24" width="25.83203125" customWidth="1"/>
    <col min="42" max="42" width="25.8320312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3.6640625" customWidth="1"/>
    <col min="188" max="188" width="23.6640625" customWidth="1"/>
    <col min="204" max="204" width="23.6640625" customWidth="1"/>
    <col min="220" max="220" width="23.6640625" customWidth="1"/>
    <col min="236" max="236" width="23.6640625" customWidth="1"/>
    <col min="252" max="252" width="23.6640625" customWidth="1"/>
    <col min="268" max="268" width="23.6640625" customWidth="1"/>
    <col min="284" max="284" width="23.6640625" customWidth="1"/>
    <col min="300" max="300" width="23.6640625" customWidth="1"/>
    <col min="316" max="316" width="23.6640625" customWidth="1"/>
    <col min="332" max="332" width="23.6640625" customWidth="1"/>
    <col min="348" max="348" width="23.6640625" customWidth="1"/>
    <col min="364" max="364" width="23.6640625" customWidth="1"/>
    <col min="380" max="380" width="23.6640625" customWidth="1"/>
    <col min="396" max="396" width="23.664062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1429</v>
      </c>
      <c r="BU3" s="9"/>
      <c r="CK3" s="9"/>
      <c r="CN3" s="5" t="s">
        <v>1430</v>
      </c>
      <c r="DA3" s="9"/>
      <c r="DD3" s="5" t="s">
        <v>1431</v>
      </c>
      <c r="DQ3" s="9"/>
      <c r="DT3" s="5" t="s">
        <v>1432</v>
      </c>
      <c r="EG3" s="9"/>
      <c r="EJ3" s="5" t="s">
        <v>1433</v>
      </c>
      <c r="EW3" s="9"/>
      <c r="EZ3" s="5" t="s">
        <v>1434</v>
      </c>
      <c r="FM3" s="9"/>
      <c r="FP3" s="11" t="s">
        <v>1707</v>
      </c>
      <c r="GC3" s="9"/>
      <c r="GF3" s="11" t="s">
        <v>1803</v>
      </c>
      <c r="GS3" s="9"/>
      <c r="GV3" s="11" t="s">
        <v>1804</v>
      </c>
      <c r="HI3" s="9"/>
      <c r="HL3" s="11" t="s">
        <v>1805</v>
      </c>
      <c r="HY3" s="9"/>
      <c r="IB3" s="11" t="s">
        <v>1806</v>
      </c>
      <c r="IO3" s="9"/>
      <c r="IR3" s="11" t="s">
        <v>1807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691</v>
      </c>
      <c r="L4" t="s">
        <v>1947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1641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1644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692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1802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693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694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695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696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697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698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699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R4" s="1"/>
      <c r="GS4" s="36"/>
      <c r="GT4" s="1"/>
      <c r="GV4" s="2" t="s">
        <v>700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701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702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N4" s="1"/>
      <c r="IO4" s="36"/>
      <c r="IP4" s="1"/>
      <c r="IR4" s="2" t="s">
        <v>703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704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705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706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707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708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709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710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711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712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713</v>
      </c>
      <c r="L5" t="s">
        <v>1948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1642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1645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714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715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716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717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718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719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720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721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722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R5" s="1"/>
      <c r="GS5" s="36"/>
      <c r="GT5" s="1"/>
      <c r="GV5" s="3" t="s">
        <v>723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724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725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N5" s="1"/>
      <c r="IO5" s="36"/>
      <c r="IP5" s="1"/>
      <c r="IR5" s="3" t="s">
        <v>726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727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728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3" t="s">
        <v>1588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3" t="s">
        <v>1589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3" t="s">
        <v>1590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3" t="s">
        <v>1591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3" t="s">
        <v>1592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1593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1587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729</v>
      </c>
      <c r="L6" t="s">
        <v>1953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1643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1646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730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731</v>
      </c>
      <c r="BY6" s="1">
        <v>0</v>
      </c>
      <c r="BZ6" s="1">
        <f>IF(AND(BY4=1,BY5=1),1,IF(AND(BY4=0,BY5=1),3,0))</f>
        <v>0</v>
      </c>
      <c r="CA6" s="1">
        <f t="shared" ref="CA6" si="176">IF(AND(BZ4=1,BZ5=1),1,IF(AND(BZ4=0,BZ5=1),3,0))</f>
        <v>0</v>
      </c>
      <c r="CB6" s="1">
        <f t="shared" ref="CB6" si="177">IF(AND(CA4=1,CA5=1),1,IF(AND(CA4=0,CA5=1),3,0))</f>
        <v>0</v>
      </c>
      <c r="CC6" s="1">
        <f t="shared" ref="CC6" si="178">IF(AND(CB4=1,CB5=1),1,IF(AND(CB4=0,CB5=1),3,0))</f>
        <v>0</v>
      </c>
      <c r="CD6" s="1">
        <f t="shared" ref="CD6" si="179">IF(AND(CC4=1,CC5=1),1,IF(AND(CC4=0,CC5=1),3,0))</f>
        <v>0</v>
      </c>
      <c r="CE6" s="1">
        <f t="shared" ref="CE6" si="180">IF(AND(CD4=1,CD5=1),1,IF(AND(CD4=0,CD5=1),3,0))</f>
        <v>0</v>
      </c>
      <c r="CF6" s="1">
        <f t="shared" ref="CF6" si="181">IF(AND(CE4=1,CE5=1),1,IF(AND(CE4=0,CE5=1),3,0))</f>
        <v>0</v>
      </c>
      <c r="CG6" s="1">
        <f t="shared" ref="CG6" si="182">IF(AND(CF4=1,CF5=1),1,IF(AND(CF4=0,CF5=1),3,0))</f>
        <v>0</v>
      </c>
      <c r="CH6" s="1"/>
      <c r="CI6" s="1"/>
      <c r="CK6" s="36"/>
      <c r="CN6" s="3" t="s">
        <v>732</v>
      </c>
      <c r="CO6" s="1">
        <v>0</v>
      </c>
      <c r="CP6" s="1">
        <f>IF(AND(CO4=1,CO5=1),1,IF(AND(CO4=0,CO5=1),3,0))</f>
        <v>0</v>
      </c>
      <c r="CQ6" s="1">
        <f t="shared" ref="CQ6:CW6" si="183">IF(AND(CP4=1,CP5=1),1,IF(AND(CP4=0,CP5=1),3,0))</f>
        <v>0</v>
      </c>
      <c r="CR6" s="1">
        <f t="shared" si="183"/>
        <v>0</v>
      </c>
      <c r="CS6" s="1">
        <f t="shared" si="183"/>
        <v>0</v>
      </c>
      <c r="CT6" s="1">
        <f t="shared" si="183"/>
        <v>0</v>
      </c>
      <c r="CU6" s="1">
        <f t="shared" si="183"/>
        <v>0</v>
      </c>
      <c r="CV6" s="1">
        <f t="shared" si="183"/>
        <v>0</v>
      </c>
      <c r="CW6" s="1">
        <f t="shared" si="183"/>
        <v>0</v>
      </c>
      <c r="CX6" s="1"/>
      <c r="CY6" s="1"/>
      <c r="DA6" s="36"/>
      <c r="DD6" s="3" t="s">
        <v>733</v>
      </c>
      <c r="DE6" s="1">
        <v>0</v>
      </c>
      <c r="DF6" s="1">
        <f t="shared" ref="DF6" si="184">IF(AND(DE4=1,DE5=1),1,IF(AND(DE4=0,DE5=1),3,0))</f>
        <v>0</v>
      </c>
      <c r="DG6" s="1">
        <f t="shared" ref="DG6:DM6" si="185">IF(AND(DF4=1,DF5=1),1,IF(AND(DF4=0,DF5=1),3,0))</f>
        <v>0</v>
      </c>
      <c r="DH6" s="1">
        <f t="shared" si="185"/>
        <v>0</v>
      </c>
      <c r="DI6" s="1">
        <f t="shared" si="185"/>
        <v>0</v>
      </c>
      <c r="DJ6" s="1">
        <f t="shared" si="185"/>
        <v>0</v>
      </c>
      <c r="DK6" s="1">
        <f t="shared" si="185"/>
        <v>0</v>
      </c>
      <c r="DL6" s="1">
        <f t="shared" si="185"/>
        <v>0</v>
      </c>
      <c r="DM6" s="1">
        <f t="shared" si="185"/>
        <v>0</v>
      </c>
      <c r="DN6" s="1"/>
      <c r="DO6" s="1"/>
      <c r="DQ6" s="36"/>
      <c r="DT6" s="3" t="s">
        <v>734</v>
      </c>
      <c r="DU6" s="1">
        <v>2</v>
      </c>
      <c r="DV6" s="1">
        <v>2</v>
      </c>
      <c r="DW6" s="1">
        <v>2</v>
      </c>
      <c r="DX6" s="1">
        <f t="shared" ref="DX6:EC6" si="186">IF(AND(DW4=1,DW5=1),1,IF(AND(DW4=0,DW5=1),3,0))</f>
        <v>0</v>
      </c>
      <c r="DY6" s="1">
        <f t="shared" si="186"/>
        <v>0</v>
      </c>
      <c r="DZ6" s="1">
        <f t="shared" si="186"/>
        <v>0</v>
      </c>
      <c r="EA6" s="1">
        <f t="shared" si="186"/>
        <v>0</v>
      </c>
      <c r="EB6" s="1">
        <f t="shared" si="186"/>
        <v>0</v>
      </c>
      <c r="EC6" s="1">
        <f t="shared" si="186"/>
        <v>0</v>
      </c>
      <c r="ED6" s="1"/>
      <c r="EE6" s="1"/>
      <c r="EG6" s="36"/>
      <c r="EJ6" s="3" t="s">
        <v>735</v>
      </c>
      <c r="EK6" s="1">
        <v>2</v>
      </c>
      <c r="EL6" s="1">
        <v>2</v>
      </c>
      <c r="EM6" s="1">
        <f t="shared" ref="EM6:ES6" si="187">IF(AND(EL4=1,EL5=1),1,IF(AND(EL4=0,EL5=1),3,0))</f>
        <v>0</v>
      </c>
      <c r="EN6" s="1">
        <f t="shared" si="187"/>
        <v>0</v>
      </c>
      <c r="EO6" s="1">
        <f t="shared" si="187"/>
        <v>0</v>
      </c>
      <c r="EP6" s="1">
        <f t="shared" si="187"/>
        <v>0</v>
      </c>
      <c r="EQ6" s="1">
        <f t="shared" si="187"/>
        <v>0</v>
      </c>
      <c r="ER6" s="1">
        <f t="shared" si="187"/>
        <v>0</v>
      </c>
      <c r="ES6" s="1">
        <f t="shared" si="187"/>
        <v>0</v>
      </c>
      <c r="ET6" s="1"/>
      <c r="EU6" s="1"/>
      <c r="EW6" s="36"/>
      <c r="EZ6" s="3" t="s">
        <v>736</v>
      </c>
      <c r="FA6" s="1">
        <v>2</v>
      </c>
      <c r="FB6" s="1">
        <v>2</v>
      </c>
      <c r="FC6" s="1">
        <v>2</v>
      </c>
      <c r="FD6" s="1">
        <f t="shared" ref="FD6:FI6" si="188">IF(AND(FC4=1,FC5=1),1,IF(AND(FC4=0,FC5=1),3,0))</f>
        <v>0</v>
      </c>
      <c r="FE6" s="1">
        <f t="shared" si="188"/>
        <v>0</v>
      </c>
      <c r="FF6" s="1">
        <f t="shared" si="188"/>
        <v>0</v>
      </c>
      <c r="FG6" s="1">
        <f t="shared" si="188"/>
        <v>0</v>
      </c>
      <c r="FH6" s="1">
        <f t="shared" si="188"/>
        <v>0</v>
      </c>
      <c r="FI6" s="1">
        <f t="shared" si="188"/>
        <v>0</v>
      </c>
      <c r="FJ6" s="1"/>
      <c r="FK6" s="1"/>
      <c r="FM6" s="36"/>
      <c r="FP6" s="3" t="s">
        <v>737</v>
      </c>
      <c r="FQ6" s="1">
        <v>2</v>
      </c>
      <c r="FR6" s="1">
        <v>2</v>
      </c>
      <c r="FS6" s="1">
        <f t="shared" ref="FS6:FY6" si="189">IF(AND(FR4=1,FR5=1),1,IF(AND(FR4=0,FR5=1),3,0))</f>
        <v>0</v>
      </c>
      <c r="FT6" s="1">
        <f t="shared" si="189"/>
        <v>0</v>
      </c>
      <c r="FU6" s="1">
        <f t="shared" si="189"/>
        <v>0</v>
      </c>
      <c r="FV6" s="1">
        <f t="shared" si="189"/>
        <v>0</v>
      </c>
      <c r="FW6" s="1">
        <f t="shared" si="189"/>
        <v>0</v>
      </c>
      <c r="FX6" s="1">
        <f t="shared" si="189"/>
        <v>0</v>
      </c>
      <c r="FY6" s="1">
        <f t="shared" si="189"/>
        <v>0</v>
      </c>
      <c r="FZ6" s="1"/>
      <c r="GA6" s="1"/>
      <c r="GC6" s="36"/>
      <c r="GF6" s="3" t="s">
        <v>738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90">IF(AND(GJ4=1,GJ5=1),1,IF(AND(GJ4=0,GJ5=1),3,0))</f>
        <v>0</v>
      </c>
      <c r="GL6" s="1">
        <f t="shared" si="190"/>
        <v>0</v>
      </c>
      <c r="GM6" s="1">
        <f t="shared" si="190"/>
        <v>0</v>
      </c>
      <c r="GN6" s="1">
        <f t="shared" si="190"/>
        <v>0</v>
      </c>
      <c r="GO6" s="1">
        <f t="shared" si="190"/>
        <v>0</v>
      </c>
      <c r="GP6" s="1"/>
      <c r="GQ6" s="1"/>
      <c r="GR6" s="1"/>
      <c r="GS6" s="36"/>
      <c r="GT6" s="1"/>
      <c r="GV6" s="3" t="s">
        <v>739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91">IF(AND(GZ4=1,GZ5=1),1,IF(AND(GZ4=0,GZ5=1),3,0))</f>
        <v>0</v>
      </c>
      <c r="HB6" s="1">
        <f t="shared" si="191"/>
        <v>0</v>
      </c>
      <c r="HC6" s="1">
        <f t="shared" si="191"/>
        <v>0</v>
      </c>
      <c r="HD6" s="1">
        <f t="shared" si="191"/>
        <v>0</v>
      </c>
      <c r="HE6" s="1">
        <f t="shared" si="191"/>
        <v>0</v>
      </c>
      <c r="HF6" s="1"/>
      <c r="HG6" s="1"/>
      <c r="HH6" s="1"/>
      <c r="HI6" s="36"/>
      <c r="HJ6" s="1"/>
      <c r="HK6" s="1"/>
      <c r="HL6" s="3" t="s">
        <v>740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92">IF(AND(HQ4=1,HQ5=1),1,IF(AND(HQ4=0,HQ5=1),3,0))</f>
        <v>0</v>
      </c>
      <c r="HS6" s="1">
        <f t="shared" si="192"/>
        <v>0</v>
      </c>
      <c r="HT6" s="1">
        <f t="shared" si="192"/>
        <v>0</v>
      </c>
      <c r="HU6" s="1">
        <f t="shared" si="192"/>
        <v>0</v>
      </c>
      <c r="HV6" s="1"/>
      <c r="HW6" s="1"/>
      <c r="HX6" s="1"/>
      <c r="HY6" s="36"/>
      <c r="HZ6" s="1"/>
      <c r="IA6" s="1"/>
      <c r="IB6" s="3" t="s">
        <v>741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93">IF(AND(IG4=1,IG5=1),1,IF(AND(IG4=0,IG5=1),3,0))</f>
        <v>0</v>
      </c>
      <c r="II6" s="1">
        <f t="shared" si="193"/>
        <v>0</v>
      </c>
      <c r="IJ6" s="1">
        <f t="shared" si="193"/>
        <v>0</v>
      </c>
      <c r="IK6" s="1">
        <f t="shared" si="193"/>
        <v>0</v>
      </c>
      <c r="IL6" s="1"/>
      <c r="IM6" s="1"/>
      <c r="IN6" s="1"/>
      <c r="IO6" s="36"/>
      <c r="IP6" s="1"/>
      <c r="IR6" s="3" t="s">
        <v>742</v>
      </c>
      <c r="IS6" s="1">
        <v>2</v>
      </c>
      <c r="IT6" s="1">
        <v>2</v>
      </c>
      <c r="IU6" s="1">
        <v>2</v>
      </c>
      <c r="IV6" s="1">
        <v>2</v>
      </c>
      <c r="IW6" s="1">
        <v>2</v>
      </c>
      <c r="IX6" s="1">
        <v>2</v>
      </c>
      <c r="IY6" s="1">
        <f t="shared" ref="IY6:JA6" si="194">IF(AND(IX4=1,IX5=1),1,IF(AND(IX4=0,IX5=1),3,0))</f>
        <v>0</v>
      </c>
      <c r="IZ6" s="1">
        <f t="shared" si="194"/>
        <v>0</v>
      </c>
      <c r="JA6" s="1">
        <f t="shared" si="194"/>
        <v>0</v>
      </c>
      <c r="JB6" s="1"/>
      <c r="JC6" s="1"/>
      <c r="JD6" s="1"/>
      <c r="JE6" s="36"/>
      <c r="JF6" s="1"/>
      <c r="JH6" s="3" t="s">
        <v>743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95">IF(AND(JL4=1,JL5=1),1,IF(AND(JL4=0,JL5=1),3,0))</f>
        <v>0</v>
      </c>
      <c r="JN6" s="1">
        <f t="shared" si="195"/>
        <v>0</v>
      </c>
      <c r="JO6" s="1">
        <f t="shared" si="195"/>
        <v>0</v>
      </c>
      <c r="JP6" s="1">
        <f t="shared" si="195"/>
        <v>0</v>
      </c>
      <c r="JQ6" s="1">
        <f t="shared" si="195"/>
        <v>0</v>
      </c>
      <c r="JR6" s="1"/>
      <c r="JS6" s="1"/>
      <c r="JT6" s="1"/>
      <c r="JU6" s="36"/>
      <c r="JV6" s="1"/>
      <c r="JX6" s="3" t="s">
        <v>744</v>
      </c>
      <c r="JY6" s="1">
        <v>2</v>
      </c>
      <c r="JZ6" s="1">
        <v>2</v>
      </c>
      <c r="KA6" s="1">
        <v>2</v>
      </c>
      <c r="KB6" s="1">
        <v>2</v>
      </c>
      <c r="KC6" s="1">
        <f t="shared" ref="KC6:KG6" si="196">IF(AND(KB4=1,KB5=1),1,IF(AND(KB4=0,KB5=1),3,0))</f>
        <v>0</v>
      </c>
      <c r="KD6" s="1">
        <f t="shared" si="196"/>
        <v>0</v>
      </c>
      <c r="KE6" s="1">
        <f t="shared" si="196"/>
        <v>0</v>
      </c>
      <c r="KF6" s="1">
        <f t="shared" si="196"/>
        <v>0</v>
      </c>
      <c r="KG6" s="1">
        <f t="shared" si="196"/>
        <v>0</v>
      </c>
      <c r="KH6" s="1"/>
      <c r="KI6" s="1"/>
      <c r="KJ6" s="1"/>
      <c r="KK6" s="36"/>
      <c r="KL6" s="1"/>
      <c r="KN6" s="3" t="s">
        <v>745</v>
      </c>
      <c r="KO6" s="1">
        <v>0</v>
      </c>
      <c r="KP6" s="1">
        <f>IF(AND(KO4=1,KO5=1),1,IF(AND(KO4=0,KO5=1),3,0))</f>
        <v>0</v>
      </c>
      <c r="KQ6" s="1">
        <f t="shared" ref="KQ6" si="197">IF(AND(KP4=1,KP5=1),1,IF(AND(KP4=0,KP5=1),3,0))</f>
        <v>0</v>
      </c>
      <c r="KR6" s="1">
        <f t="shared" ref="KR6" si="198">IF(AND(KQ4=1,KQ5=1),1,IF(AND(KQ4=0,KQ5=1),3,0))</f>
        <v>0</v>
      </c>
      <c r="KS6" s="1">
        <f t="shared" ref="KS6" si="199">IF(AND(KR4=1,KR5=1),1,IF(AND(KR4=0,KR5=1),3,0))</f>
        <v>0</v>
      </c>
      <c r="KT6" s="1">
        <f t="shared" ref="KT6" si="200">IF(AND(KS4=1,KS5=1),1,IF(AND(KS4=0,KS5=1),3,0))</f>
        <v>0</v>
      </c>
      <c r="KU6" s="1">
        <f t="shared" ref="KU6" si="201">IF(AND(KT4=1,KT5=1),1,IF(AND(KT4=0,KT5=1),3,0))</f>
        <v>0</v>
      </c>
      <c r="KV6" s="1">
        <f t="shared" ref="KV6" si="202">IF(AND(KU4=1,KU5=1),1,IF(AND(KU4=0,KU5=1),3,0))</f>
        <v>0</v>
      </c>
      <c r="KW6" s="1">
        <f t="shared" ref="KW6" si="203">IF(AND(KV4=1,KV5=1),1,IF(AND(KV4=0,KV5=1),3,0))</f>
        <v>0</v>
      </c>
      <c r="KX6" s="1"/>
      <c r="KY6" s="1"/>
      <c r="KZ6" s="1"/>
      <c r="LA6" s="36"/>
      <c r="LB6" s="1"/>
      <c r="LD6" s="3" t="s">
        <v>746</v>
      </c>
      <c r="LE6" s="1">
        <v>0</v>
      </c>
      <c r="LF6" s="1">
        <f>IF(AND(LE4=1,LE5=1),1,IF(AND(LE4=0,LE5=1),3,0))</f>
        <v>0</v>
      </c>
      <c r="LG6" s="1">
        <f t="shared" ref="LG6" si="204">IF(AND(LF4=1,LF5=1),1,IF(AND(LF4=0,LF5=1),3,0))</f>
        <v>0</v>
      </c>
      <c r="LH6" s="1">
        <f t="shared" ref="LH6" si="205">IF(AND(LG4=1,LG5=1),1,IF(AND(LG4=0,LG5=1),3,0))</f>
        <v>0</v>
      </c>
      <c r="LI6" s="1">
        <f t="shared" ref="LI6" si="206">IF(AND(LH4=1,LH5=1),1,IF(AND(LH4=0,LH5=1),3,0))</f>
        <v>0</v>
      </c>
      <c r="LJ6" s="1">
        <f t="shared" ref="LJ6" si="207">IF(AND(LI4=1,LI5=1),1,IF(AND(LI4=0,LI5=1),3,0))</f>
        <v>0</v>
      </c>
      <c r="LK6" s="1">
        <f t="shared" ref="LK6" si="208">IF(AND(LJ4=1,LJ5=1),1,IF(AND(LJ4=0,LJ5=1),3,0))</f>
        <v>0</v>
      </c>
      <c r="LL6" s="1">
        <f t="shared" ref="LL6" si="209">IF(AND(LK4=1,LK5=1),1,IF(AND(LK4=0,LK5=1),3,0))</f>
        <v>0</v>
      </c>
      <c r="LM6" s="1">
        <f t="shared" ref="LM6" si="210">IF(AND(LL4=1,LL5=1),1,IF(AND(LL4=0,LL5=1),3,0))</f>
        <v>0</v>
      </c>
      <c r="LN6" s="1"/>
      <c r="LO6" s="1"/>
      <c r="LP6" s="1"/>
      <c r="LQ6" s="36"/>
      <c r="LR6" s="1"/>
      <c r="LT6" s="3" t="s">
        <v>747</v>
      </c>
      <c r="LU6" s="1">
        <v>0</v>
      </c>
      <c r="LV6" s="1">
        <f>IF(AND(LU4=1,LU5=1),1,IF(AND(LU4=0,LU5=1),3,0))</f>
        <v>0</v>
      </c>
      <c r="LW6" s="1">
        <f t="shared" ref="LW6" si="211">IF(AND(LV4=1,LV5=1),1,IF(AND(LV4=0,LV5=1),3,0))</f>
        <v>0</v>
      </c>
      <c r="LX6" s="1">
        <f t="shared" ref="LX6" si="212">IF(AND(LW4=1,LW5=1),1,IF(AND(LW4=0,LW5=1),3,0))</f>
        <v>0</v>
      </c>
      <c r="LY6" s="1">
        <f t="shared" ref="LY6" si="213">IF(AND(LX4=1,LX5=1),1,IF(AND(LX4=0,LX5=1),3,0))</f>
        <v>0</v>
      </c>
      <c r="LZ6" s="1">
        <f t="shared" ref="LZ6" si="214">IF(AND(LY4=1,LY5=1),1,IF(AND(LY4=0,LY5=1),3,0))</f>
        <v>0</v>
      </c>
      <c r="MA6" s="1">
        <f t="shared" ref="MA6" si="215">IF(AND(LZ4=1,LZ5=1),1,IF(AND(LZ4=0,LZ5=1),3,0))</f>
        <v>0</v>
      </c>
      <c r="MB6" s="1">
        <f t="shared" ref="MB6" si="216">IF(AND(MA4=1,MA5=1),1,IF(AND(MA4=0,MA5=1),3,0))</f>
        <v>0</v>
      </c>
      <c r="MC6" s="1">
        <f t="shared" ref="MC6" si="217">IF(AND(MB4=1,MB5=1),1,IF(AND(MB4=0,MB5=1),3,0))</f>
        <v>0</v>
      </c>
      <c r="MD6" s="1"/>
      <c r="ME6" s="1"/>
      <c r="MF6" s="1"/>
      <c r="MG6" s="36"/>
      <c r="MH6" s="1"/>
      <c r="MJ6" s="3" t="s">
        <v>748</v>
      </c>
      <c r="MK6" s="1">
        <v>0</v>
      </c>
      <c r="ML6" s="1">
        <f>IF(AND(MK4=1,MK5=1),1,IF(AND(MK4=0,MK5=1),3,0))</f>
        <v>0</v>
      </c>
      <c r="MM6" s="1">
        <f t="shared" ref="MM6" si="218">IF(AND(ML4=1,ML5=1),1,IF(AND(ML4=0,ML5=1),3,0))</f>
        <v>0</v>
      </c>
      <c r="MN6" s="1">
        <f t="shared" ref="MN6" si="219">IF(AND(MM4=1,MM5=1),1,IF(AND(MM4=0,MM5=1),3,0))</f>
        <v>0</v>
      </c>
      <c r="MO6" s="1">
        <f t="shared" ref="MO6" si="220">IF(AND(MN4=1,MN5=1),1,IF(AND(MN4=0,MN5=1),3,0))</f>
        <v>0</v>
      </c>
      <c r="MP6" s="1">
        <f t="shared" ref="MP6" si="221">IF(AND(MO4=1,MO5=1),1,IF(AND(MO4=0,MO5=1),3,0))</f>
        <v>0</v>
      </c>
      <c r="MQ6" s="1">
        <f t="shared" ref="MQ6" si="222">IF(AND(MP4=1,MP5=1),1,IF(AND(MP4=0,MP5=1),3,0))</f>
        <v>0</v>
      </c>
      <c r="MR6" s="1">
        <f t="shared" ref="MR6" si="223">IF(AND(MQ4=1,MQ5=1),1,IF(AND(MQ4=0,MQ5=1),3,0))</f>
        <v>0</v>
      </c>
      <c r="MS6" s="1">
        <f t="shared" ref="MS6" si="224">IF(AND(MR4=1,MR5=1),1,IF(AND(MR4=0,MR5=1),3,0))</f>
        <v>0</v>
      </c>
      <c r="MT6" s="1"/>
      <c r="MU6" s="1"/>
      <c r="MV6" s="1"/>
      <c r="MW6" s="36"/>
      <c r="MX6" s="1"/>
      <c r="MZ6" s="3" t="s">
        <v>749</v>
      </c>
      <c r="NA6" s="1">
        <v>0</v>
      </c>
      <c r="NB6" s="1">
        <f>IF(AND(NA4=1,NA5=1),1,IF(AND(NA4=0,NA5=1),3,0))</f>
        <v>0</v>
      </c>
      <c r="NC6" s="1">
        <f t="shared" ref="NC6" si="225">IF(AND(NB4=1,NB5=1),1,IF(AND(NB4=0,NB5=1),3,0))</f>
        <v>0</v>
      </c>
      <c r="ND6" s="1">
        <f t="shared" ref="ND6" si="226">IF(AND(NC4=1,NC5=1),1,IF(AND(NC4=0,NC5=1),3,0))</f>
        <v>0</v>
      </c>
      <c r="NE6" s="1">
        <f t="shared" ref="NE6" si="227">IF(AND(ND4=1,ND5=1),1,IF(AND(ND4=0,ND5=1),3,0))</f>
        <v>0</v>
      </c>
      <c r="NF6" s="1">
        <f t="shared" ref="NF6" si="228">IF(AND(NE4=1,NE5=1),1,IF(AND(NE4=0,NE5=1),3,0))</f>
        <v>0</v>
      </c>
      <c r="NG6" s="1">
        <f t="shared" ref="NG6" si="229">IF(AND(NF4=1,NF5=1),1,IF(AND(NF4=0,NF5=1),3,0))</f>
        <v>0</v>
      </c>
      <c r="NH6" s="1">
        <f t="shared" ref="NH6" si="230">IF(AND(NG4=1,NG5=1),1,IF(AND(NG4=0,NG5=1),3,0))</f>
        <v>0</v>
      </c>
      <c r="NI6" s="1">
        <f t="shared" ref="NI6" si="231">IF(AND(NH4=1,NH5=1),1,IF(AND(NH4=0,NH5=1),3,0))</f>
        <v>0</v>
      </c>
      <c r="NJ6" s="1"/>
      <c r="NK6" s="1"/>
      <c r="NL6" s="1"/>
      <c r="NM6" s="36"/>
      <c r="NN6" s="1"/>
      <c r="NP6" s="3" t="s">
        <v>750</v>
      </c>
      <c r="NQ6" s="1">
        <v>0</v>
      </c>
      <c r="NR6" s="1">
        <f>IF(AND(NQ4=1,NQ5=1),1,IF(AND(NQ4=0,NQ5=1),3,0))</f>
        <v>0</v>
      </c>
      <c r="NS6" s="1">
        <f t="shared" ref="NS6" si="232">IF(AND(NR4=1,NR5=1),1,IF(AND(NR4=0,NR5=1),3,0))</f>
        <v>0</v>
      </c>
      <c r="NT6" s="1">
        <f t="shared" ref="NT6" si="233">IF(AND(NS4=1,NS5=1),1,IF(AND(NS4=0,NS5=1),3,0))</f>
        <v>0</v>
      </c>
      <c r="NU6" s="1">
        <f t="shared" ref="NU6" si="234">IF(AND(NT4=1,NT5=1),1,IF(AND(NT4=0,NT5=1),3,0))</f>
        <v>0</v>
      </c>
      <c r="NV6" s="1">
        <f t="shared" ref="NV6" si="235">IF(AND(NU4=1,NU5=1),1,IF(AND(NU4=0,NU5=1),3,0))</f>
        <v>0</v>
      </c>
      <c r="NW6" s="1">
        <f t="shared" ref="NW6" si="236">IF(AND(NV4=1,NV5=1),1,IF(AND(NV4=0,NV5=1),3,0))</f>
        <v>0</v>
      </c>
      <c r="NX6" s="1">
        <f t="shared" ref="NX6" si="237">IF(AND(NW4=1,NW5=1),1,IF(AND(NW4=0,NW5=1),3,0))</f>
        <v>0</v>
      </c>
      <c r="NY6" s="1">
        <f t="shared" ref="NY6" si="238">IF(AND(NX4=1,NX5=1),1,IF(AND(NX4=0,NX5=1),3,0))</f>
        <v>0</v>
      </c>
      <c r="NZ6" s="1"/>
      <c r="OA6" s="1"/>
      <c r="OB6" s="1"/>
      <c r="OC6" s="36"/>
      <c r="OD6" s="1"/>
      <c r="OF6" s="3" t="s">
        <v>751</v>
      </c>
      <c r="OG6" s="1">
        <v>0</v>
      </c>
      <c r="OH6" s="1">
        <f>IF(AND(OG4=1,OG5=1),1,IF(AND(OG4=0,OG5=1),3,0))</f>
        <v>0</v>
      </c>
      <c r="OI6" s="1">
        <f t="shared" ref="OI6" si="239">IF(AND(OH4=1,OH5=1),1,IF(AND(OH4=0,OH5=1),3,0))</f>
        <v>0</v>
      </c>
      <c r="OJ6" s="1">
        <f t="shared" ref="OJ6" si="240">IF(AND(OI4=1,OI5=1),1,IF(AND(OI4=0,OI5=1),3,0))</f>
        <v>0</v>
      </c>
      <c r="OK6" s="1">
        <f t="shared" ref="OK6" si="241">IF(AND(OJ4=1,OJ5=1),1,IF(AND(OJ4=0,OJ5=1),3,0))</f>
        <v>0</v>
      </c>
      <c r="OL6" s="1">
        <f t="shared" ref="OL6" si="242">IF(AND(OK4=1,OK5=1),1,IF(AND(OK4=0,OK5=1),3,0))</f>
        <v>0</v>
      </c>
      <c r="OM6" s="1">
        <f t="shared" ref="OM6" si="243">IF(AND(OL4=1,OL5=1),1,IF(AND(OL4=0,OL5=1),3,0))</f>
        <v>0</v>
      </c>
      <c r="ON6" s="1">
        <f t="shared" ref="ON6" si="244">IF(AND(OM4=1,OM5=1),1,IF(AND(OM4=0,OM5=1),3,0))</f>
        <v>0</v>
      </c>
      <c r="OO6" s="1">
        <f t="shared" ref="OO6" si="245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752</v>
      </c>
      <c r="X7" s="3"/>
      <c r="Y7" s="22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753</v>
      </c>
      <c r="BI7" s="1">
        <v>0</v>
      </c>
      <c r="BJ7" s="1">
        <f>IF(AND(BI6=2,BJ6&lt;&gt;2),1,0)</f>
        <v>0</v>
      </c>
      <c r="BK7" s="1">
        <f t="shared" ref="BK7:BQ7" si="246">IF(AND(BJ6=2,BK6&lt;&gt;2),1,0)</f>
        <v>0</v>
      </c>
      <c r="BL7" s="1">
        <f t="shared" si="246"/>
        <v>0</v>
      </c>
      <c r="BM7" s="1">
        <f t="shared" si="246"/>
        <v>0</v>
      </c>
      <c r="BN7" s="1">
        <f t="shared" si="246"/>
        <v>0</v>
      </c>
      <c r="BO7" s="1">
        <f t="shared" si="246"/>
        <v>0</v>
      </c>
      <c r="BP7" s="1">
        <f t="shared" si="246"/>
        <v>0</v>
      </c>
      <c r="BQ7" s="1">
        <f t="shared" si="246"/>
        <v>0</v>
      </c>
      <c r="BR7" s="1"/>
      <c r="BS7" s="1"/>
      <c r="BU7" s="36"/>
      <c r="BX7" s="3" t="s">
        <v>754</v>
      </c>
      <c r="BY7" s="1">
        <v>0</v>
      </c>
      <c r="BZ7" s="1">
        <f>IF(AND(BY6=2,BZ6&lt;&gt;2),1,0)</f>
        <v>0</v>
      </c>
      <c r="CA7" s="1">
        <f t="shared" ref="CA7:CG7" si="247">IF(AND(BZ6=2,CA6&lt;&gt;2),1,0)</f>
        <v>0</v>
      </c>
      <c r="CB7" s="1">
        <f t="shared" si="247"/>
        <v>0</v>
      </c>
      <c r="CC7" s="1">
        <f t="shared" si="247"/>
        <v>0</v>
      </c>
      <c r="CD7" s="1">
        <f t="shared" si="247"/>
        <v>0</v>
      </c>
      <c r="CE7" s="1">
        <f t="shared" si="247"/>
        <v>0</v>
      </c>
      <c r="CF7" s="1">
        <f t="shared" si="247"/>
        <v>0</v>
      </c>
      <c r="CG7" s="1">
        <f t="shared" si="247"/>
        <v>0</v>
      </c>
      <c r="CH7" s="1"/>
      <c r="CI7" s="1"/>
      <c r="CK7" s="36"/>
      <c r="CN7" s="3" t="s">
        <v>755</v>
      </c>
      <c r="CO7" s="1">
        <v>0</v>
      </c>
      <c r="CP7" s="1">
        <f>IF(AND(CO6=2,CP6&lt;&gt;2),1,0)</f>
        <v>0</v>
      </c>
      <c r="CQ7" s="1">
        <f t="shared" ref="CQ7:CW7" si="248">IF(AND(CP6=2,CQ6&lt;&gt;2),1,0)</f>
        <v>0</v>
      </c>
      <c r="CR7" s="1">
        <f t="shared" si="248"/>
        <v>0</v>
      </c>
      <c r="CS7" s="1">
        <f t="shared" si="248"/>
        <v>0</v>
      </c>
      <c r="CT7" s="1">
        <f t="shared" si="248"/>
        <v>0</v>
      </c>
      <c r="CU7" s="1">
        <f t="shared" si="248"/>
        <v>0</v>
      </c>
      <c r="CV7" s="1">
        <f t="shared" si="248"/>
        <v>0</v>
      </c>
      <c r="CW7" s="1">
        <f t="shared" si="248"/>
        <v>0</v>
      </c>
      <c r="CX7" s="1"/>
      <c r="CY7" s="1"/>
      <c r="DA7" s="36"/>
      <c r="DD7" s="3" t="s">
        <v>756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9">IF(AND(DG6=2,DH6&lt;&gt;2),1,0)</f>
        <v>0</v>
      </c>
      <c r="DI7" s="1">
        <f t="shared" si="249"/>
        <v>0</v>
      </c>
      <c r="DJ7" s="1">
        <f t="shared" si="249"/>
        <v>0</v>
      </c>
      <c r="DK7" s="1">
        <f t="shared" si="249"/>
        <v>0</v>
      </c>
      <c r="DL7" s="1">
        <f t="shared" si="249"/>
        <v>0</v>
      </c>
      <c r="DM7" s="1">
        <f t="shared" si="249"/>
        <v>0</v>
      </c>
      <c r="DN7" s="1"/>
      <c r="DO7" s="1"/>
      <c r="DQ7" s="36"/>
      <c r="DT7" s="3" t="s">
        <v>757</v>
      </c>
      <c r="DU7" s="1">
        <v>0</v>
      </c>
      <c r="DV7" s="1">
        <f>IF(AND(DU6=2,DV6&lt;&gt;2),1,0)</f>
        <v>0</v>
      </c>
      <c r="DW7" s="1">
        <f t="shared" ref="DW7:EC7" si="250">IF(AND(DV6=2,DW6&lt;&gt;2),1,0)</f>
        <v>0</v>
      </c>
      <c r="DX7" s="1">
        <f t="shared" si="250"/>
        <v>1</v>
      </c>
      <c r="DY7" s="1">
        <f t="shared" si="250"/>
        <v>0</v>
      </c>
      <c r="DZ7" s="1">
        <f t="shared" si="250"/>
        <v>0</v>
      </c>
      <c r="EA7" s="1">
        <f t="shared" si="250"/>
        <v>0</v>
      </c>
      <c r="EB7" s="1">
        <f t="shared" si="250"/>
        <v>0</v>
      </c>
      <c r="EC7" s="1">
        <f t="shared" si="250"/>
        <v>0</v>
      </c>
      <c r="ED7" s="1"/>
      <c r="EE7" s="1"/>
      <c r="EG7" s="36"/>
      <c r="EJ7" s="3" t="s">
        <v>758</v>
      </c>
      <c r="EK7" s="1">
        <v>0</v>
      </c>
      <c r="EL7" s="1">
        <f>IF(AND(EK6=2,EL6&lt;&gt;2),1,0)</f>
        <v>0</v>
      </c>
      <c r="EM7" s="1">
        <f t="shared" ref="EM7:ES7" si="251">IF(AND(EL6=2,EM6&lt;&gt;2),1,0)</f>
        <v>1</v>
      </c>
      <c r="EN7" s="1">
        <f t="shared" si="251"/>
        <v>0</v>
      </c>
      <c r="EO7" s="1">
        <f t="shared" si="251"/>
        <v>0</v>
      </c>
      <c r="EP7" s="1">
        <f t="shared" si="251"/>
        <v>0</v>
      </c>
      <c r="EQ7" s="1">
        <f t="shared" si="251"/>
        <v>0</v>
      </c>
      <c r="ER7" s="1">
        <f t="shared" si="251"/>
        <v>0</v>
      </c>
      <c r="ES7" s="1">
        <f t="shared" si="251"/>
        <v>0</v>
      </c>
      <c r="ET7" s="1"/>
      <c r="EU7" s="1"/>
      <c r="EW7" s="36"/>
      <c r="EZ7" s="3" t="s">
        <v>759</v>
      </c>
      <c r="FA7" s="1">
        <v>0</v>
      </c>
      <c r="FB7" s="1">
        <f>IF(AND(FA6=2,FB6&lt;&gt;2),1,0)</f>
        <v>0</v>
      </c>
      <c r="FC7" s="1">
        <f t="shared" ref="FC7:FI7" si="252">IF(AND(FB6=2,FC6&lt;&gt;2),1,0)</f>
        <v>0</v>
      </c>
      <c r="FD7" s="1">
        <f t="shared" si="252"/>
        <v>1</v>
      </c>
      <c r="FE7" s="1">
        <f t="shared" si="252"/>
        <v>0</v>
      </c>
      <c r="FF7" s="1">
        <f t="shared" si="252"/>
        <v>0</v>
      </c>
      <c r="FG7" s="1">
        <f t="shared" si="252"/>
        <v>0</v>
      </c>
      <c r="FH7" s="1">
        <f t="shared" si="252"/>
        <v>0</v>
      </c>
      <c r="FI7" s="1">
        <f t="shared" si="252"/>
        <v>0</v>
      </c>
      <c r="FJ7" s="1"/>
      <c r="FK7" s="1"/>
      <c r="FM7" s="36"/>
      <c r="FP7" s="3" t="s">
        <v>760</v>
      </c>
      <c r="FQ7" s="1">
        <v>0</v>
      </c>
      <c r="FR7" s="1">
        <f>IF(AND(FQ6=2,FR6&lt;&gt;2),1,0)</f>
        <v>0</v>
      </c>
      <c r="FS7" s="1">
        <f t="shared" ref="FS7:FY7" si="253">IF(AND(FR6=2,FS6&lt;&gt;2),1,0)</f>
        <v>1</v>
      </c>
      <c r="FT7" s="1">
        <f t="shared" si="253"/>
        <v>0</v>
      </c>
      <c r="FU7" s="1">
        <f t="shared" si="253"/>
        <v>0</v>
      </c>
      <c r="FV7" s="1">
        <f t="shared" si="253"/>
        <v>0</v>
      </c>
      <c r="FW7" s="1">
        <f t="shared" si="253"/>
        <v>0</v>
      </c>
      <c r="FX7" s="1">
        <f t="shared" si="253"/>
        <v>0</v>
      </c>
      <c r="FY7" s="1">
        <f t="shared" si="253"/>
        <v>0</v>
      </c>
      <c r="FZ7" s="1"/>
      <c r="GA7" s="1"/>
      <c r="GC7" s="36"/>
      <c r="GF7" s="3" t="s">
        <v>761</v>
      </c>
      <c r="GG7" s="1">
        <v>0</v>
      </c>
      <c r="GH7" s="1">
        <f>IF(AND(GG6=2,GH6&lt;&gt;2),1,0)</f>
        <v>0</v>
      </c>
      <c r="GI7" s="1">
        <f t="shared" ref="GI7:GO7" si="254">IF(AND(GH6=2,GI6&lt;&gt;2),1,0)</f>
        <v>0</v>
      </c>
      <c r="GJ7" s="1">
        <f t="shared" si="254"/>
        <v>0</v>
      </c>
      <c r="GK7" s="1">
        <f t="shared" si="254"/>
        <v>1</v>
      </c>
      <c r="GL7" s="1">
        <f t="shared" si="254"/>
        <v>0</v>
      </c>
      <c r="GM7" s="1">
        <f t="shared" si="254"/>
        <v>0</v>
      </c>
      <c r="GN7" s="1">
        <f t="shared" si="254"/>
        <v>0</v>
      </c>
      <c r="GO7" s="1">
        <f t="shared" si="254"/>
        <v>0</v>
      </c>
      <c r="GP7" s="1"/>
      <c r="GQ7" s="1"/>
      <c r="GR7" s="1"/>
      <c r="GS7" s="36"/>
      <c r="GT7" s="1"/>
      <c r="GV7" s="3" t="s">
        <v>762</v>
      </c>
      <c r="GW7" s="1">
        <v>0</v>
      </c>
      <c r="GX7" s="1">
        <f>IF(AND(GW6=2,GX6&lt;&gt;2),1,0)</f>
        <v>0</v>
      </c>
      <c r="GY7" s="1">
        <f t="shared" ref="GY7:HE7" si="255">IF(AND(GX6=2,GY6&lt;&gt;2),1,0)</f>
        <v>0</v>
      </c>
      <c r="GZ7" s="1">
        <f t="shared" si="255"/>
        <v>0</v>
      </c>
      <c r="HA7" s="1">
        <f t="shared" si="255"/>
        <v>1</v>
      </c>
      <c r="HB7" s="1">
        <f t="shared" si="255"/>
        <v>0</v>
      </c>
      <c r="HC7" s="1">
        <f t="shared" si="255"/>
        <v>0</v>
      </c>
      <c r="HD7" s="1">
        <f t="shared" si="255"/>
        <v>0</v>
      </c>
      <c r="HE7" s="1">
        <f t="shared" si="255"/>
        <v>0</v>
      </c>
      <c r="HF7" s="1"/>
      <c r="HG7" s="1"/>
      <c r="HH7" s="1"/>
      <c r="HI7" s="36"/>
      <c r="HJ7" s="1"/>
      <c r="HK7" s="1"/>
      <c r="HL7" s="3" t="s">
        <v>763</v>
      </c>
      <c r="HM7" s="1">
        <v>0</v>
      </c>
      <c r="HN7" s="1">
        <f>IF(AND(HM6=2,HN6&lt;&gt;2),1,0)</f>
        <v>0</v>
      </c>
      <c r="HO7" s="1">
        <f t="shared" ref="HO7:HU7" si="256">IF(AND(HN6=2,HO6&lt;&gt;2),1,0)</f>
        <v>0</v>
      </c>
      <c r="HP7" s="1">
        <f t="shared" si="256"/>
        <v>0</v>
      </c>
      <c r="HQ7" s="1">
        <f t="shared" si="256"/>
        <v>0</v>
      </c>
      <c r="HR7" s="1">
        <f t="shared" si="256"/>
        <v>1</v>
      </c>
      <c r="HS7" s="1">
        <f t="shared" si="256"/>
        <v>0</v>
      </c>
      <c r="HT7" s="1">
        <f t="shared" si="256"/>
        <v>0</v>
      </c>
      <c r="HU7" s="1">
        <f t="shared" si="256"/>
        <v>0</v>
      </c>
      <c r="HV7" s="1"/>
      <c r="HW7" s="1"/>
      <c r="HX7" s="1"/>
      <c r="HY7" s="36"/>
      <c r="HZ7" s="1"/>
      <c r="IA7" s="1"/>
      <c r="IB7" s="3" t="s">
        <v>764</v>
      </c>
      <c r="IC7" s="1">
        <v>0</v>
      </c>
      <c r="ID7" s="1">
        <f>IF(AND(IC6=2,ID6&lt;&gt;2),1,0)</f>
        <v>0</v>
      </c>
      <c r="IE7" s="1">
        <f t="shared" ref="IE7:IK7" si="257">IF(AND(ID6=2,IE6&lt;&gt;2),1,0)</f>
        <v>0</v>
      </c>
      <c r="IF7" s="1">
        <f t="shared" si="257"/>
        <v>0</v>
      </c>
      <c r="IG7" s="1">
        <f t="shared" si="257"/>
        <v>0</v>
      </c>
      <c r="IH7" s="1">
        <f t="shared" si="257"/>
        <v>1</v>
      </c>
      <c r="II7" s="1">
        <f t="shared" si="257"/>
        <v>0</v>
      </c>
      <c r="IJ7" s="1">
        <f t="shared" si="257"/>
        <v>0</v>
      </c>
      <c r="IK7" s="1">
        <f t="shared" si="257"/>
        <v>0</v>
      </c>
      <c r="IL7" s="1"/>
      <c r="IM7" s="1"/>
      <c r="IN7" s="1"/>
      <c r="IO7" s="36"/>
      <c r="IP7" s="1"/>
      <c r="IR7" s="3" t="s">
        <v>765</v>
      </c>
      <c r="IS7" s="1">
        <v>0</v>
      </c>
      <c r="IT7" s="1">
        <f>IF(AND(IS6=2,IT6&lt;&gt;2),1,0)</f>
        <v>0</v>
      </c>
      <c r="IU7" s="1">
        <f t="shared" ref="IU7:JA7" si="258">IF(AND(IT6=2,IU6&lt;&gt;2),1,0)</f>
        <v>0</v>
      </c>
      <c r="IV7" s="1">
        <f t="shared" si="258"/>
        <v>0</v>
      </c>
      <c r="IW7" s="1">
        <f t="shared" si="258"/>
        <v>0</v>
      </c>
      <c r="IX7" s="1">
        <f t="shared" si="258"/>
        <v>0</v>
      </c>
      <c r="IY7" s="1">
        <f t="shared" si="258"/>
        <v>1</v>
      </c>
      <c r="IZ7" s="1">
        <f t="shared" si="258"/>
        <v>0</v>
      </c>
      <c r="JA7" s="1">
        <f t="shared" si="258"/>
        <v>0</v>
      </c>
      <c r="JB7" s="1"/>
      <c r="JC7" s="1"/>
      <c r="JD7" s="1"/>
      <c r="JE7" s="36"/>
      <c r="JF7" s="1"/>
      <c r="JH7" s="3" t="s">
        <v>766</v>
      </c>
      <c r="JI7" s="1">
        <v>0</v>
      </c>
      <c r="JJ7" s="1">
        <f>IF(AND(JI6=2,JJ6&lt;&gt;2),1,0)</f>
        <v>0</v>
      </c>
      <c r="JK7" s="1">
        <f t="shared" ref="JK7:JQ7" si="259">IF(AND(JJ6=2,JK6&lt;&gt;2),1,0)</f>
        <v>0</v>
      </c>
      <c r="JL7" s="1">
        <f t="shared" si="259"/>
        <v>0</v>
      </c>
      <c r="JM7" s="1">
        <f t="shared" si="259"/>
        <v>1</v>
      </c>
      <c r="JN7" s="1">
        <f t="shared" si="259"/>
        <v>0</v>
      </c>
      <c r="JO7" s="1">
        <f t="shared" si="259"/>
        <v>0</v>
      </c>
      <c r="JP7" s="1">
        <f t="shared" si="259"/>
        <v>0</v>
      </c>
      <c r="JQ7" s="1">
        <f t="shared" si="259"/>
        <v>0</v>
      </c>
      <c r="JR7" s="1"/>
      <c r="JS7" s="1"/>
      <c r="JT7" s="1"/>
      <c r="JU7" s="36"/>
      <c r="JV7" s="1"/>
      <c r="JX7" s="3" t="s">
        <v>767</v>
      </c>
      <c r="JY7" s="1">
        <v>0</v>
      </c>
      <c r="JZ7" s="1">
        <f>IF(AND(JY6=2,JZ6&lt;&gt;2),1,0)</f>
        <v>0</v>
      </c>
      <c r="KA7" s="1">
        <f t="shared" ref="KA7:KG7" si="260">IF(AND(JZ6=2,KA6&lt;&gt;2),1,0)</f>
        <v>0</v>
      </c>
      <c r="KB7" s="1">
        <f t="shared" si="260"/>
        <v>0</v>
      </c>
      <c r="KC7" s="1">
        <f t="shared" si="260"/>
        <v>1</v>
      </c>
      <c r="KD7" s="1">
        <f t="shared" si="260"/>
        <v>0</v>
      </c>
      <c r="KE7" s="1">
        <f t="shared" si="260"/>
        <v>0</v>
      </c>
      <c r="KF7" s="1">
        <f t="shared" si="260"/>
        <v>0</v>
      </c>
      <c r="KG7" s="1">
        <f t="shared" si="260"/>
        <v>0</v>
      </c>
      <c r="KH7" s="1"/>
      <c r="KI7" s="1"/>
      <c r="KJ7" s="1"/>
      <c r="KK7" s="36"/>
      <c r="KL7" s="1"/>
      <c r="KN7" s="3" t="s">
        <v>768</v>
      </c>
      <c r="KO7" s="1">
        <v>0</v>
      </c>
      <c r="KP7" s="1">
        <f>IF(AND(KO6=2,KP6&lt;&gt;2),1,0)</f>
        <v>0</v>
      </c>
      <c r="KQ7" s="1">
        <f t="shared" ref="KQ7:KW7" si="261">IF(AND(KP6=2,KQ6&lt;&gt;2),1,0)</f>
        <v>0</v>
      </c>
      <c r="KR7" s="1">
        <f t="shared" si="261"/>
        <v>0</v>
      </c>
      <c r="KS7" s="1">
        <f t="shared" si="261"/>
        <v>0</v>
      </c>
      <c r="KT7" s="1">
        <f t="shared" si="261"/>
        <v>0</v>
      </c>
      <c r="KU7" s="1">
        <f t="shared" si="261"/>
        <v>0</v>
      </c>
      <c r="KV7" s="1">
        <f t="shared" si="261"/>
        <v>0</v>
      </c>
      <c r="KW7" s="1">
        <f t="shared" si="261"/>
        <v>0</v>
      </c>
      <c r="KX7" s="1"/>
      <c r="KY7" s="1"/>
      <c r="KZ7" s="1"/>
      <c r="LA7" s="36"/>
      <c r="LB7" s="1"/>
      <c r="LD7" s="3" t="s">
        <v>769</v>
      </c>
      <c r="LE7" s="1">
        <v>0</v>
      </c>
      <c r="LF7" s="1">
        <f>IF(AND(LE6=2,LF6&lt;&gt;2),1,0)</f>
        <v>0</v>
      </c>
      <c r="LG7" s="1">
        <f t="shared" ref="LG7:LM7" si="262">IF(AND(LF6=2,LG6&lt;&gt;2),1,0)</f>
        <v>0</v>
      </c>
      <c r="LH7" s="1">
        <f t="shared" si="262"/>
        <v>0</v>
      </c>
      <c r="LI7" s="1">
        <f t="shared" si="262"/>
        <v>0</v>
      </c>
      <c r="LJ7" s="1">
        <f t="shared" si="262"/>
        <v>0</v>
      </c>
      <c r="LK7" s="1">
        <f t="shared" si="262"/>
        <v>0</v>
      </c>
      <c r="LL7" s="1">
        <f t="shared" si="262"/>
        <v>0</v>
      </c>
      <c r="LM7" s="1">
        <f t="shared" si="262"/>
        <v>0</v>
      </c>
      <c r="LN7" s="1"/>
      <c r="LO7" s="1"/>
      <c r="LP7" s="1"/>
      <c r="LQ7" s="36"/>
      <c r="LR7" s="1"/>
      <c r="LT7" s="3" t="s">
        <v>770</v>
      </c>
      <c r="LU7" s="1">
        <v>0</v>
      </c>
      <c r="LV7" s="1">
        <f>IF(AND(LU6=2,LV6&lt;&gt;2),1,0)</f>
        <v>0</v>
      </c>
      <c r="LW7" s="1">
        <f t="shared" ref="LW7:MC7" si="263">IF(AND(LV6=2,LW6&lt;&gt;2),1,0)</f>
        <v>0</v>
      </c>
      <c r="LX7" s="1">
        <f t="shared" si="263"/>
        <v>0</v>
      </c>
      <c r="LY7" s="1">
        <f t="shared" si="263"/>
        <v>0</v>
      </c>
      <c r="LZ7" s="1">
        <f t="shared" si="263"/>
        <v>0</v>
      </c>
      <c r="MA7" s="1">
        <f t="shared" si="263"/>
        <v>0</v>
      </c>
      <c r="MB7" s="1">
        <f t="shared" si="263"/>
        <v>0</v>
      </c>
      <c r="MC7" s="1">
        <f t="shared" si="263"/>
        <v>0</v>
      </c>
      <c r="MD7" s="1"/>
      <c r="ME7" s="1"/>
      <c r="MF7" s="1"/>
      <c r="MG7" s="36"/>
      <c r="MH7" s="1"/>
      <c r="MJ7" s="3" t="s">
        <v>771</v>
      </c>
      <c r="MK7" s="1">
        <v>0</v>
      </c>
      <c r="ML7" s="1">
        <f>IF(AND(MK6=2,ML6&lt;&gt;2),1,0)</f>
        <v>0</v>
      </c>
      <c r="MM7" s="1">
        <f t="shared" ref="MM7:MS7" si="264">IF(AND(ML6=2,MM6&lt;&gt;2),1,0)</f>
        <v>0</v>
      </c>
      <c r="MN7" s="1">
        <f t="shared" si="264"/>
        <v>0</v>
      </c>
      <c r="MO7" s="1">
        <f t="shared" si="264"/>
        <v>0</v>
      </c>
      <c r="MP7" s="1">
        <f t="shared" si="264"/>
        <v>0</v>
      </c>
      <c r="MQ7" s="1">
        <f t="shared" si="264"/>
        <v>0</v>
      </c>
      <c r="MR7" s="1">
        <f t="shared" si="264"/>
        <v>0</v>
      </c>
      <c r="MS7" s="1">
        <f t="shared" si="264"/>
        <v>0</v>
      </c>
      <c r="MT7" s="1"/>
      <c r="MU7" s="1"/>
      <c r="MV7" s="1"/>
      <c r="MW7" s="36"/>
      <c r="MX7" s="1"/>
      <c r="MZ7" s="3" t="s">
        <v>772</v>
      </c>
      <c r="NA7" s="1">
        <v>0</v>
      </c>
      <c r="NB7" s="1">
        <f>IF(AND(NA6=2,NB6&lt;&gt;2),1,0)</f>
        <v>0</v>
      </c>
      <c r="NC7" s="1">
        <f t="shared" ref="NC7:NI7" si="265">IF(AND(NB6=2,NC6&lt;&gt;2),1,0)</f>
        <v>0</v>
      </c>
      <c r="ND7" s="1">
        <f t="shared" si="265"/>
        <v>0</v>
      </c>
      <c r="NE7" s="1">
        <f t="shared" si="265"/>
        <v>0</v>
      </c>
      <c r="NF7" s="1">
        <f t="shared" si="265"/>
        <v>0</v>
      </c>
      <c r="NG7" s="1">
        <f t="shared" si="265"/>
        <v>0</v>
      </c>
      <c r="NH7" s="1">
        <f t="shared" si="265"/>
        <v>0</v>
      </c>
      <c r="NI7" s="1">
        <f t="shared" si="265"/>
        <v>0</v>
      </c>
      <c r="NJ7" s="1"/>
      <c r="NK7" s="1"/>
      <c r="NL7" s="1"/>
      <c r="NM7" s="36"/>
      <c r="NN7" s="1"/>
      <c r="NP7" s="3" t="s">
        <v>773</v>
      </c>
      <c r="NQ7" s="1">
        <v>0</v>
      </c>
      <c r="NR7" s="1">
        <f>IF(AND(NQ6=2,NR6&lt;&gt;2),1,0)</f>
        <v>0</v>
      </c>
      <c r="NS7" s="1">
        <f t="shared" ref="NS7:NY7" si="266">IF(AND(NR6=2,NS6&lt;&gt;2),1,0)</f>
        <v>0</v>
      </c>
      <c r="NT7" s="1">
        <f t="shared" si="266"/>
        <v>0</v>
      </c>
      <c r="NU7" s="1">
        <f t="shared" si="266"/>
        <v>0</v>
      </c>
      <c r="NV7" s="1">
        <f t="shared" si="266"/>
        <v>0</v>
      </c>
      <c r="NW7" s="1">
        <f t="shared" si="266"/>
        <v>0</v>
      </c>
      <c r="NX7" s="1">
        <f t="shared" si="266"/>
        <v>0</v>
      </c>
      <c r="NY7" s="1">
        <f t="shared" si="266"/>
        <v>0</v>
      </c>
      <c r="NZ7" s="1"/>
      <c r="OA7" s="1"/>
      <c r="OB7" s="1"/>
      <c r="OC7" s="36"/>
      <c r="OD7" s="1"/>
      <c r="OF7" s="3" t="s">
        <v>774</v>
      </c>
      <c r="OG7" s="1">
        <v>0</v>
      </c>
      <c r="OH7" s="1">
        <f>IF(AND(OG6=2,OH6&lt;&gt;2),1,0)</f>
        <v>0</v>
      </c>
      <c r="OI7" s="1">
        <f t="shared" ref="OI7:OO7" si="267">IF(AND(OH6=2,OI6&lt;&gt;2),1,0)</f>
        <v>0</v>
      </c>
      <c r="OJ7" s="1">
        <f t="shared" si="267"/>
        <v>0</v>
      </c>
      <c r="OK7" s="1">
        <f t="shared" si="267"/>
        <v>0</v>
      </c>
      <c r="OL7" s="1">
        <f t="shared" si="267"/>
        <v>0</v>
      </c>
      <c r="OM7" s="1">
        <f t="shared" si="267"/>
        <v>0</v>
      </c>
      <c r="ON7" s="1">
        <f t="shared" si="267"/>
        <v>0</v>
      </c>
      <c r="OO7" s="1">
        <f t="shared" si="267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775</v>
      </c>
      <c r="X8" s="3"/>
      <c r="Y8" s="22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776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777</v>
      </c>
      <c r="BY8" s="1">
        <v>0</v>
      </c>
      <c r="BZ8" s="4">
        <f>IF(BZ7=1,Results!C5+1,BY8)</f>
        <v>0</v>
      </c>
      <c r="CA8" s="4">
        <f>IF(CA7=1,Results!D5+1,BZ8)</f>
        <v>0</v>
      </c>
      <c r="CB8" s="4">
        <f>IF(CB7=1,Results!E5+1,CA8)</f>
        <v>0</v>
      </c>
      <c r="CC8" s="4">
        <f>IF(CC7=1,Results!F5+1,CB8)</f>
        <v>0</v>
      </c>
      <c r="CD8" s="4">
        <f>IF(CD7=1,Results!G5+1,CC8)</f>
        <v>0</v>
      </c>
      <c r="CE8" s="4">
        <f>IF(CE7=1,Results!H5+1,CD8)</f>
        <v>0</v>
      </c>
      <c r="CF8" s="4">
        <f>IF(CF7=1,Results!I5+1,CE8)</f>
        <v>0</v>
      </c>
      <c r="CG8" s="4">
        <f>IF(CG7=1,Results!J5+1,CF8)</f>
        <v>0</v>
      </c>
      <c r="CH8" s="4"/>
      <c r="CI8" s="4"/>
      <c r="CK8" s="36"/>
      <c r="CN8" s="3" t="s">
        <v>778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779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780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4</v>
      </c>
      <c r="DY8" s="4">
        <f>IF(DY7=1,Results!F5+1,DX8)</f>
        <v>4</v>
      </c>
      <c r="DZ8" s="4">
        <f>IF(DZ7=1,Results!G5+1,DY8)</f>
        <v>4</v>
      </c>
      <c r="EA8" s="4">
        <f>IF(EA7=1,Results!H5+1,DZ8)</f>
        <v>4</v>
      </c>
      <c r="EB8" s="4">
        <f>IF(EB7=1,Results!I5+1,EA8)</f>
        <v>4</v>
      </c>
      <c r="EC8" s="4">
        <f>IF(EC7=1,Results!J5+1,EB8)</f>
        <v>4</v>
      </c>
      <c r="ED8" s="4"/>
      <c r="EE8" s="4"/>
      <c r="EG8" s="36"/>
      <c r="EJ8" s="3" t="s">
        <v>781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782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783</v>
      </c>
      <c r="FQ8" s="1">
        <v>0</v>
      </c>
      <c r="FR8" s="4">
        <f>IF(FR7=1,Results!C5+1,FQ8)</f>
        <v>0</v>
      </c>
      <c r="FS8" s="4">
        <f>IF(FS7=1,Results!D5+1,FR8)</f>
        <v>3</v>
      </c>
      <c r="FT8" s="4">
        <f>IF(FT7=1,Results!E5+1,FS8)</f>
        <v>3</v>
      </c>
      <c r="FU8" s="4">
        <f>IF(FU7=1,Results!F5+1,FT8)</f>
        <v>3</v>
      </c>
      <c r="FV8" s="4">
        <f>IF(FV7=1,Results!G5+1,FU8)</f>
        <v>3</v>
      </c>
      <c r="FW8" s="4">
        <f>IF(FW7=1,Results!H5+1,FV8)</f>
        <v>3</v>
      </c>
      <c r="FX8" s="4">
        <f>IF(FX7=1,Results!I5+1,FW8)</f>
        <v>3</v>
      </c>
      <c r="FY8" s="1">
        <f>IF(FY7=1,Results!J5+1,FX8)</f>
        <v>3</v>
      </c>
      <c r="FZ8" s="4"/>
      <c r="GA8" s="1"/>
      <c r="GC8" s="36"/>
      <c r="GF8" s="3" t="s">
        <v>784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R8" s="4"/>
      <c r="GS8" s="36"/>
      <c r="GT8" s="4"/>
      <c r="GV8" s="3" t="s">
        <v>785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786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787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N8" s="4"/>
      <c r="IO8" s="36"/>
      <c r="IP8" s="4"/>
      <c r="IR8" s="3" t="s">
        <v>788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0</v>
      </c>
      <c r="IW8" s="4">
        <f>IF(IW7=1,Results!$F5+1,IV8)</f>
        <v>0</v>
      </c>
      <c r="IX8" s="4">
        <f>IF(IX7=1,Results!$G5+1,IW8)</f>
        <v>0</v>
      </c>
      <c r="IY8" s="4">
        <f>IF(IY7=1,Results!$H5+1,IX8)</f>
        <v>7</v>
      </c>
      <c r="IZ8" s="4">
        <f>IF(IZ7=1,Results!$I5+1,IY8)</f>
        <v>7</v>
      </c>
      <c r="JA8" s="4">
        <f>IF(JA7=1,Results!$J5+1,IZ8)</f>
        <v>7</v>
      </c>
      <c r="JB8" s="4"/>
      <c r="JC8" s="4"/>
      <c r="JD8" s="4"/>
      <c r="JE8" s="36"/>
      <c r="JF8" s="4"/>
      <c r="JH8" s="3" t="s">
        <v>789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790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791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792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793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794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795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796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797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798</v>
      </c>
      <c r="X9" s="3"/>
      <c r="Y9" s="23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799</v>
      </c>
      <c r="BI9" s="4">
        <v>0</v>
      </c>
      <c r="BJ9" s="4">
        <f>+BI4</f>
        <v>0</v>
      </c>
      <c r="BK9" s="4">
        <f t="shared" ref="BK9:BQ9" si="268">+BJ4-BI4</f>
        <v>0</v>
      </c>
      <c r="BL9" s="4">
        <f t="shared" si="268"/>
        <v>0</v>
      </c>
      <c r="BM9" s="4">
        <f t="shared" si="268"/>
        <v>0</v>
      </c>
      <c r="BN9" s="4">
        <f t="shared" si="268"/>
        <v>0</v>
      </c>
      <c r="BO9" s="4">
        <f t="shared" si="268"/>
        <v>0</v>
      </c>
      <c r="BP9" s="4">
        <f t="shared" si="268"/>
        <v>0</v>
      </c>
      <c r="BQ9" s="4">
        <f t="shared" si="268"/>
        <v>0</v>
      </c>
      <c r="BR9" s="4"/>
      <c r="BS9" s="4"/>
      <c r="BU9" s="36"/>
      <c r="BX9" s="3" t="s">
        <v>800</v>
      </c>
      <c r="BY9" s="4">
        <v>0</v>
      </c>
      <c r="BZ9" s="4">
        <f>+BY4</f>
        <v>0</v>
      </c>
      <c r="CA9" s="4">
        <f t="shared" ref="CA9:CG9" si="269">+BZ4-BY4</f>
        <v>0</v>
      </c>
      <c r="CB9" s="4">
        <f t="shared" si="269"/>
        <v>0</v>
      </c>
      <c r="CC9" s="4">
        <f t="shared" si="269"/>
        <v>0</v>
      </c>
      <c r="CD9" s="4">
        <f t="shared" si="269"/>
        <v>0</v>
      </c>
      <c r="CE9" s="4">
        <f t="shared" si="269"/>
        <v>0</v>
      </c>
      <c r="CF9" s="4">
        <f t="shared" si="269"/>
        <v>0</v>
      </c>
      <c r="CG9" s="4">
        <f t="shared" si="269"/>
        <v>0</v>
      </c>
      <c r="CH9" s="4"/>
      <c r="CI9" s="4"/>
      <c r="CK9" s="36"/>
      <c r="CN9" s="3" t="s">
        <v>801</v>
      </c>
      <c r="CO9" s="4">
        <v>0</v>
      </c>
      <c r="CP9" s="4">
        <f>+CO4</f>
        <v>0</v>
      </c>
      <c r="CQ9" s="4">
        <f t="shared" ref="CQ9:CW9" si="270">+CP4-CO4</f>
        <v>0</v>
      </c>
      <c r="CR9" s="4">
        <f t="shared" si="270"/>
        <v>0</v>
      </c>
      <c r="CS9" s="4">
        <f t="shared" si="270"/>
        <v>0</v>
      </c>
      <c r="CT9" s="4">
        <f t="shared" si="270"/>
        <v>0</v>
      </c>
      <c r="CU9" s="4">
        <f t="shared" si="270"/>
        <v>0</v>
      </c>
      <c r="CV9" s="4">
        <f t="shared" si="270"/>
        <v>0</v>
      </c>
      <c r="CW9" s="4">
        <f t="shared" si="270"/>
        <v>0</v>
      </c>
      <c r="CX9" s="4"/>
      <c r="CY9" s="4"/>
      <c r="DA9" s="36"/>
      <c r="DD9" s="3" t="s">
        <v>802</v>
      </c>
      <c r="DE9" s="4">
        <v>0</v>
      </c>
      <c r="DF9" s="4">
        <f>+DE4</f>
        <v>0</v>
      </c>
      <c r="DG9" s="4">
        <f t="shared" ref="DG9:DM9" si="271">+DF4-DE4</f>
        <v>0</v>
      </c>
      <c r="DH9" s="4">
        <f t="shared" si="271"/>
        <v>0</v>
      </c>
      <c r="DI9" s="4">
        <f t="shared" si="271"/>
        <v>0</v>
      </c>
      <c r="DJ9" s="4">
        <f t="shared" si="271"/>
        <v>0</v>
      </c>
      <c r="DK9" s="4">
        <f t="shared" si="271"/>
        <v>0</v>
      </c>
      <c r="DL9" s="4">
        <f t="shared" si="271"/>
        <v>0</v>
      </c>
      <c r="DM9" s="4">
        <f t="shared" si="271"/>
        <v>0</v>
      </c>
      <c r="DN9" s="4"/>
      <c r="DO9" s="4"/>
      <c r="DQ9" s="36"/>
      <c r="DT9" s="3" t="s">
        <v>803</v>
      </c>
      <c r="DU9" s="4">
        <v>0</v>
      </c>
      <c r="DV9" s="4">
        <f>+DU4</f>
        <v>0</v>
      </c>
      <c r="DW9" s="4">
        <f t="shared" ref="DW9:EC9" si="272">+DV4-DU4</f>
        <v>0</v>
      </c>
      <c r="DX9" s="4">
        <f t="shared" si="272"/>
        <v>0</v>
      </c>
      <c r="DY9" s="4">
        <f t="shared" si="272"/>
        <v>0</v>
      </c>
      <c r="DZ9" s="4">
        <f t="shared" si="272"/>
        <v>0</v>
      </c>
      <c r="EA9" s="4">
        <f t="shared" si="272"/>
        <v>0</v>
      </c>
      <c r="EB9" s="4">
        <f t="shared" si="272"/>
        <v>0</v>
      </c>
      <c r="EC9" s="4">
        <f t="shared" si="272"/>
        <v>0</v>
      </c>
      <c r="ED9" s="4"/>
      <c r="EE9" s="4"/>
      <c r="EG9" s="36"/>
      <c r="EJ9" s="3" t="s">
        <v>804</v>
      </c>
      <c r="EK9" s="4">
        <v>0</v>
      </c>
      <c r="EL9" s="4">
        <f>+EK4</f>
        <v>0</v>
      </c>
      <c r="EM9" s="4">
        <f t="shared" ref="EM9:ES9" si="273">+EL4-EK4</f>
        <v>0</v>
      </c>
      <c r="EN9" s="4">
        <f t="shared" si="273"/>
        <v>0</v>
      </c>
      <c r="EO9" s="4">
        <f t="shared" si="273"/>
        <v>0</v>
      </c>
      <c r="EP9" s="4">
        <f t="shared" si="273"/>
        <v>0</v>
      </c>
      <c r="EQ9" s="4">
        <f t="shared" si="273"/>
        <v>0</v>
      </c>
      <c r="ER9" s="4">
        <f t="shared" si="273"/>
        <v>0</v>
      </c>
      <c r="ES9" s="4">
        <f t="shared" si="273"/>
        <v>0</v>
      </c>
      <c r="ET9" s="4"/>
      <c r="EU9" s="4"/>
      <c r="EW9" s="36"/>
      <c r="EZ9" s="3" t="s">
        <v>805</v>
      </c>
      <c r="FA9" s="4">
        <v>0</v>
      </c>
      <c r="FB9" s="4">
        <f>+FA4</f>
        <v>0</v>
      </c>
      <c r="FC9" s="4">
        <f t="shared" ref="FC9:FI9" si="274">+FB4-FA4</f>
        <v>0</v>
      </c>
      <c r="FD9" s="4">
        <f t="shared" si="274"/>
        <v>0</v>
      </c>
      <c r="FE9" s="4">
        <f t="shared" si="274"/>
        <v>0</v>
      </c>
      <c r="FF9" s="4">
        <f t="shared" si="274"/>
        <v>0</v>
      </c>
      <c r="FG9" s="4">
        <f t="shared" si="274"/>
        <v>0</v>
      </c>
      <c r="FH9" s="4">
        <f t="shared" si="274"/>
        <v>0</v>
      </c>
      <c r="FI9" s="4">
        <f t="shared" si="274"/>
        <v>0</v>
      </c>
      <c r="FJ9" s="4"/>
      <c r="FK9" s="4"/>
      <c r="FM9" s="36"/>
      <c r="FP9" s="3" t="s">
        <v>806</v>
      </c>
      <c r="FQ9" s="4">
        <v>0</v>
      </c>
      <c r="FR9" s="4">
        <f>+FQ4</f>
        <v>0</v>
      </c>
      <c r="FS9" s="4">
        <f t="shared" ref="FS9:FY9" si="275">+FR4-FQ4</f>
        <v>0</v>
      </c>
      <c r="FT9" s="4">
        <f t="shared" si="275"/>
        <v>0</v>
      </c>
      <c r="FU9" s="4">
        <f t="shared" si="275"/>
        <v>0</v>
      </c>
      <c r="FV9" s="4">
        <f t="shared" si="275"/>
        <v>0</v>
      </c>
      <c r="FW9" s="4">
        <f t="shared" si="275"/>
        <v>0</v>
      </c>
      <c r="FX9" s="4">
        <f t="shared" si="275"/>
        <v>0</v>
      </c>
      <c r="FY9" s="4">
        <f t="shared" si="275"/>
        <v>0</v>
      </c>
      <c r="FZ9" s="4"/>
      <c r="GA9" s="4"/>
      <c r="GC9" s="36"/>
      <c r="GF9" s="3" t="s">
        <v>807</v>
      </c>
      <c r="GG9" s="4">
        <v>0</v>
      </c>
      <c r="GH9" s="4">
        <f>+GG4</f>
        <v>0</v>
      </c>
      <c r="GI9" s="4">
        <f t="shared" ref="GI9:GO9" si="276">+GH4-GG4</f>
        <v>0</v>
      </c>
      <c r="GJ9" s="4">
        <f t="shared" si="276"/>
        <v>0</v>
      </c>
      <c r="GK9" s="4">
        <f t="shared" si="276"/>
        <v>0</v>
      </c>
      <c r="GL9" s="4">
        <f t="shared" si="276"/>
        <v>0</v>
      </c>
      <c r="GM9" s="4">
        <f t="shared" si="276"/>
        <v>0</v>
      </c>
      <c r="GN9" s="4">
        <f t="shared" si="276"/>
        <v>0</v>
      </c>
      <c r="GO9" s="4">
        <f t="shared" si="276"/>
        <v>0</v>
      </c>
      <c r="GP9" s="4"/>
      <c r="GQ9" s="4"/>
      <c r="GR9" s="4"/>
      <c r="GS9" s="36"/>
      <c r="GT9" s="4"/>
      <c r="GV9" s="3" t="s">
        <v>808</v>
      </c>
      <c r="GW9" s="4">
        <v>0</v>
      </c>
      <c r="GX9" s="4">
        <f>+GW4</f>
        <v>0</v>
      </c>
      <c r="GY9" s="4">
        <f t="shared" ref="GY9:HE9" si="277">+GX4-GW4</f>
        <v>0</v>
      </c>
      <c r="GZ9" s="4">
        <f t="shared" si="277"/>
        <v>0</v>
      </c>
      <c r="HA9" s="4">
        <f t="shared" si="277"/>
        <v>0</v>
      </c>
      <c r="HB9" s="4">
        <f t="shared" si="277"/>
        <v>0</v>
      </c>
      <c r="HC9" s="4">
        <f t="shared" si="277"/>
        <v>0</v>
      </c>
      <c r="HD9" s="4">
        <f t="shared" si="277"/>
        <v>0</v>
      </c>
      <c r="HE9" s="4">
        <f t="shared" si="277"/>
        <v>0</v>
      </c>
      <c r="HF9" s="4"/>
      <c r="HG9" s="4"/>
      <c r="HH9" s="4"/>
      <c r="HI9" s="36"/>
      <c r="HJ9" s="4"/>
      <c r="HK9" s="4"/>
      <c r="HL9" s="3" t="s">
        <v>809</v>
      </c>
      <c r="HM9" s="4">
        <v>0</v>
      </c>
      <c r="HN9" s="4">
        <f>+HM4</f>
        <v>0</v>
      </c>
      <c r="HO9" s="4">
        <f t="shared" ref="HO9:HU9" si="278">+HN4-HM4</f>
        <v>0</v>
      </c>
      <c r="HP9" s="4">
        <f t="shared" si="278"/>
        <v>0</v>
      </c>
      <c r="HQ9" s="4">
        <f t="shared" si="278"/>
        <v>0</v>
      </c>
      <c r="HR9" s="4">
        <f t="shared" si="278"/>
        <v>0</v>
      </c>
      <c r="HS9" s="4">
        <f t="shared" si="278"/>
        <v>0</v>
      </c>
      <c r="HT9" s="4">
        <f t="shared" si="278"/>
        <v>0</v>
      </c>
      <c r="HU9" s="4">
        <f t="shared" si="278"/>
        <v>0</v>
      </c>
      <c r="HV9" s="4"/>
      <c r="HW9" s="4"/>
      <c r="HX9" s="4"/>
      <c r="HY9" s="36"/>
      <c r="HZ9" s="4"/>
      <c r="IA9" s="4"/>
      <c r="IB9" s="3" t="s">
        <v>810</v>
      </c>
      <c r="IC9" s="4">
        <v>0</v>
      </c>
      <c r="ID9" s="4">
        <f>+IC4</f>
        <v>0</v>
      </c>
      <c r="IE9" s="4">
        <f t="shared" ref="IE9:IK9" si="279">+ID4-IC4</f>
        <v>0</v>
      </c>
      <c r="IF9" s="4">
        <f t="shared" si="279"/>
        <v>0</v>
      </c>
      <c r="IG9" s="4">
        <f t="shared" si="279"/>
        <v>0</v>
      </c>
      <c r="IH9" s="4">
        <f t="shared" si="279"/>
        <v>0</v>
      </c>
      <c r="II9" s="4">
        <f t="shared" si="279"/>
        <v>0</v>
      </c>
      <c r="IJ9" s="4">
        <f t="shared" si="279"/>
        <v>0</v>
      </c>
      <c r="IK9" s="4">
        <f t="shared" si="279"/>
        <v>0</v>
      </c>
      <c r="IL9" s="4"/>
      <c r="IM9" s="4"/>
      <c r="IN9" s="4"/>
      <c r="IO9" s="36"/>
      <c r="IP9" s="4"/>
      <c r="IR9" s="3" t="s">
        <v>811</v>
      </c>
      <c r="IS9" s="4">
        <v>0</v>
      </c>
      <c r="IT9" s="4">
        <f>+IS4</f>
        <v>0</v>
      </c>
      <c r="IU9" s="4">
        <f t="shared" ref="IU9:JA9" si="280">+IT4-IS4</f>
        <v>0</v>
      </c>
      <c r="IV9" s="4">
        <f t="shared" si="280"/>
        <v>0</v>
      </c>
      <c r="IW9" s="4">
        <f t="shared" si="280"/>
        <v>0</v>
      </c>
      <c r="IX9" s="4">
        <f t="shared" si="280"/>
        <v>0</v>
      </c>
      <c r="IY9" s="4">
        <f t="shared" si="280"/>
        <v>0</v>
      </c>
      <c r="IZ9" s="4">
        <f t="shared" si="280"/>
        <v>0</v>
      </c>
      <c r="JA9" s="4">
        <f t="shared" si="280"/>
        <v>0</v>
      </c>
      <c r="JB9" s="4"/>
      <c r="JC9" s="4"/>
      <c r="JD9" s="4"/>
      <c r="JE9" s="36"/>
      <c r="JF9" s="4"/>
      <c r="JH9" s="3" t="s">
        <v>812</v>
      </c>
      <c r="JI9" s="4">
        <v>0</v>
      </c>
      <c r="JJ9" s="4">
        <f>+JI4</f>
        <v>0</v>
      </c>
      <c r="JK9" s="4">
        <f t="shared" ref="JK9:JQ9" si="281">+JJ4-JI4</f>
        <v>0</v>
      </c>
      <c r="JL9" s="4">
        <f t="shared" si="281"/>
        <v>0</v>
      </c>
      <c r="JM9" s="4">
        <f t="shared" si="281"/>
        <v>0</v>
      </c>
      <c r="JN9" s="4">
        <f t="shared" si="281"/>
        <v>0</v>
      </c>
      <c r="JO9" s="4">
        <f t="shared" si="281"/>
        <v>0</v>
      </c>
      <c r="JP9" s="4">
        <f t="shared" si="281"/>
        <v>0</v>
      </c>
      <c r="JQ9" s="4">
        <f t="shared" si="281"/>
        <v>0</v>
      </c>
      <c r="JR9" s="4"/>
      <c r="JS9" s="4"/>
      <c r="JT9" s="4"/>
      <c r="JU9" s="36"/>
      <c r="JV9" s="4"/>
      <c r="JX9" s="3" t="s">
        <v>813</v>
      </c>
      <c r="JY9" s="4">
        <v>0</v>
      </c>
      <c r="JZ9" s="4">
        <f>+JY4</f>
        <v>0</v>
      </c>
      <c r="KA9" s="4">
        <f t="shared" ref="KA9:KG9" si="282">+JZ4-JY4</f>
        <v>0</v>
      </c>
      <c r="KB9" s="4">
        <f t="shared" si="282"/>
        <v>0</v>
      </c>
      <c r="KC9" s="4">
        <f t="shared" si="282"/>
        <v>0</v>
      </c>
      <c r="KD9" s="4">
        <f t="shared" si="282"/>
        <v>0</v>
      </c>
      <c r="KE9" s="4">
        <f t="shared" si="282"/>
        <v>0</v>
      </c>
      <c r="KF9" s="4">
        <f t="shared" si="282"/>
        <v>0</v>
      </c>
      <c r="KG9" s="4">
        <f t="shared" si="282"/>
        <v>0</v>
      </c>
      <c r="KH9" s="4"/>
      <c r="KI9" s="4"/>
      <c r="KJ9" s="4"/>
      <c r="KK9" s="36"/>
      <c r="KL9" s="4"/>
      <c r="KN9" s="3" t="s">
        <v>814</v>
      </c>
      <c r="KO9" s="4">
        <v>0</v>
      </c>
      <c r="KP9" s="4">
        <f>+KO4</f>
        <v>0</v>
      </c>
      <c r="KQ9" s="4">
        <f t="shared" ref="KQ9:KW9" si="283">+KP4-KO4</f>
        <v>0</v>
      </c>
      <c r="KR9" s="4">
        <f t="shared" si="283"/>
        <v>0</v>
      </c>
      <c r="KS9" s="4">
        <f t="shared" si="283"/>
        <v>0</v>
      </c>
      <c r="KT9" s="4">
        <f t="shared" si="283"/>
        <v>0</v>
      </c>
      <c r="KU9" s="4">
        <f t="shared" si="283"/>
        <v>0</v>
      </c>
      <c r="KV9" s="4">
        <f t="shared" si="283"/>
        <v>0</v>
      </c>
      <c r="KW9" s="4">
        <f t="shared" si="283"/>
        <v>0</v>
      </c>
      <c r="KX9" s="4"/>
      <c r="KY9" s="4"/>
      <c r="KZ9" s="4"/>
      <c r="LA9" s="36"/>
      <c r="LB9" s="4"/>
      <c r="LD9" s="3" t="s">
        <v>815</v>
      </c>
      <c r="LE9" s="4">
        <v>0</v>
      </c>
      <c r="LF9" s="4">
        <f>+LE4</f>
        <v>0</v>
      </c>
      <c r="LG9" s="4">
        <f t="shared" ref="LG9:LM9" si="284">+LF4-LE4</f>
        <v>0</v>
      </c>
      <c r="LH9" s="4">
        <f t="shared" si="284"/>
        <v>0</v>
      </c>
      <c r="LI9" s="4">
        <f t="shared" si="284"/>
        <v>0</v>
      </c>
      <c r="LJ9" s="4">
        <f t="shared" si="284"/>
        <v>0</v>
      </c>
      <c r="LK9" s="4">
        <f t="shared" si="284"/>
        <v>0</v>
      </c>
      <c r="LL9" s="4">
        <f t="shared" si="284"/>
        <v>0</v>
      </c>
      <c r="LM9" s="4">
        <f t="shared" si="284"/>
        <v>0</v>
      </c>
      <c r="LN9" s="4"/>
      <c r="LO9" s="4"/>
      <c r="LP9" s="4"/>
      <c r="LQ9" s="36"/>
      <c r="LR9" s="4"/>
      <c r="LT9" s="3" t="s">
        <v>816</v>
      </c>
      <c r="LU9" s="4">
        <v>0</v>
      </c>
      <c r="LV9" s="4">
        <f>+LU4</f>
        <v>0</v>
      </c>
      <c r="LW9" s="4">
        <f t="shared" ref="LW9:MC9" si="285">+LV4-LU4</f>
        <v>0</v>
      </c>
      <c r="LX9" s="4">
        <f t="shared" si="285"/>
        <v>0</v>
      </c>
      <c r="LY9" s="4">
        <f t="shared" si="285"/>
        <v>0</v>
      </c>
      <c r="LZ9" s="4">
        <f t="shared" si="285"/>
        <v>0</v>
      </c>
      <c r="MA9" s="4">
        <f t="shared" si="285"/>
        <v>0</v>
      </c>
      <c r="MB9" s="4">
        <f t="shared" si="285"/>
        <v>0</v>
      </c>
      <c r="MC9" s="4">
        <f t="shared" si="285"/>
        <v>0</v>
      </c>
      <c r="MD9" s="4"/>
      <c r="ME9" s="4"/>
      <c r="MF9" s="4"/>
      <c r="MG9" s="36"/>
      <c r="MH9" s="4"/>
      <c r="MJ9" s="3" t="s">
        <v>817</v>
      </c>
      <c r="MK9" s="4">
        <v>0</v>
      </c>
      <c r="ML9" s="4">
        <f>+MK4</f>
        <v>0</v>
      </c>
      <c r="MM9" s="4">
        <f t="shared" ref="MM9:MS9" si="286">+ML4-MK4</f>
        <v>0</v>
      </c>
      <c r="MN9" s="4">
        <f t="shared" si="286"/>
        <v>0</v>
      </c>
      <c r="MO9" s="4">
        <f t="shared" si="286"/>
        <v>0</v>
      </c>
      <c r="MP9" s="4">
        <f t="shared" si="286"/>
        <v>0</v>
      </c>
      <c r="MQ9" s="4">
        <f t="shared" si="286"/>
        <v>0</v>
      </c>
      <c r="MR9" s="4">
        <f t="shared" si="286"/>
        <v>0</v>
      </c>
      <c r="MS9" s="4">
        <f t="shared" si="286"/>
        <v>0</v>
      </c>
      <c r="MT9" s="4"/>
      <c r="MU9" s="4"/>
      <c r="MV9" s="4"/>
      <c r="MW9" s="36"/>
      <c r="MX9" s="4"/>
      <c r="MZ9" s="3" t="s">
        <v>818</v>
      </c>
      <c r="NA9" s="4">
        <v>0</v>
      </c>
      <c r="NB9" s="4">
        <f>+NA4</f>
        <v>0</v>
      </c>
      <c r="NC9" s="4">
        <f t="shared" ref="NC9:NI9" si="287">+NB4-NA4</f>
        <v>0</v>
      </c>
      <c r="ND9" s="4">
        <f t="shared" si="287"/>
        <v>0</v>
      </c>
      <c r="NE9" s="4">
        <f t="shared" si="287"/>
        <v>0</v>
      </c>
      <c r="NF9" s="4">
        <f t="shared" si="287"/>
        <v>0</v>
      </c>
      <c r="NG9" s="4">
        <f t="shared" si="287"/>
        <v>0</v>
      </c>
      <c r="NH9" s="4">
        <f t="shared" si="287"/>
        <v>0</v>
      </c>
      <c r="NI9" s="4">
        <f t="shared" si="287"/>
        <v>0</v>
      </c>
      <c r="NJ9" s="4"/>
      <c r="NK9" s="4"/>
      <c r="NL9" s="4"/>
      <c r="NM9" s="36"/>
      <c r="NN9" s="4"/>
      <c r="NP9" s="3" t="s">
        <v>819</v>
      </c>
      <c r="NQ9" s="4">
        <v>0</v>
      </c>
      <c r="NR9" s="4">
        <f>+NQ4</f>
        <v>0</v>
      </c>
      <c r="NS9" s="4">
        <f t="shared" ref="NS9:NY9" si="288">+NR4-NQ4</f>
        <v>0</v>
      </c>
      <c r="NT9" s="4">
        <f t="shared" si="288"/>
        <v>0</v>
      </c>
      <c r="NU9" s="4">
        <f t="shared" si="288"/>
        <v>0</v>
      </c>
      <c r="NV9" s="4">
        <f t="shared" si="288"/>
        <v>0</v>
      </c>
      <c r="NW9" s="4">
        <f t="shared" si="288"/>
        <v>0</v>
      </c>
      <c r="NX9" s="4">
        <f t="shared" si="288"/>
        <v>0</v>
      </c>
      <c r="NY9" s="4">
        <f t="shared" si="288"/>
        <v>0</v>
      </c>
      <c r="NZ9" s="4"/>
      <c r="OA9" s="4"/>
      <c r="OB9" s="4"/>
      <c r="OC9" s="36"/>
      <c r="OD9" s="4"/>
      <c r="OF9" s="3" t="s">
        <v>820</v>
      </c>
      <c r="OG9" s="4">
        <v>0</v>
      </c>
      <c r="OH9" s="4">
        <f>+OG4</f>
        <v>0</v>
      </c>
      <c r="OI9" s="4">
        <f t="shared" ref="OI9:OO9" si="289">+OH4-OG4</f>
        <v>0</v>
      </c>
      <c r="OJ9" s="4">
        <f t="shared" si="289"/>
        <v>0</v>
      </c>
      <c r="OK9" s="4">
        <f t="shared" si="289"/>
        <v>0</v>
      </c>
      <c r="OL9" s="4">
        <f t="shared" si="289"/>
        <v>0</v>
      </c>
      <c r="OM9" s="4">
        <f t="shared" si="289"/>
        <v>0</v>
      </c>
      <c r="ON9" s="4">
        <f t="shared" si="289"/>
        <v>0</v>
      </c>
      <c r="OO9" s="4">
        <f t="shared" si="289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821</v>
      </c>
      <c r="X10" s="3"/>
      <c r="Y10" s="23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822</v>
      </c>
      <c r="BI10" s="4">
        <v>0</v>
      </c>
      <c r="BJ10" s="4">
        <f>BI9</f>
        <v>0</v>
      </c>
      <c r="BK10" s="4">
        <f t="shared" ref="BK10:BQ10" si="290">BJ9</f>
        <v>0</v>
      </c>
      <c r="BL10" s="4">
        <f t="shared" si="290"/>
        <v>0</v>
      </c>
      <c r="BM10" s="4">
        <f t="shared" si="290"/>
        <v>0</v>
      </c>
      <c r="BN10" s="4">
        <f t="shared" si="290"/>
        <v>0</v>
      </c>
      <c r="BO10" s="4">
        <f t="shared" si="290"/>
        <v>0</v>
      </c>
      <c r="BP10" s="4">
        <f t="shared" si="290"/>
        <v>0</v>
      </c>
      <c r="BQ10" s="4">
        <f t="shared" si="290"/>
        <v>0</v>
      </c>
      <c r="BR10" s="4"/>
      <c r="BS10" s="4"/>
      <c r="BU10" s="36"/>
      <c r="BX10" s="3" t="s">
        <v>823</v>
      </c>
      <c r="BY10" s="4">
        <v>0</v>
      </c>
      <c r="BZ10" s="4">
        <f>BY9</f>
        <v>0</v>
      </c>
      <c r="CA10" s="4">
        <f t="shared" ref="CA10:CG10" si="291">BZ9</f>
        <v>0</v>
      </c>
      <c r="CB10" s="4">
        <f t="shared" si="291"/>
        <v>0</v>
      </c>
      <c r="CC10" s="4">
        <f t="shared" si="291"/>
        <v>0</v>
      </c>
      <c r="CD10" s="4">
        <f t="shared" si="291"/>
        <v>0</v>
      </c>
      <c r="CE10" s="4">
        <f t="shared" si="291"/>
        <v>0</v>
      </c>
      <c r="CF10" s="4">
        <f t="shared" si="291"/>
        <v>0</v>
      </c>
      <c r="CG10" s="4">
        <f t="shared" si="291"/>
        <v>0</v>
      </c>
      <c r="CH10" s="4"/>
      <c r="CI10" s="4"/>
      <c r="CK10" s="36"/>
      <c r="CN10" s="3" t="s">
        <v>824</v>
      </c>
      <c r="CO10" s="4">
        <v>0</v>
      </c>
      <c r="CP10" s="4">
        <f>CO9</f>
        <v>0</v>
      </c>
      <c r="CQ10" s="4">
        <f t="shared" ref="CQ10:CW10" si="292">CP9</f>
        <v>0</v>
      </c>
      <c r="CR10" s="4">
        <f t="shared" si="292"/>
        <v>0</v>
      </c>
      <c r="CS10" s="4">
        <f t="shared" si="292"/>
        <v>0</v>
      </c>
      <c r="CT10" s="4">
        <f t="shared" si="292"/>
        <v>0</v>
      </c>
      <c r="CU10" s="4">
        <f t="shared" si="292"/>
        <v>0</v>
      </c>
      <c r="CV10" s="4">
        <f t="shared" si="292"/>
        <v>0</v>
      </c>
      <c r="CW10" s="4">
        <f t="shared" si="292"/>
        <v>0</v>
      </c>
      <c r="CX10" s="4"/>
      <c r="CY10" s="4"/>
      <c r="DA10" s="36"/>
      <c r="DD10" s="3" t="s">
        <v>825</v>
      </c>
      <c r="DE10" s="4">
        <v>0</v>
      </c>
      <c r="DF10" s="4">
        <f>DE9</f>
        <v>0</v>
      </c>
      <c r="DG10" s="4">
        <f t="shared" ref="DG10:DM10" si="293">DF9</f>
        <v>0</v>
      </c>
      <c r="DH10" s="4">
        <f t="shared" si="293"/>
        <v>0</v>
      </c>
      <c r="DI10" s="4">
        <f t="shared" si="293"/>
        <v>0</v>
      </c>
      <c r="DJ10" s="4">
        <f t="shared" si="293"/>
        <v>0</v>
      </c>
      <c r="DK10" s="4">
        <f t="shared" si="293"/>
        <v>0</v>
      </c>
      <c r="DL10" s="4">
        <f t="shared" si="293"/>
        <v>0</v>
      </c>
      <c r="DM10" s="4">
        <f t="shared" si="293"/>
        <v>0</v>
      </c>
      <c r="DN10" s="4"/>
      <c r="DO10" s="4"/>
      <c r="DQ10" s="36"/>
      <c r="DT10" s="3" t="s">
        <v>826</v>
      </c>
      <c r="DU10" s="4">
        <v>0</v>
      </c>
      <c r="DV10" s="4">
        <f>DU9</f>
        <v>0</v>
      </c>
      <c r="DW10" s="4">
        <f t="shared" ref="DW10:EC10" si="294">DV9</f>
        <v>0</v>
      </c>
      <c r="DX10" s="4">
        <f t="shared" si="294"/>
        <v>0</v>
      </c>
      <c r="DY10" s="4">
        <f t="shared" si="294"/>
        <v>0</v>
      </c>
      <c r="DZ10" s="4">
        <f t="shared" si="294"/>
        <v>0</v>
      </c>
      <c r="EA10" s="4">
        <f t="shared" si="294"/>
        <v>0</v>
      </c>
      <c r="EB10" s="4">
        <f t="shared" si="294"/>
        <v>0</v>
      </c>
      <c r="EC10" s="4">
        <f t="shared" si="294"/>
        <v>0</v>
      </c>
      <c r="ED10" s="4"/>
      <c r="EE10" s="4"/>
      <c r="EG10" s="36"/>
      <c r="EJ10" s="3" t="s">
        <v>827</v>
      </c>
      <c r="EK10" s="4">
        <v>0</v>
      </c>
      <c r="EL10" s="4">
        <f>EK9</f>
        <v>0</v>
      </c>
      <c r="EM10" s="4">
        <f t="shared" ref="EM10:ES10" si="295">EL9</f>
        <v>0</v>
      </c>
      <c r="EN10" s="4">
        <f t="shared" si="295"/>
        <v>0</v>
      </c>
      <c r="EO10" s="4">
        <f t="shared" si="295"/>
        <v>0</v>
      </c>
      <c r="EP10" s="4">
        <f t="shared" si="295"/>
        <v>0</v>
      </c>
      <c r="EQ10" s="4">
        <f t="shared" si="295"/>
        <v>0</v>
      </c>
      <c r="ER10" s="4">
        <f t="shared" si="295"/>
        <v>0</v>
      </c>
      <c r="ES10" s="4">
        <f t="shared" si="295"/>
        <v>0</v>
      </c>
      <c r="ET10" s="4"/>
      <c r="EU10" s="4"/>
      <c r="EW10" s="36"/>
      <c r="EZ10" s="3" t="s">
        <v>828</v>
      </c>
      <c r="FA10" s="4">
        <v>0</v>
      </c>
      <c r="FB10" s="4">
        <f>FA9</f>
        <v>0</v>
      </c>
      <c r="FC10" s="4">
        <f t="shared" ref="FC10:FI10" si="296">FB9</f>
        <v>0</v>
      </c>
      <c r="FD10" s="4">
        <f t="shared" si="296"/>
        <v>0</v>
      </c>
      <c r="FE10" s="4">
        <f t="shared" si="296"/>
        <v>0</v>
      </c>
      <c r="FF10" s="4">
        <f t="shared" si="296"/>
        <v>0</v>
      </c>
      <c r="FG10" s="4">
        <f t="shared" si="296"/>
        <v>0</v>
      </c>
      <c r="FH10" s="4">
        <f t="shared" si="296"/>
        <v>0</v>
      </c>
      <c r="FI10" s="4">
        <f t="shared" si="296"/>
        <v>0</v>
      </c>
      <c r="FJ10" s="4"/>
      <c r="FK10" s="4"/>
      <c r="FM10" s="36"/>
      <c r="FP10" s="3" t="s">
        <v>829</v>
      </c>
      <c r="FQ10" s="4">
        <v>0</v>
      </c>
      <c r="FR10" s="4">
        <f>FQ9</f>
        <v>0</v>
      </c>
      <c r="FS10" s="4">
        <f t="shared" ref="FS10:FY10" si="297">FR9</f>
        <v>0</v>
      </c>
      <c r="FT10" s="4">
        <f t="shared" si="297"/>
        <v>0</v>
      </c>
      <c r="FU10" s="4">
        <f t="shared" si="297"/>
        <v>0</v>
      </c>
      <c r="FV10" s="4">
        <f t="shared" si="297"/>
        <v>0</v>
      </c>
      <c r="FW10" s="4">
        <f t="shared" si="297"/>
        <v>0</v>
      </c>
      <c r="FX10" s="4">
        <f t="shared" si="297"/>
        <v>0</v>
      </c>
      <c r="FY10" s="4">
        <f t="shared" si="297"/>
        <v>0</v>
      </c>
      <c r="FZ10" s="4"/>
      <c r="GA10" s="4"/>
      <c r="GC10" s="36"/>
      <c r="GF10" s="3" t="s">
        <v>830</v>
      </c>
      <c r="GG10" s="4">
        <v>0</v>
      </c>
      <c r="GH10" s="4">
        <f>GG9</f>
        <v>0</v>
      </c>
      <c r="GI10" s="4">
        <f t="shared" ref="GI10:GO10" si="298">GH9</f>
        <v>0</v>
      </c>
      <c r="GJ10" s="4">
        <f t="shared" si="298"/>
        <v>0</v>
      </c>
      <c r="GK10" s="4">
        <f t="shared" si="298"/>
        <v>0</v>
      </c>
      <c r="GL10" s="4">
        <f t="shared" si="298"/>
        <v>0</v>
      </c>
      <c r="GM10" s="4">
        <f t="shared" si="298"/>
        <v>0</v>
      </c>
      <c r="GN10" s="4">
        <f t="shared" si="298"/>
        <v>0</v>
      </c>
      <c r="GO10" s="4">
        <f t="shared" si="298"/>
        <v>0</v>
      </c>
      <c r="GP10" s="4"/>
      <c r="GQ10" s="4"/>
      <c r="GR10" s="4"/>
      <c r="GS10" s="36"/>
      <c r="GT10" s="4"/>
      <c r="GV10" s="3" t="s">
        <v>831</v>
      </c>
      <c r="GW10" s="4">
        <v>0</v>
      </c>
      <c r="GX10" s="4">
        <f>GW9</f>
        <v>0</v>
      </c>
      <c r="GY10" s="4">
        <f t="shared" ref="GY10:HE10" si="299">GX9</f>
        <v>0</v>
      </c>
      <c r="GZ10" s="4">
        <f t="shared" si="299"/>
        <v>0</v>
      </c>
      <c r="HA10" s="4">
        <f t="shared" si="299"/>
        <v>0</v>
      </c>
      <c r="HB10" s="4">
        <f t="shared" si="299"/>
        <v>0</v>
      </c>
      <c r="HC10" s="4">
        <f t="shared" si="299"/>
        <v>0</v>
      </c>
      <c r="HD10" s="4">
        <f t="shared" si="299"/>
        <v>0</v>
      </c>
      <c r="HE10" s="4">
        <f t="shared" si="299"/>
        <v>0</v>
      </c>
      <c r="HF10" s="4"/>
      <c r="HG10" s="4"/>
      <c r="HH10" s="4"/>
      <c r="HI10" s="36"/>
      <c r="HJ10" s="4"/>
      <c r="HK10" s="4"/>
      <c r="HL10" s="3" t="s">
        <v>832</v>
      </c>
      <c r="HM10" s="4">
        <v>0</v>
      </c>
      <c r="HN10" s="4">
        <f>HM9</f>
        <v>0</v>
      </c>
      <c r="HO10" s="4">
        <f t="shared" ref="HO10:HU10" si="300">HN9</f>
        <v>0</v>
      </c>
      <c r="HP10" s="4">
        <f t="shared" si="300"/>
        <v>0</v>
      </c>
      <c r="HQ10" s="4">
        <f t="shared" si="300"/>
        <v>0</v>
      </c>
      <c r="HR10" s="4">
        <f t="shared" si="300"/>
        <v>0</v>
      </c>
      <c r="HS10" s="4">
        <f t="shared" si="300"/>
        <v>0</v>
      </c>
      <c r="HT10" s="4">
        <f t="shared" si="300"/>
        <v>0</v>
      </c>
      <c r="HU10" s="4">
        <f t="shared" si="300"/>
        <v>0</v>
      </c>
      <c r="HV10" s="4"/>
      <c r="HW10" s="4"/>
      <c r="HX10" s="4"/>
      <c r="HY10" s="36"/>
      <c r="HZ10" s="4"/>
      <c r="IA10" s="4"/>
      <c r="IB10" s="3" t="s">
        <v>833</v>
      </c>
      <c r="IC10" s="4">
        <v>0</v>
      </c>
      <c r="ID10" s="4">
        <f>IC9</f>
        <v>0</v>
      </c>
      <c r="IE10" s="4">
        <f t="shared" ref="IE10:IK10" si="301">ID9</f>
        <v>0</v>
      </c>
      <c r="IF10" s="4">
        <f t="shared" si="301"/>
        <v>0</v>
      </c>
      <c r="IG10" s="4">
        <f t="shared" si="301"/>
        <v>0</v>
      </c>
      <c r="IH10" s="4">
        <f t="shared" si="301"/>
        <v>0</v>
      </c>
      <c r="II10" s="4">
        <f t="shared" si="301"/>
        <v>0</v>
      </c>
      <c r="IJ10" s="4">
        <f t="shared" si="301"/>
        <v>0</v>
      </c>
      <c r="IK10" s="4">
        <f t="shared" si="301"/>
        <v>0</v>
      </c>
      <c r="IL10" s="4"/>
      <c r="IM10" s="4"/>
      <c r="IN10" s="4"/>
      <c r="IO10" s="36"/>
      <c r="IP10" s="4"/>
      <c r="IR10" s="3" t="s">
        <v>834</v>
      </c>
      <c r="IS10" s="4">
        <v>0</v>
      </c>
      <c r="IT10" s="4">
        <f>IS9</f>
        <v>0</v>
      </c>
      <c r="IU10" s="4">
        <f t="shared" ref="IU10:JA10" si="302">IT9</f>
        <v>0</v>
      </c>
      <c r="IV10" s="4">
        <f t="shared" si="302"/>
        <v>0</v>
      </c>
      <c r="IW10" s="4">
        <f t="shared" si="302"/>
        <v>0</v>
      </c>
      <c r="IX10" s="4">
        <f t="shared" si="302"/>
        <v>0</v>
      </c>
      <c r="IY10" s="4">
        <f t="shared" si="302"/>
        <v>0</v>
      </c>
      <c r="IZ10" s="4">
        <f t="shared" si="302"/>
        <v>0</v>
      </c>
      <c r="JA10" s="4">
        <f t="shared" si="302"/>
        <v>0</v>
      </c>
      <c r="JB10" s="4"/>
      <c r="JC10" s="4"/>
      <c r="JD10" s="4"/>
      <c r="JE10" s="36"/>
      <c r="JF10" s="4"/>
      <c r="JH10" s="3" t="s">
        <v>835</v>
      </c>
      <c r="JI10" s="4">
        <v>0</v>
      </c>
      <c r="JJ10" s="4">
        <f>JI9</f>
        <v>0</v>
      </c>
      <c r="JK10" s="4">
        <f t="shared" ref="JK10:JQ10" si="303">JJ9</f>
        <v>0</v>
      </c>
      <c r="JL10" s="4">
        <f t="shared" si="303"/>
        <v>0</v>
      </c>
      <c r="JM10" s="4">
        <f t="shared" si="303"/>
        <v>0</v>
      </c>
      <c r="JN10" s="4">
        <f t="shared" si="303"/>
        <v>0</v>
      </c>
      <c r="JO10" s="4">
        <f t="shared" si="303"/>
        <v>0</v>
      </c>
      <c r="JP10" s="4">
        <f t="shared" si="303"/>
        <v>0</v>
      </c>
      <c r="JQ10" s="4">
        <f t="shared" si="303"/>
        <v>0</v>
      </c>
      <c r="JR10" s="4"/>
      <c r="JS10" s="4"/>
      <c r="JT10" s="4"/>
      <c r="JU10" s="36"/>
      <c r="JV10" s="4"/>
      <c r="JX10" s="3" t="s">
        <v>836</v>
      </c>
      <c r="JY10" s="4">
        <v>0</v>
      </c>
      <c r="JZ10" s="4">
        <f>JY9</f>
        <v>0</v>
      </c>
      <c r="KA10" s="4">
        <f t="shared" ref="KA10:KG10" si="304">JZ9</f>
        <v>0</v>
      </c>
      <c r="KB10" s="4">
        <f t="shared" si="304"/>
        <v>0</v>
      </c>
      <c r="KC10" s="4">
        <f t="shared" si="304"/>
        <v>0</v>
      </c>
      <c r="KD10" s="4">
        <f t="shared" si="304"/>
        <v>0</v>
      </c>
      <c r="KE10" s="4">
        <f t="shared" si="304"/>
        <v>0</v>
      </c>
      <c r="KF10" s="4">
        <f t="shared" si="304"/>
        <v>0</v>
      </c>
      <c r="KG10" s="4">
        <f t="shared" si="304"/>
        <v>0</v>
      </c>
      <c r="KH10" s="4"/>
      <c r="KI10" s="4"/>
      <c r="KJ10" s="4"/>
      <c r="KK10" s="36"/>
      <c r="KL10" s="4"/>
      <c r="KN10" s="3" t="s">
        <v>837</v>
      </c>
      <c r="KO10" s="4">
        <v>0</v>
      </c>
      <c r="KP10" s="4">
        <f>KO9</f>
        <v>0</v>
      </c>
      <c r="KQ10" s="4">
        <f t="shared" ref="KQ10:KW10" si="305">KP9</f>
        <v>0</v>
      </c>
      <c r="KR10" s="4">
        <f t="shared" si="305"/>
        <v>0</v>
      </c>
      <c r="KS10" s="4">
        <f t="shared" si="305"/>
        <v>0</v>
      </c>
      <c r="KT10" s="4">
        <f t="shared" si="305"/>
        <v>0</v>
      </c>
      <c r="KU10" s="4">
        <f t="shared" si="305"/>
        <v>0</v>
      </c>
      <c r="KV10" s="4">
        <f t="shared" si="305"/>
        <v>0</v>
      </c>
      <c r="KW10" s="4">
        <f t="shared" si="305"/>
        <v>0</v>
      </c>
      <c r="KX10" s="4"/>
      <c r="KY10" s="4"/>
      <c r="KZ10" s="4"/>
      <c r="LA10" s="36"/>
      <c r="LB10" s="4"/>
      <c r="LD10" s="3" t="s">
        <v>838</v>
      </c>
      <c r="LE10" s="4">
        <v>0</v>
      </c>
      <c r="LF10" s="4">
        <f>LE9</f>
        <v>0</v>
      </c>
      <c r="LG10" s="4">
        <f t="shared" ref="LG10:LM10" si="306">LF9</f>
        <v>0</v>
      </c>
      <c r="LH10" s="4">
        <f t="shared" si="306"/>
        <v>0</v>
      </c>
      <c r="LI10" s="4">
        <f t="shared" si="306"/>
        <v>0</v>
      </c>
      <c r="LJ10" s="4">
        <f t="shared" si="306"/>
        <v>0</v>
      </c>
      <c r="LK10" s="4">
        <f t="shared" si="306"/>
        <v>0</v>
      </c>
      <c r="LL10" s="4">
        <f t="shared" si="306"/>
        <v>0</v>
      </c>
      <c r="LM10" s="4">
        <f t="shared" si="306"/>
        <v>0</v>
      </c>
      <c r="LN10" s="4"/>
      <c r="LO10" s="4"/>
      <c r="LP10" s="4"/>
      <c r="LQ10" s="36"/>
      <c r="LR10" s="4"/>
      <c r="LT10" s="3" t="s">
        <v>839</v>
      </c>
      <c r="LU10" s="4">
        <v>0</v>
      </c>
      <c r="LV10" s="4">
        <f>LU9</f>
        <v>0</v>
      </c>
      <c r="LW10" s="4">
        <f t="shared" ref="LW10:MC10" si="307">LV9</f>
        <v>0</v>
      </c>
      <c r="LX10" s="4">
        <f t="shared" si="307"/>
        <v>0</v>
      </c>
      <c r="LY10" s="4">
        <f t="shared" si="307"/>
        <v>0</v>
      </c>
      <c r="LZ10" s="4">
        <f t="shared" si="307"/>
        <v>0</v>
      </c>
      <c r="MA10" s="4">
        <f t="shared" si="307"/>
        <v>0</v>
      </c>
      <c r="MB10" s="4">
        <f t="shared" si="307"/>
        <v>0</v>
      </c>
      <c r="MC10" s="4">
        <f t="shared" si="307"/>
        <v>0</v>
      </c>
      <c r="MD10" s="4"/>
      <c r="ME10" s="4"/>
      <c r="MF10" s="4"/>
      <c r="MG10" s="36"/>
      <c r="MH10" s="4"/>
      <c r="MJ10" s="3" t="s">
        <v>840</v>
      </c>
      <c r="MK10" s="4">
        <v>0</v>
      </c>
      <c r="ML10" s="4">
        <f>MK9</f>
        <v>0</v>
      </c>
      <c r="MM10" s="4">
        <f t="shared" ref="MM10:MS10" si="308">ML9</f>
        <v>0</v>
      </c>
      <c r="MN10" s="4">
        <f t="shared" si="308"/>
        <v>0</v>
      </c>
      <c r="MO10" s="4">
        <f t="shared" si="308"/>
        <v>0</v>
      </c>
      <c r="MP10" s="4">
        <f t="shared" si="308"/>
        <v>0</v>
      </c>
      <c r="MQ10" s="4">
        <f t="shared" si="308"/>
        <v>0</v>
      </c>
      <c r="MR10" s="4">
        <f t="shared" si="308"/>
        <v>0</v>
      </c>
      <c r="MS10" s="4">
        <f t="shared" si="308"/>
        <v>0</v>
      </c>
      <c r="MT10" s="4"/>
      <c r="MU10" s="4"/>
      <c r="MV10" s="4"/>
      <c r="MW10" s="36"/>
      <c r="MX10" s="4"/>
      <c r="MZ10" s="3" t="s">
        <v>841</v>
      </c>
      <c r="NA10" s="4">
        <v>0</v>
      </c>
      <c r="NB10" s="4">
        <f>NA9</f>
        <v>0</v>
      </c>
      <c r="NC10" s="4">
        <f t="shared" ref="NC10:NI10" si="309">NB9</f>
        <v>0</v>
      </c>
      <c r="ND10" s="4">
        <f t="shared" si="309"/>
        <v>0</v>
      </c>
      <c r="NE10" s="4">
        <f t="shared" si="309"/>
        <v>0</v>
      </c>
      <c r="NF10" s="4">
        <f t="shared" si="309"/>
        <v>0</v>
      </c>
      <c r="NG10" s="4">
        <f t="shared" si="309"/>
        <v>0</v>
      </c>
      <c r="NH10" s="4">
        <f t="shared" si="309"/>
        <v>0</v>
      </c>
      <c r="NI10" s="4">
        <f t="shared" si="309"/>
        <v>0</v>
      </c>
      <c r="NJ10" s="4"/>
      <c r="NK10" s="4"/>
      <c r="NL10" s="4"/>
      <c r="NM10" s="36"/>
      <c r="NN10" s="4"/>
      <c r="NP10" s="3" t="s">
        <v>842</v>
      </c>
      <c r="NQ10" s="4">
        <v>0</v>
      </c>
      <c r="NR10" s="4">
        <f>NQ9</f>
        <v>0</v>
      </c>
      <c r="NS10" s="4">
        <f t="shared" ref="NS10:NY10" si="310">NR9</f>
        <v>0</v>
      </c>
      <c r="NT10" s="4">
        <f t="shared" si="310"/>
        <v>0</v>
      </c>
      <c r="NU10" s="4">
        <f t="shared" si="310"/>
        <v>0</v>
      </c>
      <c r="NV10" s="4">
        <f t="shared" si="310"/>
        <v>0</v>
      </c>
      <c r="NW10" s="4">
        <f t="shared" si="310"/>
        <v>0</v>
      </c>
      <c r="NX10" s="4">
        <f t="shared" si="310"/>
        <v>0</v>
      </c>
      <c r="NY10" s="4">
        <f t="shared" si="310"/>
        <v>0</v>
      </c>
      <c r="NZ10" s="4"/>
      <c r="OA10" s="4"/>
      <c r="OB10" s="4"/>
      <c r="OC10" s="36"/>
      <c r="OD10" s="4"/>
      <c r="OF10" s="3" t="s">
        <v>843</v>
      </c>
      <c r="OG10" s="4">
        <v>0</v>
      </c>
      <c r="OH10" s="4">
        <f>OG9</f>
        <v>0</v>
      </c>
      <c r="OI10" s="4">
        <f t="shared" ref="OI10:OO10" si="311">OH9</f>
        <v>0</v>
      </c>
      <c r="OJ10" s="4">
        <f t="shared" si="311"/>
        <v>0</v>
      </c>
      <c r="OK10" s="4">
        <f t="shared" si="311"/>
        <v>0</v>
      </c>
      <c r="OL10" s="4">
        <f t="shared" si="311"/>
        <v>0</v>
      </c>
      <c r="OM10" s="4">
        <f t="shared" si="311"/>
        <v>0</v>
      </c>
      <c r="ON10" s="4">
        <f t="shared" si="311"/>
        <v>0</v>
      </c>
      <c r="OO10" s="4">
        <f t="shared" si="311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1510</v>
      </c>
      <c r="X11" s="3"/>
      <c r="Y11" s="24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844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845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846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847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848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849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850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851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852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853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854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855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856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857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858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859</v>
      </c>
      <c r="KO11">
        <f t="shared" ref="KO11:KW11" si="312">+MAX((KO4-KO6)*$KO12,0)</f>
        <v>0</v>
      </c>
      <c r="KP11">
        <f t="shared" si="312"/>
        <v>0</v>
      </c>
      <c r="KQ11">
        <f t="shared" si="312"/>
        <v>0</v>
      </c>
      <c r="KR11">
        <f t="shared" si="312"/>
        <v>0</v>
      </c>
      <c r="KS11">
        <f t="shared" si="312"/>
        <v>0</v>
      </c>
      <c r="KT11">
        <f t="shared" si="312"/>
        <v>0</v>
      </c>
      <c r="KU11">
        <f t="shared" si="312"/>
        <v>0</v>
      </c>
      <c r="KV11">
        <f t="shared" si="312"/>
        <v>0</v>
      </c>
      <c r="KW11">
        <f t="shared" si="312"/>
        <v>0</v>
      </c>
      <c r="LA11" s="9"/>
      <c r="LD11" s="3" t="s">
        <v>860</v>
      </c>
      <c r="LE11">
        <f t="shared" ref="LE11:LM11" si="313">+MAX((LE4-LE6)*$LE12,0)</f>
        <v>0</v>
      </c>
      <c r="LF11">
        <f t="shared" si="313"/>
        <v>0</v>
      </c>
      <c r="LG11">
        <f t="shared" si="313"/>
        <v>0</v>
      </c>
      <c r="LH11">
        <f t="shared" si="313"/>
        <v>0</v>
      </c>
      <c r="LI11">
        <f t="shared" si="313"/>
        <v>0</v>
      </c>
      <c r="LJ11">
        <f t="shared" si="313"/>
        <v>0</v>
      </c>
      <c r="LK11">
        <f t="shared" si="313"/>
        <v>0</v>
      </c>
      <c r="LL11">
        <f t="shared" si="313"/>
        <v>0</v>
      </c>
      <c r="LM11">
        <f t="shared" si="313"/>
        <v>0</v>
      </c>
      <c r="LQ11" s="9"/>
      <c r="LT11" s="3" t="s">
        <v>861</v>
      </c>
      <c r="LU11">
        <f t="shared" ref="LU11:MC11" si="314">+MAX((LU4-LU6)*$LU12,0)</f>
        <v>0</v>
      </c>
      <c r="LV11">
        <f t="shared" si="314"/>
        <v>0</v>
      </c>
      <c r="LW11">
        <f t="shared" si="314"/>
        <v>0</v>
      </c>
      <c r="LX11">
        <f t="shared" si="314"/>
        <v>0</v>
      </c>
      <c r="LY11">
        <f t="shared" si="314"/>
        <v>0</v>
      </c>
      <c r="LZ11">
        <f t="shared" si="314"/>
        <v>0</v>
      </c>
      <c r="MA11">
        <f t="shared" si="314"/>
        <v>0</v>
      </c>
      <c r="MB11">
        <f t="shared" si="314"/>
        <v>0</v>
      </c>
      <c r="MC11">
        <f t="shared" si="314"/>
        <v>0</v>
      </c>
      <c r="MG11" s="9"/>
      <c r="MJ11" s="3" t="s">
        <v>862</v>
      </c>
      <c r="MK11">
        <f t="shared" ref="MK11:MS11" si="315">+MAX((MK4-MK6)*$MK12,0)</f>
        <v>0</v>
      </c>
      <c r="ML11">
        <f t="shared" si="315"/>
        <v>0</v>
      </c>
      <c r="MM11">
        <f t="shared" si="315"/>
        <v>0</v>
      </c>
      <c r="MN11">
        <f t="shared" si="315"/>
        <v>0</v>
      </c>
      <c r="MO11">
        <f t="shared" si="315"/>
        <v>0</v>
      </c>
      <c r="MP11">
        <f t="shared" si="315"/>
        <v>0</v>
      </c>
      <c r="MQ11">
        <f t="shared" si="315"/>
        <v>0</v>
      </c>
      <c r="MR11">
        <f t="shared" si="315"/>
        <v>0</v>
      </c>
      <c r="MS11">
        <f t="shared" si="315"/>
        <v>0</v>
      </c>
      <c r="MW11" s="9"/>
      <c r="MZ11" s="3" t="s">
        <v>863</v>
      </c>
      <c r="NA11">
        <f t="shared" ref="NA11:NI11" si="316">+MAX((NA4-NA6)*$NA12,0)</f>
        <v>0</v>
      </c>
      <c r="NB11">
        <f t="shared" si="316"/>
        <v>0</v>
      </c>
      <c r="NC11">
        <f t="shared" si="316"/>
        <v>0</v>
      </c>
      <c r="ND11">
        <f t="shared" si="316"/>
        <v>0</v>
      </c>
      <c r="NE11">
        <f t="shared" si="316"/>
        <v>0</v>
      </c>
      <c r="NF11">
        <f t="shared" si="316"/>
        <v>0</v>
      </c>
      <c r="NG11">
        <f t="shared" si="316"/>
        <v>0</v>
      </c>
      <c r="NH11">
        <f t="shared" si="316"/>
        <v>0</v>
      </c>
      <c r="NI11">
        <f t="shared" si="316"/>
        <v>0</v>
      </c>
      <c r="NM11" s="9"/>
      <c r="NP11" s="3" t="s">
        <v>864</v>
      </c>
      <c r="NQ11">
        <f t="shared" ref="NQ11:NY11" si="317">+MAX((NQ4-NQ6)*$NQ12,0)</f>
        <v>0</v>
      </c>
      <c r="NR11">
        <f t="shared" si="317"/>
        <v>0</v>
      </c>
      <c r="NS11">
        <f t="shared" si="317"/>
        <v>0</v>
      </c>
      <c r="NT11">
        <f t="shared" si="317"/>
        <v>0</v>
      </c>
      <c r="NU11">
        <f t="shared" si="317"/>
        <v>0</v>
      </c>
      <c r="NV11">
        <f t="shared" si="317"/>
        <v>0</v>
      </c>
      <c r="NW11">
        <f t="shared" si="317"/>
        <v>0</v>
      </c>
      <c r="NX11">
        <f t="shared" si="317"/>
        <v>0</v>
      </c>
      <c r="NY11">
        <f t="shared" si="317"/>
        <v>0</v>
      </c>
      <c r="OC11" s="9"/>
      <c r="OF11" s="3" t="s">
        <v>865</v>
      </c>
      <c r="OG11">
        <f t="shared" ref="OG11:OO11" si="318">+MAX((OG4-OG6)*$OG12,0)</f>
        <v>0</v>
      </c>
      <c r="OH11">
        <f t="shared" si="318"/>
        <v>0</v>
      </c>
      <c r="OI11">
        <f t="shared" si="318"/>
        <v>0</v>
      </c>
      <c r="OJ11">
        <f t="shared" si="318"/>
        <v>0</v>
      </c>
      <c r="OK11">
        <f t="shared" si="318"/>
        <v>0</v>
      </c>
      <c r="OL11">
        <f t="shared" si="318"/>
        <v>0</v>
      </c>
      <c r="OM11">
        <f t="shared" si="318"/>
        <v>0</v>
      </c>
      <c r="ON11">
        <f t="shared" si="318"/>
        <v>0</v>
      </c>
      <c r="OO11">
        <f t="shared" si="318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866</v>
      </c>
      <c r="X12" s="3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21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867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868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869</v>
      </c>
      <c r="CO12" s="31">
        <v>20000000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870</v>
      </c>
      <c r="DE12" s="31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871</v>
      </c>
      <c r="DU12" s="2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872</v>
      </c>
      <c r="EK12" s="21">
        <v>20000000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873</v>
      </c>
      <c r="FA12" s="2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874</v>
      </c>
      <c r="FQ12" s="31">
        <v>20000000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875</v>
      </c>
      <c r="GG12" s="31">
        <v>40000000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R12" s="4"/>
      <c r="GS12" s="36"/>
      <c r="GT12" s="4"/>
      <c r="GV12" s="3" t="s">
        <v>876</v>
      </c>
      <c r="GW12" s="31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877</v>
      </c>
      <c r="HM12" s="31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878</v>
      </c>
      <c r="IC12" s="31">
        <v>10000000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N12" s="4"/>
      <c r="IO12" s="36"/>
      <c r="IP12" s="4"/>
      <c r="IR12" s="3" t="s">
        <v>879</v>
      </c>
      <c r="IS12" s="31">
        <v>40000000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880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881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882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883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884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885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886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887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888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1406</v>
      </c>
      <c r="X13" s="3"/>
      <c r="Y13" s="6"/>
      <c r="Z13" s="6"/>
      <c r="AA13" s="6"/>
      <c r="AB13" s="6"/>
      <c r="AC13" s="6"/>
      <c r="AD13" s="6"/>
      <c r="AE13" s="6"/>
      <c r="AF13" s="6"/>
      <c r="AG13" s="6"/>
      <c r="AH13" s="4"/>
      <c r="AI13" s="4"/>
      <c r="AP13" s="3"/>
      <c r="AQ13" s="21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1408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1410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1412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1414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1416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1418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1420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1511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1513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R13" s="4"/>
      <c r="GS13" s="36"/>
      <c r="GT13" s="4"/>
      <c r="GV13" s="3" t="s">
        <v>1515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1517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1519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N13" s="4"/>
      <c r="IO13" s="36"/>
      <c r="IP13" s="4"/>
      <c r="IR13" s="3" t="s">
        <v>1521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1523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1525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1527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1529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1531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1533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1535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1537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1539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1407</v>
      </c>
      <c r="X14" s="3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21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1409</v>
      </c>
      <c r="BI14" s="21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1411</v>
      </c>
      <c r="BY14" s="21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1413</v>
      </c>
      <c r="CO14" s="21">
        <f>CO12/5</f>
        <v>4000000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1415</v>
      </c>
      <c r="DE14" s="21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1417</v>
      </c>
      <c r="DU14" s="21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1419</v>
      </c>
      <c r="EK14" s="21">
        <f>EK12/5</f>
        <v>4000000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1421</v>
      </c>
      <c r="FA14" s="21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1512</v>
      </c>
      <c r="FQ14" s="21">
        <f>FQ12/5</f>
        <v>4000000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1514</v>
      </c>
      <c r="GG14" s="21">
        <f>GG12/5</f>
        <v>8000000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R14" s="4"/>
      <c r="GS14" s="36"/>
      <c r="GT14" s="4"/>
      <c r="GV14" s="3" t="s">
        <v>1516</v>
      </c>
      <c r="GW14" s="21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1518</v>
      </c>
      <c r="HM14" s="21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1520</v>
      </c>
      <c r="IC14" s="21">
        <f>IC12/5</f>
        <v>2000000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N14" s="4"/>
      <c r="IO14" s="36"/>
      <c r="IP14" s="4"/>
      <c r="IR14" s="3" t="s">
        <v>1522</v>
      </c>
      <c r="IS14" s="21">
        <f>IS12/5</f>
        <v>8000000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1524</v>
      </c>
      <c r="JI14" s="21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1526</v>
      </c>
      <c r="JY14" s="21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1528</v>
      </c>
      <c r="KO14" s="21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1530</v>
      </c>
      <c r="LE14" s="21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1532</v>
      </c>
      <c r="LU14" s="21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1534</v>
      </c>
      <c r="MK14" s="21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1536</v>
      </c>
      <c r="NA14" s="21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1538</v>
      </c>
      <c r="NQ14" s="21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1540</v>
      </c>
      <c r="OG14" s="21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889</v>
      </c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890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891</v>
      </c>
      <c r="BY15" s="7" t="s">
        <v>6</v>
      </c>
      <c r="CK15" s="9"/>
      <c r="CN15" s="3" t="s">
        <v>892</v>
      </c>
      <c r="CO15" s="7" t="s">
        <v>6</v>
      </c>
      <c r="DA15" s="9"/>
      <c r="DD15" s="3" t="s">
        <v>893</v>
      </c>
      <c r="DE15" s="7" t="s">
        <v>6</v>
      </c>
      <c r="DQ15" s="9"/>
      <c r="DT15" s="3" t="s">
        <v>894</v>
      </c>
      <c r="DU15" s="7" t="s">
        <v>6</v>
      </c>
      <c r="EG15" s="9"/>
      <c r="EJ15" s="3" t="s">
        <v>895</v>
      </c>
      <c r="EK15" s="7" t="s">
        <v>6</v>
      </c>
      <c r="EW15" s="9"/>
      <c r="EZ15" s="3" t="s">
        <v>896</v>
      </c>
      <c r="FA15" s="7" t="s">
        <v>6</v>
      </c>
      <c r="FI15" s="7"/>
      <c r="FK15" s="7"/>
      <c r="FM15" s="38"/>
      <c r="FP15" s="3" t="s">
        <v>897</v>
      </c>
      <c r="FQ15" s="7" t="s">
        <v>6</v>
      </c>
      <c r="FY15" s="7"/>
      <c r="GA15" s="7"/>
      <c r="GC15" s="38"/>
      <c r="GF15" s="3" t="s">
        <v>898</v>
      </c>
      <c r="GG15" s="7" t="s">
        <v>6</v>
      </c>
      <c r="GO15" s="7"/>
      <c r="GS15" s="9"/>
      <c r="GV15" s="3" t="s">
        <v>899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900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901</v>
      </c>
      <c r="IC15" s="7" t="s">
        <v>6</v>
      </c>
      <c r="ID15" s="7"/>
      <c r="IE15" s="7"/>
      <c r="IO15" s="9"/>
      <c r="IR15" s="3" t="s">
        <v>902</v>
      </c>
      <c r="IS15" s="7" t="s">
        <v>6</v>
      </c>
      <c r="JE15" s="9"/>
      <c r="JH15" s="3" t="s">
        <v>903</v>
      </c>
      <c r="JI15" s="7" t="s">
        <v>6</v>
      </c>
      <c r="JU15" s="9"/>
      <c r="JX15" s="3" t="s">
        <v>904</v>
      </c>
      <c r="JY15" s="7" t="s">
        <v>6</v>
      </c>
      <c r="KK15" s="9"/>
      <c r="KN15" s="3" t="s">
        <v>905</v>
      </c>
      <c r="KO15" s="7" t="s">
        <v>6</v>
      </c>
      <c r="LA15" s="9"/>
      <c r="LD15" s="3" t="s">
        <v>906</v>
      </c>
      <c r="LE15" s="7" t="s">
        <v>6</v>
      </c>
      <c r="LQ15" s="9"/>
      <c r="LT15" s="3" t="s">
        <v>907</v>
      </c>
      <c r="LU15" s="7" t="s">
        <v>6</v>
      </c>
      <c r="MG15" s="9"/>
      <c r="MJ15" s="3" t="s">
        <v>908</v>
      </c>
      <c r="MK15" s="7" t="s">
        <v>6</v>
      </c>
      <c r="MW15" s="9"/>
      <c r="MZ15" s="3" t="s">
        <v>909</v>
      </c>
      <c r="NA15" s="7" t="s">
        <v>6</v>
      </c>
      <c r="NM15" s="9"/>
      <c r="NP15" s="3" t="s">
        <v>910</v>
      </c>
      <c r="NQ15" s="7" t="s">
        <v>6</v>
      </c>
      <c r="OC15" s="9"/>
      <c r="OF15" s="3" t="s">
        <v>911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912</v>
      </c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913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914</v>
      </c>
      <c r="BY16" s="7" t="s">
        <v>6</v>
      </c>
      <c r="CK16" s="9"/>
      <c r="CN16" s="3" t="s">
        <v>915</v>
      </c>
      <c r="CO16" s="7" t="s">
        <v>6</v>
      </c>
      <c r="DA16" s="9"/>
      <c r="DD16" s="3" t="s">
        <v>916</v>
      </c>
      <c r="DE16" s="7" t="s">
        <v>6</v>
      </c>
      <c r="DQ16" s="9"/>
      <c r="DT16" s="3" t="s">
        <v>917</v>
      </c>
      <c r="DU16" s="7" t="s">
        <v>6</v>
      </c>
      <c r="EG16" s="9"/>
      <c r="EJ16" s="3" t="s">
        <v>918</v>
      </c>
      <c r="EK16" s="7" t="s">
        <v>6</v>
      </c>
      <c r="EW16" s="9"/>
      <c r="EZ16" s="3" t="s">
        <v>919</v>
      </c>
      <c r="FA16" s="7" t="s">
        <v>6</v>
      </c>
      <c r="FI16" s="7"/>
      <c r="FK16" s="7"/>
      <c r="FM16" s="38"/>
      <c r="FP16" s="3" t="s">
        <v>920</v>
      </c>
      <c r="FQ16" s="7" t="s">
        <v>6</v>
      </c>
      <c r="FY16" s="7"/>
      <c r="GA16" s="7"/>
      <c r="GC16" s="38"/>
      <c r="GF16" s="3" t="s">
        <v>921</v>
      </c>
      <c r="GG16" s="7" t="s">
        <v>6</v>
      </c>
      <c r="GO16" s="7"/>
      <c r="GS16" s="9"/>
      <c r="GV16" s="3" t="s">
        <v>922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923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924</v>
      </c>
      <c r="IC16" s="7" t="s">
        <v>6</v>
      </c>
      <c r="ID16" s="7"/>
      <c r="IE16" s="7"/>
      <c r="IO16" s="9"/>
      <c r="IR16" s="3" t="s">
        <v>925</v>
      </c>
      <c r="IS16" s="7" t="s">
        <v>6</v>
      </c>
      <c r="JE16" s="9"/>
      <c r="JH16" s="3" t="s">
        <v>926</v>
      </c>
      <c r="JI16" s="7" t="s">
        <v>6</v>
      </c>
      <c r="JU16" s="9"/>
      <c r="JX16" s="3" t="s">
        <v>927</v>
      </c>
      <c r="JY16" s="7" t="s">
        <v>6</v>
      </c>
      <c r="KK16" s="9"/>
      <c r="KN16" s="3" t="s">
        <v>928</v>
      </c>
      <c r="KO16" s="7" t="s">
        <v>6</v>
      </c>
      <c r="LA16" s="9"/>
      <c r="LD16" s="3" t="s">
        <v>929</v>
      </c>
      <c r="LE16" s="7" t="s">
        <v>6</v>
      </c>
      <c r="LQ16" s="9"/>
      <c r="LT16" s="3" t="s">
        <v>930</v>
      </c>
      <c r="LU16" s="7" t="s">
        <v>6</v>
      </c>
      <c r="MG16" s="9"/>
      <c r="MJ16" s="3" t="s">
        <v>931</v>
      </c>
      <c r="MK16" s="7" t="s">
        <v>6</v>
      </c>
      <c r="MW16" s="9"/>
      <c r="MZ16" s="3" t="s">
        <v>932</v>
      </c>
      <c r="NA16" s="7" t="s">
        <v>6</v>
      </c>
      <c r="NM16" s="9"/>
      <c r="NP16" s="3" t="s">
        <v>933</v>
      </c>
      <c r="NQ16" s="7" t="s">
        <v>6</v>
      </c>
      <c r="OC16" s="9"/>
      <c r="OF16" s="3" t="s">
        <v>934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935</v>
      </c>
      <c r="X17" s="3"/>
      <c r="AP17" s="3"/>
      <c r="BH17" s="3" t="s">
        <v>936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937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938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939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940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941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942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943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944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945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946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947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948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949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950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951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952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953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954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955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956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957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958</v>
      </c>
      <c r="K18" t="s">
        <v>320</v>
      </c>
      <c r="X18" s="3"/>
      <c r="AP18" s="3"/>
      <c r="BH18" s="3" t="s">
        <v>959</v>
      </c>
      <c r="BI18">
        <v>1</v>
      </c>
      <c r="BU18" s="9"/>
      <c r="BX18" s="3" t="s">
        <v>960</v>
      </c>
      <c r="BY18">
        <v>1</v>
      </c>
      <c r="CK18" s="9"/>
      <c r="CN18" s="3" t="s">
        <v>961</v>
      </c>
      <c r="CO18">
        <v>1</v>
      </c>
      <c r="DA18" s="9"/>
      <c r="DD18" s="3" t="s">
        <v>962</v>
      </c>
      <c r="DE18">
        <v>1</v>
      </c>
      <c r="DQ18" s="9"/>
      <c r="DT18" s="3" t="s">
        <v>963</v>
      </c>
      <c r="DU18">
        <v>1</v>
      </c>
      <c r="EG18" s="9"/>
      <c r="EJ18" s="3" t="s">
        <v>964</v>
      </c>
      <c r="EK18">
        <v>1</v>
      </c>
      <c r="EW18" s="9"/>
      <c r="EZ18" s="3" t="s">
        <v>965</v>
      </c>
      <c r="FA18">
        <v>1</v>
      </c>
      <c r="FM18" s="9"/>
      <c r="FP18" s="3" t="s">
        <v>966</v>
      </c>
      <c r="FQ18">
        <v>1</v>
      </c>
      <c r="GC18" s="9"/>
      <c r="GF18" s="3" t="s">
        <v>967</v>
      </c>
      <c r="GG18">
        <v>1</v>
      </c>
      <c r="GS18" s="9"/>
      <c r="GV18" s="3" t="s">
        <v>968</v>
      </c>
      <c r="GW18">
        <v>1</v>
      </c>
      <c r="HI18" s="9"/>
      <c r="HL18" s="3" t="s">
        <v>969</v>
      </c>
      <c r="HM18">
        <v>1</v>
      </c>
      <c r="HY18" s="9"/>
      <c r="IB18" s="3" t="s">
        <v>970</v>
      </c>
      <c r="IC18">
        <v>1</v>
      </c>
      <c r="IO18" s="9"/>
      <c r="IR18" s="3" t="s">
        <v>971</v>
      </c>
      <c r="IS18">
        <v>1</v>
      </c>
      <c r="JE18" s="9"/>
      <c r="JH18" s="3" t="s">
        <v>972</v>
      </c>
      <c r="JI18">
        <v>1</v>
      </c>
      <c r="JU18" s="9"/>
      <c r="JX18" s="3" t="s">
        <v>973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974</v>
      </c>
      <c r="X19" s="3"/>
      <c r="AP19" s="3"/>
      <c r="BH19" s="3" t="s">
        <v>975</v>
      </c>
      <c r="BI19">
        <v>1</v>
      </c>
      <c r="BU19" s="9"/>
      <c r="BX19" s="3" t="s">
        <v>976</v>
      </c>
      <c r="BY19">
        <v>1</v>
      </c>
      <c r="CK19" s="9"/>
      <c r="CN19" s="3" t="s">
        <v>977</v>
      </c>
      <c r="CO19">
        <v>1</v>
      </c>
      <c r="DA19" s="9"/>
      <c r="DD19" s="3" t="s">
        <v>978</v>
      </c>
      <c r="DE19">
        <v>1</v>
      </c>
      <c r="DQ19" s="9"/>
      <c r="DT19" s="3" t="s">
        <v>979</v>
      </c>
      <c r="DU19">
        <v>1</v>
      </c>
      <c r="EG19" s="9"/>
      <c r="EJ19" s="3" t="s">
        <v>980</v>
      </c>
      <c r="EK19">
        <v>1</v>
      </c>
      <c r="EW19" s="9"/>
      <c r="EZ19" s="3" t="s">
        <v>981</v>
      </c>
      <c r="FA19">
        <v>1</v>
      </c>
      <c r="FM19" s="9"/>
      <c r="FP19" s="3" t="s">
        <v>982</v>
      </c>
      <c r="FQ19">
        <v>1</v>
      </c>
      <c r="GC19" s="9"/>
      <c r="GF19" s="3" t="s">
        <v>983</v>
      </c>
      <c r="GG19">
        <v>1</v>
      </c>
      <c r="GS19" s="9"/>
      <c r="GV19" s="3" t="s">
        <v>984</v>
      </c>
      <c r="GW19">
        <v>1</v>
      </c>
      <c r="HI19" s="9"/>
      <c r="HL19" s="3" t="s">
        <v>985</v>
      </c>
      <c r="HM19">
        <v>1</v>
      </c>
      <c r="HY19" s="9"/>
      <c r="IB19" s="3" t="s">
        <v>986</v>
      </c>
      <c r="IC19">
        <v>1</v>
      </c>
      <c r="IO19" s="9"/>
      <c r="IR19" s="3" t="s">
        <v>987</v>
      </c>
      <c r="IS19">
        <v>1</v>
      </c>
      <c r="JE19" s="9"/>
      <c r="JH19" s="3" t="s">
        <v>988</v>
      </c>
      <c r="JI19">
        <v>1</v>
      </c>
      <c r="JU19" s="9"/>
      <c r="JX19" s="3" t="s">
        <v>989</v>
      </c>
      <c r="JY19">
        <v>1</v>
      </c>
      <c r="KK19" s="9"/>
      <c r="KN19" s="3" t="s">
        <v>1541</v>
      </c>
      <c r="KO19">
        <v>1</v>
      </c>
      <c r="LA19" s="9"/>
      <c r="LD19" s="3" t="s">
        <v>1542</v>
      </c>
      <c r="LE19">
        <v>1</v>
      </c>
      <c r="LQ19" s="9"/>
      <c r="LT19" s="3" t="s">
        <v>1543</v>
      </c>
      <c r="LU19">
        <v>1</v>
      </c>
      <c r="MG19" s="9"/>
      <c r="MJ19" s="3" t="s">
        <v>1544</v>
      </c>
      <c r="MK19">
        <v>1</v>
      </c>
      <c r="MW19" s="9"/>
      <c r="MZ19" s="3" t="s">
        <v>1545</v>
      </c>
      <c r="NA19">
        <v>1</v>
      </c>
      <c r="NM19" s="9"/>
      <c r="NP19" s="3" t="s">
        <v>1546</v>
      </c>
      <c r="NQ19">
        <v>1</v>
      </c>
      <c r="OC19" s="9"/>
      <c r="OF19" s="3" t="s">
        <v>1547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1926</v>
      </c>
      <c r="BH20" s="3" t="s">
        <v>1881</v>
      </c>
      <c r="BI20">
        <v>0</v>
      </c>
      <c r="BU20" s="9"/>
      <c r="BX20" s="3" t="s">
        <v>1882</v>
      </c>
      <c r="BY20">
        <v>0</v>
      </c>
      <c r="CK20" s="9"/>
      <c r="CN20" s="3" t="s">
        <v>1883</v>
      </c>
      <c r="CO20">
        <v>0</v>
      </c>
      <c r="DA20" s="9"/>
      <c r="DD20" s="3" t="s">
        <v>1884</v>
      </c>
      <c r="DE20">
        <v>0</v>
      </c>
      <c r="DQ20" s="9"/>
      <c r="DT20" s="3" t="s">
        <v>1885</v>
      </c>
      <c r="DU20">
        <v>0</v>
      </c>
      <c r="EG20" s="9"/>
      <c r="EJ20" s="3" t="s">
        <v>1886</v>
      </c>
      <c r="EK20">
        <v>0</v>
      </c>
      <c r="EW20" s="9"/>
      <c r="EZ20" s="3" t="s">
        <v>1887</v>
      </c>
      <c r="FA20">
        <v>0</v>
      </c>
      <c r="FM20" s="9"/>
      <c r="FP20" s="3" t="s">
        <v>1888</v>
      </c>
      <c r="FQ20">
        <v>0</v>
      </c>
      <c r="GC20" s="9"/>
      <c r="GF20" s="3" t="s">
        <v>1889</v>
      </c>
      <c r="GG20">
        <v>0</v>
      </c>
      <c r="GS20" s="9"/>
      <c r="GV20" s="3" t="s">
        <v>1890</v>
      </c>
      <c r="GW20">
        <v>0</v>
      </c>
      <c r="HI20" s="9"/>
      <c r="HL20" s="3" t="s">
        <v>1891</v>
      </c>
      <c r="HM20">
        <v>0</v>
      </c>
      <c r="HY20" s="9"/>
      <c r="IB20" s="3" t="s">
        <v>1892</v>
      </c>
      <c r="IC20">
        <v>0</v>
      </c>
      <c r="IO20" s="9"/>
      <c r="IR20" s="3" t="s">
        <v>1893</v>
      </c>
      <c r="IS20">
        <v>0</v>
      </c>
      <c r="JE20" s="9"/>
      <c r="JH20" s="3" t="s">
        <v>1894</v>
      </c>
      <c r="JI20">
        <v>0</v>
      </c>
      <c r="JU20" s="9"/>
      <c r="JX20" s="3" t="s">
        <v>1895</v>
      </c>
      <c r="JY20">
        <v>0</v>
      </c>
      <c r="KK20" s="9"/>
      <c r="KN20" s="3" t="s">
        <v>1896</v>
      </c>
      <c r="KO20">
        <v>0</v>
      </c>
      <c r="LA20" s="9"/>
      <c r="LD20" s="3" t="s">
        <v>1897</v>
      </c>
      <c r="LE20">
        <v>0</v>
      </c>
      <c r="LQ20" s="9"/>
      <c r="LT20" s="3" t="s">
        <v>1898</v>
      </c>
      <c r="LU20">
        <v>0</v>
      </c>
      <c r="MG20" s="9"/>
      <c r="MJ20" s="3" t="s">
        <v>1899</v>
      </c>
      <c r="MK20">
        <v>0</v>
      </c>
      <c r="MW20" s="9"/>
      <c r="MZ20" s="3" t="s">
        <v>1900</v>
      </c>
      <c r="NA20">
        <v>0</v>
      </c>
      <c r="NM20" s="9"/>
      <c r="NP20" s="3" t="s">
        <v>1901</v>
      </c>
      <c r="NQ20">
        <v>0</v>
      </c>
      <c r="OC20" s="9"/>
      <c r="OF20" s="3" t="s">
        <v>1902</v>
      </c>
      <c r="OG20">
        <v>0</v>
      </c>
      <c r="OS20" s="9"/>
    </row>
    <row r="21" spans="1:508" x14ac:dyDescent="0.2">
      <c r="A21" s="3" t="s">
        <v>2056</v>
      </c>
      <c r="BH21" s="3" t="s">
        <v>2058</v>
      </c>
      <c r="BI21">
        <v>0</v>
      </c>
      <c r="BU21" s="9"/>
      <c r="BX21" s="3" t="s">
        <v>2060</v>
      </c>
      <c r="BY21">
        <v>0</v>
      </c>
      <c r="CK21" s="9"/>
      <c r="CN21" s="3" t="s">
        <v>2062</v>
      </c>
      <c r="CO21">
        <v>0</v>
      </c>
      <c r="DA21" s="9"/>
      <c r="DD21" s="3" t="s">
        <v>2064</v>
      </c>
      <c r="DE21">
        <v>0.25</v>
      </c>
      <c r="DQ21" s="9"/>
      <c r="DT21" s="3" t="s">
        <v>2066</v>
      </c>
      <c r="DU21">
        <v>0.25</v>
      </c>
      <c r="EG21" s="9"/>
      <c r="EJ21" s="3" t="s">
        <v>2068</v>
      </c>
      <c r="EK21">
        <v>0</v>
      </c>
      <c r="EW21" s="9"/>
      <c r="EZ21" s="3" t="s">
        <v>2070</v>
      </c>
      <c r="FA21">
        <v>0.25</v>
      </c>
      <c r="FM21" s="9"/>
      <c r="FP21" s="3" t="s">
        <v>2072</v>
      </c>
      <c r="FQ21">
        <v>0.25</v>
      </c>
      <c r="GC21" s="9"/>
      <c r="GF21" s="3" t="s">
        <v>2074</v>
      </c>
      <c r="GG21">
        <v>0.25</v>
      </c>
      <c r="GS21" s="9"/>
      <c r="GV21" s="3" t="s">
        <v>2076</v>
      </c>
      <c r="GW21">
        <v>0</v>
      </c>
      <c r="HI21" s="9"/>
      <c r="HL21" s="3" t="s">
        <v>2078</v>
      </c>
      <c r="HM21">
        <v>0.25</v>
      </c>
      <c r="HY21" s="9"/>
      <c r="IB21" s="3" t="s">
        <v>2080</v>
      </c>
      <c r="IC21">
        <v>0</v>
      </c>
      <c r="IO21" s="9"/>
      <c r="IR21" s="3" t="s">
        <v>2082</v>
      </c>
      <c r="IS21">
        <v>0.25</v>
      </c>
      <c r="JE21" s="9"/>
      <c r="JH21" s="3" t="s">
        <v>2084</v>
      </c>
      <c r="JI21">
        <v>0.25</v>
      </c>
      <c r="JU21" s="9"/>
      <c r="JX21" s="3" t="s">
        <v>2086</v>
      </c>
      <c r="JY21">
        <v>0.25</v>
      </c>
      <c r="KK21" s="9"/>
      <c r="KN21" s="3" t="s">
        <v>2088</v>
      </c>
      <c r="KO21">
        <v>0.25</v>
      </c>
      <c r="LA21" s="9"/>
      <c r="LD21" s="3" t="s">
        <v>2090</v>
      </c>
      <c r="LE21">
        <v>0.25</v>
      </c>
      <c r="LQ21" s="9"/>
      <c r="LT21" s="3" t="s">
        <v>2092</v>
      </c>
      <c r="LU21">
        <v>0.25</v>
      </c>
      <c r="MG21" s="9"/>
      <c r="MJ21" s="3" t="s">
        <v>2094</v>
      </c>
      <c r="MK21">
        <v>0.25</v>
      </c>
      <c r="MW21" s="9"/>
      <c r="MZ21" s="3" t="s">
        <v>2096</v>
      </c>
      <c r="NA21">
        <v>0.25</v>
      </c>
      <c r="NM21" s="9"/>
      <c r="NP21" s="3" t="s">
        <v>2098</v>
      </c>
      <c r="NQ21">
        <v>0.25</v>
      </c>
      <c r="OC21" s="9"/>
      <c r="OF21" s="3" t="s">
        <v>2100</v>
      </c>
      <c r="OG21">
        <v>0.25</v>
      </c>
      <c r="OS21" s="9"/>
    </row>
    <row r="22" spans="1:508" x14ac:dyDescent="0.2">
      <c r="A22" s="3" t="s">
        <v>2057</v>
      </c>
      <c r="BH22" s="3" t="s">
        <v>2059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2061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2063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2065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2067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2069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2071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2073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2075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2077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2079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2081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2083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2085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2087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2089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2091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2093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2095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2097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2099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2101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30"/>
      <c r="BK62" s="16"/>
      <c r="BL62" s="30"/>
      <c r="BM62" s="16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30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30"/>
      <c r="CQ62" s="16"/>
      <c r="CR62" s="16"/>
      <c r="CS62" s="30"/>
      <c r="CT62" s="30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30"/>
      <c r="DH62" s="30"/>
      <c r="DI62" s="30"/>
      <c r="DJ62" s="30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30"/>
      <c r="DV62" s="16"/>
      <c r="DW62" s="16"/>
      <c r="DX62" s="16"/>
      <c r="DY62" s="30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30"/>
      <c r="EM62" s="16"/>
      <c r="EN62" s="30"/>
      <c r="EO62" s="30"/>
      <c r="EP62" s="30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29"/>
      <c r="FB62" s="29"/>
      <c r="FC62" s="29"/>
      <c r="FD62" s="29"/>
      <c r="FE62" s="30"/>
      <c r="FF62" s="29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30"/>
      <c r="GE62" s="16"/>
      <c r="GF62" s="30"/>
      <c r="GG62" s="16"/>
      <c r="GH62" s="16"/>
      <c r="GI62" s="29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29"/>
      <c r="GZ62" s="16"/>
      <c r="HA62" s="30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30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30"/>
      <c r="ID62" s="16"/>
      <c r="IE62" s="29"/>
      <c r="IF62" s="16"/>
      <c r="IG62" s="30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29"/>
      <c r="IT62" s="16"/>
      <c r="IU62" s="16"/>
      <c r="IV62" s="16"/>
      <c r="IW62" s="30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30"/>
      <c r="JW62" s="30"/>
      <c r="JX62" s="16"/>
      <c r="JY62" s="2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9">M64+Y64+AQ64+BI64+BY64+CO64+DE64+DU64+EK64+FA64+FQ64+GG64+GW64+HM64+IC64+IS64+JI64+JY64+KO64+LE64+LU64+MK64+NA64+NQ64+OG64</f>
        <v>0</v>
      </c>
      <c r="C64" s="12">
        <f t="shared" si="319"/>
        <v>0</v>
      </c>
      <c r="D64" s="12">
        <f t="shared" si="319"/>
        <v>0</v>
      </c>
      <c r="E64" s="12">
        <f t="shared" si="319"/>
        <v>0</v>
      </c>
      <c r="F64" s="12">
        <f t="shared" si="319"/>
        <v>0</v>
      </c>
      <c r="G64" s="12">
        <f t="shared" si="319"/>
        <v>0</v>
      </c>
      <c r="H64" s="12">
        <f t="shared" si="319"/>
        <v>0</v>
      </c>
      <c r="I64" s="12">
        <f t="shared" ref="I64:J69" si="320">AF64+AX64+BP64+CF64+CV64+DL64+EB64+ER64+FH64+FX64+GN64+HD64+HT64+IJ64+IZ64+JP64+KF64+KV64+LL64+MB64+MR64+NH64+NX64+ON64</f>
        <v>0</v>
      </c>
      <c r="J64" s="12">
        <f t="shared" si="320"/>
        <v>0</v>
      </c>
      <c r="M64">
        <f t="shared" ref="M64:M69" si="321">M$5*V64</f>
        <v>0</v>
      </c>
      <c r="N64">
        <f t="shared" ref="N64:N69" si="322">N$5*V64</f>
        <v>0</v>
      </c>
      <c r="O64">
        <f t="shared" ref="O64:O69" si="323">O$5*V64</f>
        <v>0</v>
      </c>
      <c r="P64">
        <f t="shared" ref="P64:P69" si="324">P$5*V64</f>
        <v>0</v>
      </c>
      <c r="Q64">
        <f t="shared" ref="Q64:Q69" si="325">Q$5*V64</f>
        <v>0</v>
      </c>
      <c r="R64">
        <f t="shared" ref="R64:R69" si="326">R$5*V64</f>
        <v>0</v>
      </c>
      <c r="S64">
        <f t="shared" ref="S64:S69" si="327">S$5*V64</f>
        <v>0</v>
      </c>
      <c r="U64" t="s">
        <v>1303</v>
      </c>
      <c r="V64">
        <f>_xlfn.XLOOKUP(U64,'KPI Impacts'!$B$2:$H$2,'KPI Impacts'!$B64:$H64)</f>
        <v>0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8">BI$22*BT64</f>
        <v>0</v>
      </c>
      <c r="BJ64" s="12">
        <f t="shared" ref="BJ64:BJ69" si="329">BJ$22 * IF(AND(BI$5=1,BI$20=1), BV64, BT64)</f>
        <v>0</v>
      </c>
      <c r="BK64" s="12">
        <f t="shared" ref="BK64:BK69" si="330">BK$22 * IF(AND(BJ$5=1,BI$20=1), BV64, BT64)</f>
        <v>0</v>
      </c>
      <c r="BL64" s="12">
        <f t="shared" ref="BL64:BL69" si="331">BL$22 * IF(AND(BK$5=1,BI$20=1), BV64, BT64)</f>
        <v>0</v>
      </c>
      <c r="BM64" s="12">
        <f t="shared" ref="BM64:BM69" si="332">BM$22 * IF(AND(BL$5=1,BI$20=1), BV64, BT64)</f>
        <v>0</v>
      </c>
      <c r="BN64" s="12">
        <f t="shared" ref="BN64:BN69" si="333">BN$22 * IF(AND(BM$5=1,BI$20=1), BV64, BT64)</f>
        <v>0</v>
      </c>
      <c r="BO64" s="12">
        <f t="shared" ref="BO64:BO69" si="334">BO$22 * IF(AND(BN$5=1,BI$20=1), BV64, BT64)</f>
        <v>0</v>
      </c>
      <c r="BP64" s="12">
        <f t="shared" ref="BP64:BP69" si="335">BP$22 * IF(AND(BO$5=1,BI$20=1), BV64, BT64)</f>
        <v>0</v>
      </c>
      <c r="BQ64" s="12">
        <f t="shared" ref="BQ64:BQ69" si="336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7">BY$22*CJ64</f>
        <v>0</v>
      </c>
      <c r="BZ64" s="12">
        <f t="shared" ref="BZ64:BZ69" si="338">BZ$22 * IF(AND(BY$5=1,BY$20=1), CL64, CJ64)</f>
        <v>0</v>
      </c>
      <c r="CA64" s="12">
        <f t="shared" ref="CA64:CA69" si="339">CA$22 * IF(AND(BZ$5=1,BY$20=1), CL64, CJ64)</f>
        <v>0</v>
      </c>
      <c r="CB64" s="12">
        <f t="shared" ref="CB64:CB69" si="340">CB$22 * IF(AND(CA$5=1,BY$20=1), CL64, CJ64)</f>
        <v>0</v>
      </c>
      <c r="CC64" s="12">
        <f t="shared" ref="CC64:CC69" si="341">CC$22 * IF(AND(CB$5=1,BY$20=1), CL64, CJ64)</f>
        <v>0</v>
      </c>
      <c r="CD64" s="12">
        <f t="shared" ref="CD64:CD69" si="342">CD$22 * IF(AND(CC$5=1,BY$20=1), CL64, CJ64)</f>
        <v>0</v>
      </c>
      <c r="CE64" s="12">
        <f t="shared" ref="CE64:CE69" si="343">CE$22 * IF(AND(CD$5=1,BY$20=1), CL64, CJ64)</f>
        <v>0</v>
      </c>
      <c r="CF64" s="12">
        <f t="shared" ref="CF64:CF69" si="344">CF$22 * IF(AND(CE$5=1,BY$20=1), CL64, CJ64)</f>
        <v>0</v>
      </c>
      <c r="CG64" s="12">
        <f t="shared" ref="CG64:CG69" si="345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9" t="s">
        <v>1303</v>
      </c>
      <c r="CL64">
        <f>_xlfn.XLOOKUP(CK64,'KPI Impacts'!$B$2:$H$2,'KPI Impacts'!$B64:$H64)</f>
        <v>0</v>
      </c>
      <c r="CO64" s="12">
        <f t="shared" ref="CO64:CO69" si="346">CO$22*CZ64</f>
        <v>0</v>
      </c>
      <c r="CP64" s="12">
        <f t="shared" ref="CP64:CP69" si="347">CP$22 * IF(AND(CO$5=1,CO$20=1), DB64, CZ64)</f>
        <v>0</v>
      </c>
      <c r="CQ64" s="12">
        <f t="shared" ref="CQ64:CQ69" si="348">CQ$22 * IF(AND(CP$5=1,CO$20=1), DB64, CZ64)</f>
        <v>0</v>
      </c>
      <c r="CR64" s="12">
        <f t="shared" ref="CR64:CR69" si="349">CR$22 * IF(AND(CQ$5=1,CO$20=1), DB64, CZ64)</f>
        <v>0</v>
      </c>
      <c r="CS64" s="12">
        <f t="shared" ref="CS64:CS69" si="350">CS$22 * IF(AND(CR$5=1,CO$20=1), DB64, CZ64)</f>
        <v>0</v>
      </c>
      <c r="CT64" s="12">
        <f t="shared" ref="CT64:CT69" si="351">CT$22 * IF(AND(CS$5=1,CO$20=1), DB64, CZ64)</f>
        <v>0</v>
      </c>
      <c r="CU64" s="12">
        <f t="shared" ref="CU64:CU69" si="352">CU$22 * IF(AND(CT$5=1,CO$20=1), DB64, CZ64)</f>
        <v>0</v>
      </c>
      <c r="CV64" s="12">
        <f t="shared" ref="CV64:CV69" si="353">CV$22 * IF(AND(CU$5=1,CO$20=1), DB64, CZ64)</f>
        <v>0</v>
      </c>
      <c r="CW64" s="12">
        <f t="shared" ref="CW64:CW69" si="354">CW$22 * IF(AND(CV$5=1,CO$20=1), DB64, CZ64)</f>
        <v>0</v>
      </c>
      <c r="CY64" s="16" t="s">
        <v>1303</v>
      </c>
      <c r="CZ64">
        <f>_xlfn.XLOOKUP(CY64,'KPI Impacts'!$B$2:$H$2,'KPI Impacts'!$B64:$H64)</f>
        <v>0</v>
      </c>
      <c r="DA64" s="35" t="s">
        <v>1303</v>
      </c>
      <c r="DB64">
        <f>_xlfn.XLOOKUP(DA64,'KPI Impacts'!$B$2:$H$2,'KPI Impacts'!$B64:$H64)</f>
        <v>0</v>
      </c>
      <c r="DE64" s="12">
        <f t="shared" ref="DE64:DE69" si="355">DE$22*DP64</f>
        <v>0</v>
      </c>
      <c r="DF64" s="12">
        <f t="shared" ref="DF64:DF69" si="356">DF$22 * IF(AND(DE$5=1,DE$20=1), DR64, DP64)</f>
        <v>0</v>
      </c>
      <c r="DG64" s="12">
        <f t="shared" ref="DG64:DG69" si="357">DG$22 * IF(AND(DF$5=1,DE$20=1), DR64, DP64)</f>
        <v>0</v>
      </c>
      <c r="DH64" s="12">
        <f t="shared" ref="DH64:DH69" si="358">DH$22 * IF(AND(DG$5=1,DE$20=1), DR64, DP64)</f>
        <v>0</v>
      </c>
      <c r="DI64" s="12">
        <f t="shared" ref="DI64:DI69" si="359">DI$22 * IF(AND(DH$5=1,DE$20=1), DR64, DP64)</f>
        <v>0</v>
      </c>
      <c r="DJ64" s="12">
        <f t="shared" ref="DJ64:DJ69" si="360">DJ$22 * IF(AND(DI$5=1,DE$20=1), DR64, DP64)</f>
        <v>0</v>
      </c>
      <c r="DK64" s="12">
        <f t="shared" ref="DK64:DK69" si="361">DK$22 * IF(AND(DJ$5=1,DE$20=1), DR64, DP64)</f>
        <v>0</v>
      </c>
      <c r="DL64" s="12">
        <f t="shared" ref="DL64:DL69" si="362">DL$22 * IF(AND(DK$5=1,DE$20=1), DR64, DP64)</f>
        <v>0</v>
      </c>
      <c r="DM64" s="12">
        <f t="shared" ref="DM64:DM69" si="363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64">DU$22*EF64</f>
        <v>0</v>
      </c>
      <c r="DV64" s="12">
        <f t="shared" ref="DV64:DV69" si="365">DV$22 * IF(AND(DU$5=1,DU$20=1), EH64, EF64)</f>
        <v>0</v>
      </c>
      <c r="DW64" s="12">
        <f t="shared" ref="DW64:DW69" si="366">DW$22 * IF(AND(DV$5=1,DU$20=1), EH64, EF64)</f>
        <v>0</v>
      </c>
      <c r="DX64" s="12">
        <f t="shared" ref="DX64:DX69" si="367">DX$22 * IF(AND(DW$5=1,DU$20=1), EH64, EF64)</f>
        <v>0</v>
      </c>
      <c r="DY64" s="12">
        <f t="shared" ref="DY64:DY69" si="368">DY$22 * IF(AND(DX$5=1,DU$20=1), EH64, EF64)</f>
        <v>0</v>
      </c>
      <c r="DZ64" s="12">
        <f t="shared" ref="DZ64:DZ69" si="369">DZ$22 * IF(AND(DY$5=1,DU$20=1), EH64, EF64)</f>
        <v>0</v>
      </c>
      <c r="EA64" s="12">
        <f t="shared" ref="EA64:EA69" si="370">EA$22 * IF(AND(DZ$5=1,DU$20=1), EH64, EF64)</f>
        <v>0</v>
      </c>
      <c r="EB64" s="12">
        <f t="shared" ref="EB64:EB69" si="371">EB$22 * IF(AND(EA$5=1,DU$20=1), EH64, EF64)</f>
        <v>0</v>
      </c>
      <c r="EC64" s="12">
        <f t="shared" ref="EC64:EC69" si="372">EC$22 * IF(AND(EB$5=1,DU$20=1), EH64, EF64)</f>
        <v>0</v>
      </c>
      <c r="EE64" s="30" t="s">
        <v>1307</v>
      </c>
      <c r="EF64">
        <f>_xlfn.XLOOKUP(EE64,'KPI Impacts'!$B$2:$H$2,'KPI Impacts'!$B64:$H64)</f>
        <v>1</v>
      </c>
      <c r="EG64" s="35" t="s">
        <v>1303</v>
      </c>
      <c r="EH64">
        <f>_xlfn.XLOOKUP(EG64,'KPI Impacts'!$B$2:$H$2,'KPI Impacts'!$B64:$H64)</f>
        <v>0</v>
      </c>
      <c r="EK64" s="12">
        <f t="shared" ref="EK64:EK69" si="373">EK$22*EV64</f>
        <v>0</v>
      </c>
      <c r="EL64" s="12">
        <f t="shared" ref="EL64:EL69" si="374">EL$22 * IF(AND(EK$5=1,EK$20=1), EX64, EV64)</f>
        <v>0</v>
      </c>
      <c r="EM64" s="12">
        <f t="shared" ref="EM64:EM69" si="375">EM$22 * IF(AND(EL$5=1,EK$20=1), EX64, EV64)</f>
        <v>0</v>
      </c>
      <c r="EN64" s="12">
        <f t="shared" ref="EN64:EN69" si="376">EN$22 * IF(AND(EM$5=1,EK$20=1), EX64, EV64)</f>
        <v>0</v>
      </c>
      <c r="EO64" s="12">
        <f t="shared" ref="EO64:EO69" si="377">EO$22 * IF(AND(EN$5=1,EK$20=1), EX64, EV64)</f>
        <v>0</v>
      </c>
      <c r="EP64" s="12">
        <f t="shared" ref="EP64:EP69" si="378">EP$22 * IF(AND(EO$5=1,EK$20=1), EX64, EV64)</f>
        <v>0</v>
      </c>
      <c r="EQ64" s="12">
        <f t="shared" ref="EQ64:EQ69" si="379">EQ$22 * IF(AND(EP$5=1,EK$20=1), EX64, EV64)</f>
        <v>0</v>
      </c>
      <c r="ER64" s="12">
        <f t="shared" ref="ER64:ER69" si="380">ER$22 * IF(AND(EQ$5=1,EK$20=1), EX64, EV64)</f>
        <v>0</v>
      </c>
      <c r="ES64" s="12">
        <f t="shared" ref="ES64:ES69" si="381">ES$22 * IF(AND(ER$5=1,EK$20=1), EX64, EV64)</f>
        <v>0</v>
      </c>
      <c r="EU64" s="16" t="s">
        <v>1303</v>
      </c>
      <c r="EV64">
        <f>_xlfn.XLOOKUP(EU64,'KPI Impacts'!$B$2:$H$2,'KPI Impacts'!$B64:$H64)</f>
        <v>0</v>
      </c>
      <c r="EW64" s="35" t="s">
        <v>1303</v>
      </c>
      <c r="EX64">
        <f>_xlfn.XLOOKUP(EW64,'KPI Impacts'!$B$2:$H$2,'KPI Impacts'!$B64:$H64)</f>
        <v>0</v>
      </c>
      <c r="FA64" s="12">
        <f t="shared" ref="FA64:FA69" si="382">FA$22*FL64</f>
        <v>0</v>
      </c>
      <c r="FB64" s="12">
        <f t="shared" ref="FB64:FB69" si="383">FB$22 * IF(AND(FA$5=1,FA$20=1), FN64, FL64)</f>
        <v>0</v>
      </c>
      <c r="FC64" s="12">
        <f t="shared" ref="FC64:FC69" si="384">FC$22 * IF(AND(FB$5=1,FA$20=1), FN64, FL64)</f>
        <v>0</v>
      </c>
      <c r="FD64" s="12">
        <f t="shared" ref="FD64:FD69" si="385">FD$22 * IF(AND(FC$5=1,FA$20=1), FN64, FL64)</f>
        <v>0</v>
      </c>
      <c r="FE64" s="12">
        <f t="shared" ref="FE64:FE69" si="386">FE$22 * IF(AND(FD$5=1,FA$20=1), FN64, FL64)</f>
        <v>0</v>
      </c>
      <c r="FF64" s="12">
        <f t="shared" ref="FF64:FF69" si="387">FF$22 * IF(AND(FE$5=1,FA$20=1), FN64, FL64)</f>
        <v>0</v>
      </c>
      <c r="FG64" s="12">
        <f t="shared" ref="FG64:FG69" si="388">FG$22 * IF(AND(FF$5=1,FA$20=1), FN64, FL64)</f>
        <v>0</v>
      </c>
      <c r="FH64" s="12">
        <f t="shared" ref="FH64:FH69" si="389">FH$22 * IF(AND(FG$5=1,FA$20=1), FN64, FL64)</f>
        <v>0</v>
      </c>
      <c r="FI64" s="12">
        <f t="shared" ref="FI64:FI69" si="390">FI$22 * IF(AND(FH$5=1,FA$20=1), FN64, FL64)</f>
        <v>0</v>
      </c>
      <c r="FK64" s="29" t="s">
        <v>1304</v>
      </c>
      <c r="FL64">
        <f>_xlfn.XLOOKUP(FK64,'KPI Impacts'!$B$2:$H$2,'KPI Impacts'!$B64:$H64)</f>
        <v>-0.8</v>
      </c>
      <c r="FM64" s="35" t="s">
        <v>1303</v>
      </c>
      <c r="FN64">
        <f>_xlfn.XLOOKUP(FM64,'KPI Impacts'!$B$2:$H$2,'KPI Impacts'!$B64:$H64)</f>
        <v>0</v>
      </c>
      <c r="FQ64" s="12">
        <f t="shared" ref="FQ64:FQ69" si="391">FQ$22*GB64</f>
        <v>0</v>
      </c>
      <c r="FR64" s="12">
        <f t="shared" ref="FR64:FR69" si="392">FR$22 * IF(AND(FQ$5=1,FQ$20=1), GD64, GB64)</f>
        <v>0</v>
      </c>
      <c r="FS64" s="12">
        <f t="shared" ref="FS64:FS69" si="393">FS$22 * IF(AND(FR$5=1,FQ$20=1), GD64, GB64)</f>
        <v>0</v>
      </c>
      <c r="FT64" s="12">
        <f t="shared" ref="FT64:FT69" si="394">FT$22 * IF(AND(FS$5=1,FQ$20=1), GD64, GB64)</f>
        <v>0</v>
      </c>
      <c r="FU64" s="12">
        <f t="shared" ref="FU64:FU69" si="395">FU$22 * IF(AND(FT$5=1,FQ$20=1), GD64, GB64)</f>
        <v>0</v>
      </c>
      <c r="FV64" s="12">
        <f t="shared" ref="FV64:FV69" si="396">FV$22 * IF(AND(FU$5=1,FQ$20=1), GD64, GB64)</f>
        <v>0</v>
      </c>
      <c r="FW64" s="12">
        <f t="shared" ref="FW64:FW69" si="397">FW$22 * IF(AND(FV$5=1,FQ$20=1), GD64, GB64)</f>
        <v>0</v>
      </c>
      <c r="FX64" s="12">
        <f t="shared" ref="FX64:FX69" si="398">FX$22 * IF(AND(FW$5=1,FQ$20=1), GD64, GB64)</f>
        <v>0</v>
      </c>
      <c r="FY64" s="12">
        <f t="shared" ref="FY64:FY69" si="399">FY$22 * IF(AND(FX$5=1,FQ$20=1), GD64, GB64)</f>
        <v>0</v>
      </c>
      <c r="GA64" s="16" t="s">
        <v>1303</v>
      </c>
      <c r="GB64">
        <f>_xlfn.XLOOKUP(GA64,'KPI Impacts'!$B$2:$H$2,'KPI Impacts'!$B64:$H64)</f>
        <v>0</v>
      </c>
      <c r="GC64" s="35" t="s">
        <v>1303</v>
      </c>
      <c r="GD64">
        <f>_xlfn.XLOOKUP(GC64,'KPI Impacts'!$B$2:$H$2,'KPI Impacts'!$B64:$H64)</f>
        <v>0</v>
      </c>
      <c r="GG64" s="12">
        <f t="shared" ref="GG64:GG69" si="400">GG$22*GR64</f>
        <v>0</v>
      </c>
      <c r="GH64" s="12">
        <f t="shared" ref="GH64:GH69" si="401">GH$22 * IF(AND(GG$5=1,GG$20=1), GT64, GR64)</f>
        <v>0</v>
      </c>
      <c r="GI64" s="12">
        <f t="shared" ref="GI64:GI69" si="402">GI$22 * IF(AND(GH$5=1,GG$20=1), GT64, GR64)</f>
        <v>0</v>
      </c>
      <c r="GJ64" s="12">
        <f t="shared" ref="GJ64:GJ69" si="403">GJ$22 * IF(AND(GI$5=1,GG$20=1), GT64, GR64)</f>
        <v>0</v>
      </c>
      <c r="GK64" s="12">
        <f t="shared" ref="GK64:GK69" si="404">GK$22 * IF(AND(GJ$5=1,GG$20=1), GT64, GR64)</f>
        <v>0</v>
      </c>
      <c r="GL64" s="12">
        <f t="shared" ref="GL64:GL69" si="405">GL$22 * IF(AND(GK$5=1,GG$20=1), GT64, GR64)</f>
        <v>0</v>
      </c>
      <c r="GM64" s="12">
        <f t="shared" ref="GM64:GM69" si="406">GM$22 * IF(AND(GL$5=1,GG$20=1), GT64, GR64)</f>
        <v>0</v>
      </c>
      <c r="GN64" s="12">
        <f t="shared" ref="GN64:GN69" si="407">GN$22 * IF(AND(GM$5=1,GG$20=1), GT64, GR64)</f>
        <v>0</v>
      </c>
      <c r="GO64" s="12">
        <f t="shared" ref="GO64:GO69" si="408">GO$22 * IF(AND(GN$5=1,GG$20=1), GT64, GR64)</f>
        <v>0</v>
      </c>
      <c r="GQ64" s="16" t="s">
        <v>1303</v>
      </c>
      <c r="GR64">
        <f>_xlfn.XLOOKUP(GQ64,'KPI Impacts'!$B$2:$H$2,'KPI Impacts'!$B64:$H64)</f>
        <v>0</v>
      </c>
      <c r="GS64" s="35" t="s">
        <v>1303</v>
      </c>
      <c r="GT64">
        <f>_xlfn.XLOOKUP(GS64,'KPI Impacts'!$B$2:$H$2,'KPI Impacts'!$B64:$H64)</f>
        <v>0</v>
      </c>
      <c r="GW64" s="12">
        <f t="shared" ref="GW64:GW69" si="409">GW$22*HH64</f>
        <v>0</v>
      </c>
      <c r="GX64" s="12">
        <f t="shared" ref="GX64:GX69" si="410">GX$22 * IF(AND(GW$5=1,GW$20=1), HJ64, HH64)</f>
        <v>0</v>
      </c>
      <c r="GY64" s="12">
        <f t="shared" ref="GY64:GY69" si="411">GY$22 * IF(AND(GX$5=1,GW$20=1), HJ64, HH64)</f>
        <v>0</v>
      </c>
      <c r="GZ64" s="12">
        <f t="shared" ref="GZ64:GZ69" si="412">GZ$22 * IF(AND(GY$5=1,GW$20=1), HJ64, HH64)</f>
        <v>0</v>
      </c>
      <c r="HA64" s="12">
        <f t="shared" ref="HA64:HA69" si="413">HA$22 * IF(AND(GZ$5=1,GW$20=1), HJ64, HH64)</f>
        <v>0</v>
      </c>
      <c r="HB64" s="12">
        <f t="shared" ref="HB64:HB69" si="414">HB$22 * IF(AND(HA$5=1,GW$20=1), HJ64, HH64)</f>
        <v>0</v>
      </c>
      <c r="HC64" s="12">
        <f t="shared" ref="HC64:HC69" si="415">HC$22 * IF(AND(HB$5=1,GW$20=1), HJ64, HH64)</f>
        <v>0</v>
      </c>
      <c r="HD64" s="12">
        <f t="shared" ref="HD64:HD69" si="416">HD$22 * IF(AND(HC$5=1,GW$20=1), HJ64, HH64)</f>
        <v>0</v>
      </c>
      <c r="HE64" s="12">
        <f t="shared" ref="HE64:HE69" si="417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35" t="s">
        <v>1303</v>
      </c>
      <c r="HJ64">
        <f>_xlfn.XLOOKUP(HI64,'KPI Impacts'!$B$2:$H$2,'KPI Impacts'!$B64:$H64)</f>
        <v>0</v>
      </c>
      <c r="HM64" s="12">
        <f t="shared" ref="HM64:HM69" si="418">HM$22*HX64</f>
        <v>0</v>
      </c>
      <c r="HN64" s="12">
        <f t="shared" ref="HN64:HN69" si="419">HN$22 * IF(AND(HM$5=1,HM$20=1), HZ64, HX64)</f>
        <v>0</v>
      </c>
      <c r="HO64" s="12">
        <f t="shared" ref="HO64:HO69" si="420">HO$22 * IF(AND(HN$5=1,HM$20=1), HZ64, HX64)</f>
        <v>0</v>
      </c>
      <c r="HP64" s="12">
        <f t="shared" ref="HP64:HP69" si="421">HP$22 * IF(AND(HO$5=1,HM$20=1), HZ64, HX64)</f>
        <v>0</v>
      </c>
      <c r="HQ64" s="12">
        <f t="shared" ref="HQ64:HQ69" si="422">HQ$22 * IF(AND(HP$5=1,HM$20=1), HZ64, HX64)</f>
        <v>0</v>
      </c>
      <c r="HR64" s="12">
        <f t="shared" ref="HR64:HR69" si="423">HR$22 * IF(AND(HQ$5=1,HM$20=1), HZ64, HX64)</f>
        <v>0</v>
      </c>
      <c r="HS64" s="12">
        <f t="shared" ref="HS64:HS69" si="424">HS$22 * IF(AND(HR$5=1,HM$20=1), HZ64, HX64)</f>
        <v>0</v>
      </c>
      <c r="HT64" s="12">
        <f t="shared" ref="HT64:HT69" si="425">HT$22 * IF(AND(HS$5=1,HM$20=1), HZ64, HX64)</f>
        <v>0</v>
      </c>
      <c r="HU64" s="12">
        <f t="shared" ref="HU64:HU69" si="426">HU$22 * IF(AND(HT$5=1,HM$20=1), HZ64, HX64)</f>
        <v>0</v>
      </c>
      <c r="HW64" s="16" t="s">
        <v>1303</v>
      </c>
      <c r="HX64">
        <f>_xlfn.XLOOKUP(HW64,'KPI Impacts'!$B$2:$H$2,'KPI Impacts'!$B64:$H64)</f>
        <v>0</v>
      </c>
      <c r="HY64" s="35" t="s">
        <v>1303</v>
      </c>
      <c r="HZ64">
        <f>_xlfn.XLOOKUP(HY64,'KPI Impacts'!$B$2:$H$2,'KPI Impacts'!$B64:$H64)</f>
        <v>0</v>
      </c>
      <c r="IC64" s="12">
        <f t="shared" ref="IC64:IC69" si="427">IC$22*IN64</f>
        <v>0</v>
      </c>
      <c r="ID64" s="12">
        <f t="shared" ref="ID64:ID69" si="428">ID$22 * IF(AND(IC$5=1,IC$20=1), IP64, IN64)</f>
        <v>0</v>
      </c>
      <c r="IE64" s="12">
        <f t="shared" ref="IE64:IE69" si="429">IE$22 * IF(AND(ID$5=1,IC$20=1), IP64, IN64)</f>
        <v>0</v>
      </c>
      <c r="IF64" s="12">
        <f t="shared" ref="IF64:IF69" si="430">IF$22 * IF(AND(IE$5=1,IC$20=1), IP64, IN64)</f>
        <v>0</v>
      </c>
      <c r="IG64" s="12">
        <f t="shared" ref="IG64:IG69" si="431">IG$22 * IF(AND(IF$5=1,IC$20=1), IP64, IN64)</f>
        <v>0</v>
      </c>
      <c r="IH64" s="12">
        <f t="shared" ref="IH64:IH69" si="432">IH$22 * IF(AND(IG$5=1,IC$20=1), IP64, IN64)</f>
        <v>0</v>
      </c>
      <c r="II64" s="12">
        <f t="shared" ref="II64:II69" si="433">II$22 * IF(AND(IH$5=1,IC$20=1), IP64, IN64)</f>
        <v>0</v>
      </c>
      <c r="IJ64" s="12">
        <f t="shared" ref="IJ64:IJ69" si="434">IJ$22 * IF(AND(II$5=1,IC$20=1), IP64, IN64)</f>
        <v>0</v>
      </c>
      <c r="IK64" s="12">
        <f t="shared" ref="IK64:IK69" si="435">IK$22 * IF(AND(IJ$5=1,IC$20=1), IP64, IN64)</f>
        <v>0</v>
      </c>
      <c r="IM64" s="30" t="s">
        <v>1307</v>
      </c>
      <c r="IN64">
        <f>_xlfn.XLOOKUP(IM64,'KPI Impacts'!$B$2:$H$2,'KPI Impacts'!$B64:$H64)</f>
        <v>1</v>
      </c>
      <c r="IO64" s="35" t="s">
        <v>1303</v>
      </c>
      <c r="IP64">
        <f>_xlfn.XLOOKUP(IO64,'KPI Impacts'!$B$2:$H$2,'KPI Impacts'!$B64:$H64)</f>
        <v>0</v>
      </c>
      <c r="IS64" s="12">
        <f t="shared" ref="IS64:IS69" si="436">IS$22*JD64</f>
        <v>0</v>
      </c>
      <c r="IT64" s="12">
        <f t="shared" ref="IT64:IT69" si="437">IT$22 * IF(AND(IS$5=1,IS$20=1), JF64, JD64)</f>
        <v>0</v>
      </c>
      <c r="IU64" s="12">
        <f t="shared" ref="IU64:IU69" si="438">IU$22 * IF(AND(IT$5=1,IS$20=1), JF64, JD64)</f>
        <v>0</v>
      </c>
      <c r="IV64" s="12">
        <f t="shared" ref="IV64:IV69" si="439">IV$22 * IF(AND(IU$5=1,IS$20=1), JF64, JD64)</f>
        <v>0</v>
      </c>
      <c r="IW64" s="12">
        <f t="shared" ref="IW64:IW69" si="440">IW$22 * IF(AND(IV$5=1,IS$20=1), JF64, JD64)</f>
        <v>0</v>
      </c>
      <c r="IX64" s="12">
        <f t="shared" ref="IX64:IX69" si="441">IX$22 * IF(AND(IW$5=1,IS$20=1), JF64, JD64)</f>
        <v>0</v>
      </c>
      <c r="IY64" s="12">
        <f t="shared" ref="IY64:IY69" si="442">IY$22 * IF(AND(IX$5=1,IS$20=1), JF64, JD64)</f>
        <v>0</v>
      </c>
      <c r="IZ64" s="12">
        <f t="shared" ref="IZ64:IZ69" si="443">IZ$22 * IF(AND(IY$5=1,IS$20=1), JF64, JD64)</f>
        <v>0</v>
      </c>
      <c r="JA64" s="12">
        <f t="shared" ref="JA64:JA69" si="444">JA$22 * IF(AND(IZ$5=1,IS$20=1), JF64, JD64)</f>
        <v>0</v>
      </c>
      <c r="JC64" s="29" t="s">
        <v>1304</v>
      </c>
      <c r="JD64">
        <f>_xlfn.XLOOKUP(JC64,'KPI Impacts'!$B$2:$H$2,'KPI Impacts'!$B64:$H64)</f>
        <v>-0.8</v>
      </c>
      <c r="JE64" s="35" t="s">
        <v>1303</v>
      </c>
      <c r="JF64">
        <f>_xlfn.XLOOKUP(JE64,'KPI Impacts'!$B$2:$H$2,'KPI Impacts'!$B64:$H64)</f>
        <v>0</v>
      </c>
      <c r="JI64" s="12">
        <f t="shared" ref="JI64:JI69" si="445">JI$22*JT64</f>
        <v>0</v>
      </c>
      <c r="JJ64" s="12">
        <f t="shared" ref="JJ64:JJ69" si="446">JJ$22 * IF(AND(JI$5=1,JI$20=1), JV64, JT64)</f>
        <v>0</v>
      </c>
      <c r="JK64" s="12">
        <f t="shared" ref="JK64:JK69" si="447">JK$22 * IF(AND(JJ$5=1,JI$20=1), JV64, JT64)</f>
        <v>0</v>
      </c>
      <c r="JL64" s="12">
        <f t="shared" ref="JL64:JL69" si="448">JL$22 * IF(AND(JK$5=1,JI$20=1), JV64, JT64)</f>
        <v>0</v>
      </c>
      <c r="JM64" s="12">
        <f t="shared" ref="JM64:JM69" si="449">JM$22 * IF(AND(JL$5=1,JI$20=1), JV64, JT64)</f>
        <v>0</v>
      </c>
      <c r="JN64" s="12">
        <f t="shared" ref="JN64:JN69" si="450">JN$22 * IF(AND(JM$5=1,JI$20=1), JV64, JT64)</f>
        <v>0</v>
      </c>
      <c r="JO64" s="12">
        <f t="shared" ref="JO64:JO69" si="451">JO$22 * IF(AND(JN$5=1,JI$20=1), JV64, JT64)</f>
        <v>0</v>
      </c>
      <c r="JP64" s="12">
        <f t="shared" ref="JP64:JP69" si="452">JP$22 * IF(AND(JO$5=1,JI$20=1), JV64, JT64)</f>
        <v>0</v>
      </c>
      <c r="JQ64" s="12">
        <f t="shared" ref="JQ64:JQ69" si="453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54">JY$22*KJ64</f>
        <v>0</v>
      </c>
      <c r="JZ64" s="12">
        <f t="shared" ref="JZ64:JZ69" si="455">JZ$22 * IF(AND(JY$5=1,JY$20=1), KL64, KJ64)</f>
        <v>0</v>
      </c>
      <c r="KA64" s="12">
        <f t="shared" ref="KA64:KA69" si="456">KA$22 * IF(AND(JZ$5=1,JY$20=1), KL64, KJ64)</f>
        <v>0</v>
      </c>
      <c r="KB64" s="12">
        <f t="shared" ref="KB64:KB69" si="457">KB$22 * IF(AND(KA$5=1,JY$20=1), KL64, KJ64)</f>
        <v>0</v>
      </c>
      <c r="KC64" s="12">
        <f t="shared" ref="KC64:KC69" si="458">KC$22 * IF(AND(KB$5=1,JY$20=1), KL64, KJ64)</f>
        <v>0</v>
      </c>
      <c r="KD64" s="12">
        <f t="shared" ref="KD64:KD69" si="459">KD$22 * IF(AND(KC$5=1,JY$20=1), KL64, KJ64)</f>
        <v>0</v>
      </c>
      <c r="KE64" s="12">
        <f t="shared" ref="KE64:KE69" si="460">KE$22 * IF(AND(KD$5=1,JY$20=1), KL64, KJ64)</f>
        <v>0</v>
      </c>
      <c r="KF64" s="12">
        <f t="shared" ref="KF64:KF69" si="461">KF$22 * IF(AND(KE$5=1,JY$20=1), KL64, KJ64)</f>
        <v>0</v>
      </c>
      <c r="KG64" s="12">
        <f t="shared" ref="KG64:KG69" si="462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63">KO$22*KZ64</f>
        <v>0</v>
      </c>
      <c r="KP64" s="12">
        <f t="shared" ref="KP64:KP69" si="464">KP$22 * IF(AND(KO$5=1,KO$20=1), LB64, KZ64)</f>
        <v>0</v>
      </c>
      <c r="KQ64" s="12">
        <f t="shared" ref="KQ64:KQ69" si="465">KQ$22 * IF(AND(KP$5=1,KO$20=1), LB64, KZ64)</f>
        <v>0</v>
      </c>
      <c r="KR64" s="12">
        <f t="shared" ref="KR64:KR69" si="466">KR$22 * IF(AND(KQ$5=1,KO$20=1), LB64, KZ64)</f>
        <v>0</v>
      </c>
      <c r="KS64" s="12">
        <f t="shared" ref="KS64:KS69" si="467">KS$22 * IF(AND(KR$5=1,KO$20=1), LB64, KZ64)</f>
        <v>0</v>
      </c>
      <c r="KT64" s="12">
        <f t="shared" ref="KT64:KT69" si="468">KT$22 * IF(AND(KS$5=1,KO$20=1), LB64, KZ64)</f>
        <v>0</v>
      </c>
      <c r="KU64" s="12">
        <f t="shared" ref="KU64:KU69" si="469">KU$22 * IF(AND(KT$5=1,KO$20=1), LB64, KZ64)</f>
        <v>0</v>
      </c>
      <c r="KV64" s="12">
        <f t="shared" ref="KV64:KV69" si="470">KV$22 * IF(AND(KU$5=1,KO$20=1), LB64, KZ64)</f>
        <v>0</v>
      </c>
      <c r="KW64" s="12">
        <f t="shared" ref="KW64:KW69" si="471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72">LE$22*LP64</f>
        <v>0</v>
      </c>
      <c r="LF64" s="12">
        <f t="shared" ref="LF64:LF69" si="473">LF$22 * IF(AND(LE$5=1,LE$20=1), LR64, LP64)</f>
        <v>0</v>
      </c>
      <c r="LG64" s="12">
        <f t="shared" ref="LG64:LG69" si="474">LG$22 * IF(AND(LF$5=1,LE$20=1), LR64, LP64)</f>
        <v>0</v>
      </c>
      <c r="LH64" s="12">
        <f t="shared" ref="LH64:LH69" si="475">LH$22 * IF(AND(LG$5=1,LE$20=1), LR64, LP64)</f>
        <v>0</v>
      </c>
      <c r="LI64" s="12">
        <f t="shared" ref="LI64:LI69" si="476">LI$22 * IF(AND(LH$5=1,LE$20=1), LR64, LP64)</f>
        <v>0</v>
      </c>
      <c r="LJ64" s="12">
        <f t="shared" ref="LJ64:LJ69" si="477">LJ$22 * IF(AND(LI$5=1,LE$20=1), LR64, LP64)</f>
        <v>0</v>
      </c>
      <c r="LK64" s="12">
        <f t="shared" ref="LK64:LK69" si="478">LK$22 * IF(AND(LJ$5=1,LE$20=1), LR64, LP64)</f>
        <v>0</v>
      </c>
      <c r="LL64" s="12">
        <f t="shared" ref="LL64:LL69" si="479">LL$22 * IF(AND(LK$5=1,LE$20=1), LR64, LP64)</f>
        <v>0</v>
      </c>
      <c r="LM64" s="12">
        <f t="shared" ref="LM64:LM69" si="480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81">LU$22*MF64</f>
        <v>0</v>
      </c>
      <c r="LV64" s="12">
        <f t="shared" ref="LV64:LV69" si="482">LV$22 * IF(AND(LU$5=1,LU$20=1), MH64, MF64)</f>
        <v>0</v>
      </c>
      <c r="LW64" s="12">
        <f t="shared" ref="LW64:LW69" si="483">LW$22 * IF(AND(LV$5=1,LU$20=1), MH64, MF64)</f>
        <v>0</v>
      </c>
      <c r="LX64" s="12">
        <f t="shared" ref="LX64:LX69" si="484">LX$22 * IF(AND(LW$5=1,LU$20=1), MH64, MF64)</f>
        <v>0</v>
      </c>
      <c r="LY64" s="12">
        <f t="shared" ref="LY64:LY69" si="485">LY$22 * IF(AND(LX$5=1,LU$20=1), MH64, MF64)</f>
        <v>0</v>
      </c>
      <c r="LZ64" s="12">
        <f t="shared" ref="LZ64:LZ69" si="486">LZ$22 * IF(AND(LY$5=1,LU$20=1), MH64, MF64)</f>
        <v>0</v>
      </c>
      <c r="MA64" s="12">
        <f t="shared" ref="MA64:MA69" si="487">MA$22 * IF(AND(LZ$5=1,LU$20=1), MH64, MF64)</f>
        <v>0</v>
      </c>
      <c r="MB64" s="12">
        <f t="shared" ref="MB64:MB69" si="488">MB$22 * IF(AND(MA$5=1,LU$20=1), MH64, MF64)</f>
        <v>0</v>
      </c>
      <c r="MC64" s="12">
        <f t="shared" ref="MC64:MC69" si="489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90">MK$22*MV64</f>
        <v>0</v>
      </c>
      <c r="ML64" s="12">
        <f t="shared" ref="ML64:ML69" si="491">ML$22 * IF(AND(MK$5=1,MK$20=1), MX64, MV64)</f>
        <v>0</v>
      </c>
      <c r="MM64" s="12">
        <f t="shared" ref="MM64:MM69" si="492">MM$22 * IF(AND(ML$5=1,MK$20=1), MX64, MV64)</f>
        <v>0</v>
      </c>
      <c r="MN64" s="12">
        <f t="shared" ref="MN64:MN69" si="493">MN$22 * IF(AND(MM$5=1,MK$20=1), MX64, MV64)</f>
        <v>0</v>
      </c>
      <c r="MO64" s="12">
        <f t="shared" ref="MO64:MO69" si="494">MO$22 * IF(AND(MN$5=1,MK$20=1), MX64, MV64)</f>
        <v>0</v>
      </c>
      <c r="MP64" s="12">
        <f t="shared" ref="MP64:MP69" si="495">MP$22 * IF(AND(MO$5=1,MK$20=1), MX64, MV64)</f>
        <v>0</v>
      </c>
      <c r="MQ64" s="12">
        <f t="shared" ref="MQ64:MQ69" si="496">MQ$22 * IF(AND(MP$5=1,MK$20=1), MX64, MV64)</f>
        <v>0</v>
      </c>
      <c r="MR64" s="12">
        <f t="shared" ref="MR64:MR69" si="497">MR$22 * IF(AND(MQ$5=1,MK$20=1), MX64, MV64)</f>
        <v>0</v>
      </c>
      <c r="MS64" s="12">
        <f t="shared" ref="MS64:MS69" si="498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9">NA$22*NL64</f>
        <v>0</v>
      </c>
      <c r="NB64" s="12">
        <f t="shared" ref="NB64:NB69" si="500">NB$22 * IF(AND(NA$5=1,NA$20=1), NN64, NL64)</f>
        <v>0</v>
      </c>
      <c r="NC64" s="12">
        <f t="shared" ref="NC64:NC69" si="501">NC$22 * IF(AND(NB$5=1,NA$20=1), NN64, NL64)</f>
        <v>0</v>
      </c>
      <c r="ND64" s="12">
        <f t="shared" ref="ND64:ND69" si="502">ND$22 * IF(AND(NC$5=1,NA$20=1), NN64, NL64)</f>
        <v>0</v>
      </c>
      <c r="NE64" s="12">
        <f t="shared" ref="NE64:NE69" si="503">NE$22 * IF(AND(ND$5=1,NA$20=1), NN64, NL64)</f>
        <v>0</v>
      </c>
      <c r="NF64" s="12">
        <f t="shared" ref="NF64:NF69" si="504">NF$22 * IF(AND(NE$5=1,NA$20=1), NN64, NL64)</f>
        <v>0</v>
      </c>
      <c r="NG64" s="12">
        <f t="shared" ref="NG64:NG69" si="505">NG$22 * IF(AND(NF$5=1,NA$20=1), NN64, NL64)</f>
        <v>0</v>
      </c>
      <c r="NH64" s="12">
        <f t="shared" ref="NH64:NH69" si="506">NH$22 * IF(AND(NG$5=1,NA$20=1), NN64, NL64)</f>
        <v>0</v>
      </c>
      <c r="NI64" s="12">
        <f t="shared" ref="NI64:NI69" si="507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8">NQ$22*OB64</f>
        <v>0</v>
      </c>
      <c r="NR64" s="12">
        <f t="shared" ref="NR64:NR69" si="509">NR$22 * IF(AND(NQ$5=1,NQ$20=1), OD64, OB64)</f>
        <v>0</v>
      </c>
      <c r="NS64" s="12">
        <f t="shared" ref="NS64:NS69" si="510">NS$22 * IF(AND(NR$5=1,NQ$20=1), OD64, OB64)</f>
        <v>0</v>
      </c>
      <c r="NT64" s="12">
        <f t="shared" ref="NT64:NT69" si="511">NT$22 * IF(AND(NS$5=1,NQ$20=1), OD64, OB64)</f>
        <v>0</v>
      </c>
      <c r="NU64" s="12">
        <f t="shared" ref="NU64:NU69" si="512">NU$22 * IF(AND(NT$5=1,NQ$20=1), OD64, OB64)</f>
        <v>0</v>
      </c>
      <c r="NV64" s="12">
        <f t="shared" ref="NV64:NV69" si="513">NV$22 * IF(AND(NU$5=1,NQ$20=1), OD64, OB64)</f>
        <v>0</v>
      </c>
      <c r="NW64" s="12">
        <f t="shared" ref="NW64:NW69" si="514">NW$22 * IF(AND(NV$5=1,NQ$20=1), OD64, OB64)</f>
        <v>0</v>
      </c>
      <c r="NX64" s="12">
        <f t="shared" ref="NX64:NX69" si="515">NX$22 * IF(AND(NW$5=1,NQ$20=1), OD64, OB64)</f>
        <v>0</v>
      </c>
      <c r="NY64" s="12">
        <f t="shared" ref="NY64:NY69" si="516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7">OG$22*OR64</f>
        <v>0</v>
      </c>
      <c r="OH64" s="12">
        <f t="shared" ref="OH64:OH69" si="518">OH$22 * IF(AND(OG$5=1,OG$20=1), OT64, OR64)</f>
        <v>0</v>
      </c>
      <c r="OI64" s="12">
        <f t="shared" ref="OI64:OI69" si="519">OI$22 * IF(AND(OH$5=1,OG$20=1), OT64, OR64)</f>
        <v>0</v>
      </c>
      <c r="OJ64" s="12">
        <f t="shared" ref="OJ64:OJ69" si="520">OJ$22 * IF(AND(OI$5=1,OG$20=1), OT64, OR64)</f>
        <v>0</v>
      </c>
      <c r="OK64" s="12">
        <f t="shared" ref="OK64:OK69" si="521">OK$22 * IF(AND(OJ$5=1,OG$20=1), OT64, OR64)</f>
        <v>0</v>
      </c>
      <c r="OL64" s="12">
        <f t="shared" ref="OL64:OL69" si="522">OL$22 * IF(AND(OK$5=1,OG$20=1), OT64, OR64)</f>
        <v>0</v>
      </c>
      <c r="OM64" s="12">
        <f t="shared" ref="OM64:OM69" si="523">OM$22 * IF(AND(OL$5=1,OG$20=1), OT64, OR64)</f>
        <v>0</v>
      </c>
      <c r="ON64" s="12">
        <f t="shared" ref="ON64:ON69" si="524">ON$22 * IF(AND(OM$5=1,OG$20=1), OT64, OR64)</f>
        <v>0</v>
      </c>
      <c r="OO64" s="12">
        <f t="shared" ref="OO64:OO69" si="525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9"/>
        <v>0</v>
      </c>
      <c r="C65" s="12">
        <f t="shared" si="319"/>
        <v>0</v>
      </c>
      <c r="D65" s="12">
        <f t="shared" si="319"/>
        <v>0</v>
      </c>
      <c r="E65" s="12">
        <f t="shared" si="319"/>
        <v>0</v>
      </c>
      <c r="F65" s="12">
        <f t="shared" si="319"/>
        <v>0</v>
      </c>
      <c r="G65" s="12">
        <f t="shared" si="319"/>
        <v>0</v>
      </c>
      <c r="H65" s="12">
        <f t="shared" si="319"/>
        <v>0</v>
      </c>
      <c r="I65" s="12">
        <f t="shared" si="320"/>
        <v>0</v>
      </c>
      <c r="J65" s="12">
        <f t="shared" si="320"/>
        <v>0</v>
      </c>
      <c r="M65">
        <f t="shared" si="321"/>
        <v>0</v>
      </c>
      <c r="N65">
        <f t="shared" si="322"/>
        <v>0</v>
      </c>
      <c r="O65">
        <f t="shared" si="323"/>
        <v>0</v>
      </c>
      <c r="P65">
        <f t="shared" si="324"/>
        <v>0</v>
      </c>
      <c r="Q65">
        <f t="shared" si="325"/>
        <v>0</v>
      </c>
      <c r="R65">
        <f t="shared" si="326"/>
        <v>0</v>
      </c>
      <c r="S65">
        <f t="shared" si="327"/>
        <v>0</v>
      </c>
      <c r="U65" t="s">
        <v>1304</v>
      </c>
      <c r="V65">
        <f>_xlfn.XLOOKUP(U65,'KPI Impacts'!$B$2:$H$2,'KPI Impacts'!$B65:$H65)</f>
        <v>-0.8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8"/>
        <v>0</v>
      </c>
      <c r="BJ65" s="12">
        <f t="shared" si="329"/>
        <v>0</v>
      </c>
      <c r="BK65" s="12">
        <f t="shared" si="330"/>
        <v>0</v>
      </c>
      <c r="BL65" s="12">
        <f t="shared" si="331"/>
        <v>0</v>
      </c>
      <c r="BM65" s="12">
        <f t="shared" si="332"/>
        <v>0</v>
      </c>
      <c r="BN65" s="12">
        <f t="shared" si="333"/>
        <v>0</v>
      </c>
      <c r="BO65" s="12">
        <f t="shared" si="334"/>
        <v>0</v>
      </c>
      <c r="BP65" s="12">
        <f t="shared" si="335"/>
        <v>0</v>
      </c>
      <c r="BQ65" s="12">
        <f t="shared" si="336"/>
        <v>0</v>
      </c>
      <c r="BS65" s="30" t="s">
        <v>1309</v>
      </c>
      <c r="BT65">
        <f>_xlfn.XLOOKUP(BS65,'KPI Impacts'!$B$2:$H$2,'KPI Impacts'!$B65:$H65)</f>
        <v>2</v>
      </c>
      <c r="BU65" s="35" t="s">
        <v>1303</v>
      </c>
      <c r="BV65">
        <f>_xlfn.XLOOKUP(BU65,'KPI Impacts'!$B$2:$H$2,'KPI Impacts'!$B65:$H65)</f>
        <v>0</v>
      </c>
      <c r="BY65" s="12">
        <f t="shared" si="337"/>
        <v>0</v>
      </c>
      <c r="BZ65" s="12">
        <f t="shared" si="338"/>
        <v>0</v>
      </c>
      <c r="CA65" s="12">
        <f t="shared" si="339"/>
        <v>0</v>
      </c>
      <c r="CB65" s="12">
        <f t="shared" si="340"/>
        <v>0</v>
      </c>
      <c r="CC65" s="12">
        <f t="shared" si="341"/>
        <v>0</v>
      </c>
      <c r="CD65" s="12">
        <f t="shared" si="342"/>
        <v>0</v>
      </c>
      <c r="CE65" s="12">
        <f t="shared" si="343"/>
        <v>0</v>
      </c>
      <c r="CF65" s="12">
        <f t="shared" si="344"/>
        <v>0</v>
      </c>
      <c r="CG65" s="12">
        <f t="shared" si="345"/>
        <v>0</v>
      </c>
      <c r="CI65" s="16" t="s">
        <v>1303</v>
      </c>
      <c r="CJ65">
        <f>_xlfn.XLOOKUP(CI65,'KPI Impacts'!$B$2:$H$2,'KPI Impacts'!$B65:$H65)</f>
        <v>0</v>
      </c>
      <c r="CK65" s="9" t="s">
        <v>1303</v>
      </c>
      <c r="CL65">
        <f>_xlfn.XLOOKUP(CK65,'KPI Impacts'!$B$2:$H$2,'KPI Impacts'!$B65:$H65)</f>
        <v>0</v>
      </c>
      <c r="CO65" s="12">
        <f t="shared" si="346"/>
        <v>0</v>
      </c>
      <c r="CP65" s="12">
        <f t="shared" si="347"/>
        <v>0</v>
      </c>
      <c r="CQ65" s="12">
        <f t="shared" si="348"/>
        <v>0</v>
      </c>
      <c r="CR65" s="12">
        <f t="shared" si="349"/>
        <v>0</v>
      </c>
      <c r="CS65" s="12">
        <f t="shared" si="350"/>
        <v>0</v>
      </c>
      <c r="CT65" s="12">
        <f t="shared" si="351"/>
        <v>0</v>
      </c>
      <c r="CU65" s="12">
        <f t="shared" si="352"/>
        <v>0</v>
      </c>
      <c r="CV65" s="12">
        <f t="shared" si="353"/>
        <v>0</v>
      </c>
      <c r="CW65" s="12">
        <f t="shared" si="354"/>
        <v>0</v>
      </c>
      <c r="CY65" s="30" t="s">
        <v>1309</v>
      </c>
      <c r="CZ65">
        <f>_xlfn.XLOOKUP(CY65,'KPI Impacts'!$B$2:$H$2,'KPI Impacts'!$B65:$H65)</f>
        <v>2</v>
      </c>
      <c r="DA65" s="35" t="s">
        <v>1303</v>
      </c>
      <c r="DB65">
        <f>_xlfn.XLOOKUP(DA65,'KPI Impacts'!$B$2:$H$2,'KPI Impacts'!$B65:$H65)</f>
        <v>0</v>
      </c>
      <c r="DE65" s="12">
        <f t="shared" si="355"/>
        <v>0</v>
      </c>
      <c r="DF65" s="12">
        <f t="shared" si="356"/>
        <v>0</v>
      </c>
      <c r="DG65" s="12">
        <f t="shared" si="357"/>
        <v>0</v>
      </c>
      <c r="DH65" s="12">
        <f t="shared" si="358"/>
        <v>0</v>
      </c>
      <c r="DI65" s="12">
        <f t="shared" si="359"/>
        <v>0</v>
      </c>
      <c r="DJ65" s="12">
        <f t="shared" si="360"/>
        <v>0</v>
      </c>
      <c r="DK65" s="12">
        <f t="shared" si="361"/>
        <v>0</v>
      </c>
      <c r="DL65" s="12">
        <f t="shared" si="362"/>
        <v>0</v>
      </c>
      <c r="DM65" s="12">
        <f t="shared" si="363"/>
        <v>0</v>
      </c>
      <c r="DO65" s="16" t="s">
        <v>1303</v>
      </c>
      <c r="DP65">
        <f>_xlfn.XLOOKUP(DO65,'KPI Impacts'!$B$2:$H$2,'KPI Impacts'!$B65:$H65)</f>
        <v>0</v>
      </c>
      <c r="DQ65" s="35" t="s">
        <v>1303</v>
      </c>
      <c r="DR65">
        <f>_xlfn.XLOOKUP(DQ65,'KPI Impacts'!$B$2:$H$2,'KPI Impacts'!$B65:$H65)</f>
        <v>0</v>
      </c>
      <c r="DU65" s="12">
        <f t="shared" si="364"/>
        <v>0</v>
      </c>
      <c r="DV65" s="12">
        <f t="shared" si="365"/>
        <v>0</v>
      </c>
      <c r="DW65" s="12">
        <f t="shared" si="366"/>
        <v>0</v>
      </c>
      <c r="DX65" s="12">
        <f t="shared" si="367"/>
        <v>0</v>
      </c>
      <c r="DY65" s="12">
        <f t="shared" si="368"/>
        <v>0</v>
      </c>
      <c r="DZ65" s="12">
        <f t="shared" si="369"/>
        <v>0</v>
      </c>
      <c r="EA65" s="12">
        <f t="shared" si="370"/>
        <v>0</v>
      </c>
      <c r="EB65" s="12">
        <f t="shared" si="371"/>
        <v>0</v>
      </c>
      <c r="EC65" s="12">
        <f t="shared" si="372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73"/>
        <v>0</v>
      </c>
      <c r="EL65" s="12">
        <f t="shared" si="374"/>
        <v>0</v>
      </c>
      <c r="EM65" s="12">
        <f t="shared" si="375"/>
        <v>0</v>
      </c>
      <c r="EN65" s="12">
        <f t="shared" si="376"/>
        <v>0</v>
      </c>
      <c r="EO65" s="12">
        <f t="shared" si="377"/>
        <v>0</v>
      </c>
      <c r="EP65" s="12">
        <f t="shared" si="378"/>
        <v>0</v>
      </c>
      <c r="EQ65" s="12">
        <f t="shared" si="379"/>
        <v>0</v>
      </c>
      <c r="ER65" s="12">
        <f t="shared" si="380"/>
        <v>0</v>
      </c>
      <c r="ES65" s="12">
        <f t="shared" si="381"/>
        <v>0</v>
      </c>
      <c r="EU65" s="30" t="s">
        <v>1308</v>
      </c>
      <c r="EV65">
        <f>_xlfn.XLOOKUP(EU65,'KPI Impacts'!$B$2:$H$2,'KPI Impacts'!$B65:$H65)</f>
        <v>3</v>
      </c>
      <c r="EW65" s="35" t="s">
        <v>1303</v>
      </c>
      <c r="EX65">
        <f>_xlfn.XLOOKUP(EW65,'KPI Impacts'!$B$2:$H$2,'KPI Impacts'!$B65:$H65)</f>
        <v>0</v>
      </c>
      <c r="FA65" s="12">
        <f t="shared" si="382"/>
        <v>0</v>
      </c>
      <c r="FB65" s="12">
        <f t="shared" si="383"/>
        <v>0</v>
      </c>
      <c r="FC65" s="12">
        <f t="shared" si="384"/>
        <v>0</v>
      </c>
      <c r="FD65" s="12">
        <f t="shared" si="385"/>
        <v>0</v>
      </c>
      <c r="FE65" s="12">
        <f t="shared" si="386"/>
        <v>0</v>
      </c>
      <c r="FF65" s="12">
        <f t="shared" si="387"/>
        <v>0</v>
      </c>
      <c r="FG65" s="12">
        <f t="shared" si="388"/>
        <v>0</v>
      </c>
      <c r="FH65" s="12">
        <f t="shared" si="389"/>
        <v>0</v>
      </c>
      <c r="FI65" s="12">
        <f t="shared" si="390"/>
        <v>0</v>
      </c>
      <c r="FK65" s="29" t="s">
        <v>1306</v>
      </c>
      <c r="FL65">
        <f>_xlfn.XLOOKUP(FK65,'KPI Impacts'!$B$2:$H$2,'KPI Impacts'!$B65:$H65)</f>
        <v>-1.6</v>
      </c>
      <c r="FM65" s="35" t="s">
        <v>1303</v>
      </c>
      <c r="FN65">
        <f>_xlfn.XLOOKUP(FM65,'KPI Impacts'!$B$2:$H$2,'KPI Impacts'!$B65:$H65)</f>
        <v>0</v>
      </c>
      <c r="FQ65" s="12">
        <f t="shared" si="391"/>
        <v>0</v>
      </c>
      <c r="FR65" s="12">
        <f t="shared" si="392"/>
        <v>0</v>
      </c>
      <c r="FS65" s="12">
        <f t="shared" si="393"/>
        <v>0</v>
      </c>
      <c r="FT65" s="12">
        <f t="shared" si="394"/>
        <v>0</v>
      </c>
      <c r="FU65" s="12">
        <f t="shared" si="395"/>
        <v>0</v>
      </c>
      <c r="FV65" s="12">
        <f t="shared" si="396"/>
        <v>0</v>
      </c>
      <c r="FW65" s="12">
        <f t="shared" si="397"/>
        <v>0</v>
      </c>
      <c r="FX65" s="12">
        <f t="shared" si="398"/>
        <v>0</v>
      </c>
      <c r="FY65" s="12">
        <f t="shared" si="399"/>
        <v>0</v>
      </c>
      <c r="GA65" s="16" t="s">
        <v>1303</v>
      </c>
      <c r="GB65">
        <f>_xlfn.XLOOKUP(GA65,'KPI Impacts'!$B$2:$H$2,'KPI Impacts'!$B65:$H65)</f>
        <v>0</v>
      </c>
      <c r="GC65" s="35" t="s">
        <v>1303</v>
      </c>
      <c r="GD65">
        <f>_xlfn.XLOOKUP(GC65,'KPI Impacts'!$B$2:$H$2,'KPI Impacts'!$B65:$H65)</f>
        <v>0</v>
      </c>
      <c r="GG65" s="12">
        <f t="shared" si="400"/>
        <v>0</v>
      </c>
      <c r="GH65" s="12">
        <f t="shared" si="401"/>
        <v>0</v>
      </c>
      <c r="GI65" s="12">
        <f t="shared" si="402"/>
        <v>0</v>
      </c>
      <c r="GJ65" s="12">
        <f t="shared" si="403"/>
        <v>0</v>
      </c>
      <c r="GK65" s="12">
        <f t="shared" si="404"/>
        <v>0</v>
      </c>
      <c r="GL65" s="12">
        <f t="shared" si="405"/>
        <v>0</v>
      </c>
      <c r="GM65" s="12">
        <f t="shared" si="406"/>
        <v>0</v>
      </c>
      <c r="GN65" s="12">
        <f t="shared" si="407"/>
        <v>0</v>
      </c>
      <c r="GO65" s="12">
        <f t="shared" si="408"/>
        <v>0</v>
      </c>
      <c r="GQ65" s="16" t="s">
        <v>1303</v>
      </c>
      <c r="GR65">
        <f>_xlfn.XLOOKUP(GQ65,'KPI Impacts'!$B$2:$H$2,'KPI Impacts'!$B65:$H65)</f>
        <v>0</v>
      </c>
      <c r="GS65" s="35" t="s">
        <v>1303</v>
      </c>
      <c r="GT65">
        <f>_xlfn.XLOOKUP(GS65,'KPI Impacts'!$B$2:$H$2,'KPI Impacts'!$B65:$H65)</f>
        <v>0</v>
      </c>
      <c r="GW65" s="12">
        <f t="shared" si="409"/>
        <v>0</v>
      </c>
      <c r="GX65" s="12">
        <f t="shared" si="410"/>
        <v>0</v>
      </c>
      <c r="GY65" s="12">
        <f t="shared" si="411"/>
        <v>0</v>
      </c>
      <c r="GZ65" s="12">
        <f t="shared" si="412"/>
        <v>0</v>
      </c>
      <c r="HA65" s="12">
        <f t="shared" si="413"/>
        <v>0</v>
      </c>
      <c r="HB65" s="12">
        <f t="shared" si="414"/>
        <v>0</v>
      </c>
      <c r="HC65" s="12">
        <f t="shared" si="415"/>
        <v>0</v>
      </c>
      <c r="HD65" s="12">
        <f t="shared" si="416"/>
        <v>0</v>
      </c>
      <c r="HE65" s="12">
        <f t="shared" si="417"/>
        <v>0</v>
      </c>
      <c r="HG65" s="16" t="s">
        <v>1303</v>
      </c>
      <c r="HH65">
        <f>_xlfn.XLOOKUP(HG65,'KPI Impacts'!$B$2:$H$2,'KPI Impacts'!$B65:$H65)</f>
        <v>0</v>
      </c>
      <c r="HI65" s="35" t="s">
        <v>1303</v>
      </c>
      <c r="HJ65">
        <f>_xlfn.XLOOKUP(HI65,'KPI Impacts'!$B$2:$H$2,'KPI Impacts'!$B65:$H65)</f>
        <v>0</v>
      </c>
      <c r="HM65" s="12">
        <f t="shared" si="418"/>
        <v>0</v>
      </c>
      <c r="HN65" s="12">
        <f t="shared" si="419"/>
        <v>0</v>
      </c>
      <c r="HO65" s="12">
        <f t="shared" si="420"/>
        <v>0</v>
      </c>
      <c r="HP65" s="12">
        <f t="shared" si="421"/>
        <v>0</v>
      </c>
      <c r="HQ65" s="12">
        <f t="shared" si="422"/>
        <v>0</v>
      </c>
      <c r="HR65" s="12">
        <f t="shared" si="423"/>
        <v>0</v>
      </c>
      <c r="HS65" s="12">
        <f t="shared" si="424"/>
        <v>0</v>
      </c>
      <c r="HT65" s="12">
        <f t="shared" si="425"/>
        <v>0</v>
      </c>
      <c r="HU65" s="12">
        <f t="shared" si="426"/>
        <v>0</v>
      </c>
      <c r="HW65" s="16" t="s">
        <v>1303</v>
      </c>
      <c r="HX65">
        <f>_xlfn.XLOOKUP(HW65,'KPI Impacts'!$B$2:$H$2,'KPI Impacts'!$B65:$H65)</f>
        <v>0</v>
      </c>
      <c r="HY65" s="35" t="s">
        <v>1303</v>
      </c>
      <c r="HZ65">
        <f>_xlfn.XLOOKUP(HY65,'KPI Impacts'!$B$2:$H$2,'KPI Impacts'!$B65:$H65)</f>
        <v>0</v>
      </c>
      <c r="IC65" s="12">
        <f t="shared" si="427"/>
        <v>0</v>
      </c>
      <c r="ID65" s="12">
        <f t="shared" si="428"/>
        <v>0</v>
      </c>
      <c r="IE65" s="12">
        <f t="shared" si="429"/>
        <v>0</v>
      </c>
      <c r="IF65" s="12">
        <f t="shared" si="430"/>
        <v>0</v>
      </c>
      <c r="IG65" s="12">
        <f t="shared" si="431"/>
        <v>0</v>
      </c>
      <c r="IH65" s="12">
        <f t="shared" si="432"/>
        <v>0</v>
      </c>
      <c r="II65" s="12">
        <f t="shared" si="433"/>
        <v>0</v>
      </c>
      <c r="IJ65" s="12">
        <f t="shared" si="434"/>
        <v>0</v>
      </c>
      <c r="IK65" s="12">
        <f t="shared" si="435"/>
        <v>0</v>
      </c>
      <c r="IM65" s="16" t="s">
        <v>1303</v>
      </c>
      <c r="IN65">
        <f>_xlfn.XLOOKUP(IM65,'KPI Impacts'!$B$2:$H$2,'KPI Impacts'!$B65:$H65)</f>
        <v>0</v>
      </c>
      <c r="IO65" s="35" t="s">
        <v>1303</v>
      </c>
      <c r="IP65">
        <f>_xlfn.XLOOKUP(IO65,'KPI Impacts'!$B$2:$H$2,'KPI Impacts'!$B65:$H65)</f>
        <v>0</v>
      </c>
      <c r="IS65" s="12">
        <f t="shared" si="436"/>
        <v>0</v>
      </c>
      <c r="IT65" s="12">
        <f t="shared" si="437"/>
        <v>0</v>
      </c>
      <c r="IU65" s="12">
        <f t="shared" si="438"/>
        <v>0</v>
      </c>
      <c r="IV65" s="12">
        <f t="shared" si="439"/>
        <v>0</v>
      </c>
      <c r="IW65" s="12">
        <f t="shared" si="440"/>
        <v>0</v>
      </c>
      <c r="IX65" s="12">
        <f t="shared" si="441"/>
        <v>0</v>
      </c>
      <c r="IY65" s="12">
        <f t="shared" si="442"/>
        <v>0</v>
      </c>
      <c r="IZ65" s="12">
        <f t="shared" si="443"/>
        <v>0</v>
      </c>
      <c r="JA65" s="12">
        <f t="shared" si="444"/>
        <v>0</v>
      </c>
      <c r="JC65" s="16" t="s">
        <v>1303</v>
      </c>
      <c r="JD65">
        <f>_xlfn.XLOOKUP(JC65,'KPI Impacts'!$B$2:$H$2,'KPI Impacts'!$B65:$H65)</f>
        <v>0</v>
      </c>
      <c r="JE65" s="35" t="s">
        <v>1303</v>
      </c>
      <c r="JF65">
        <f>_xlfn.XLOOKUP(JE65,'KPI Impacts'!$B$2:$H$2,'KPI Impacts'!$B65:$H65)</f>
        <v>0</v>
      </c>
      <c r="JI65" s="12">
        <f t="shared" si="445"/>
        <v>0</v>
      </c>
      <c r="JJ65" s="12">
        <f t="shared" si="446"/>
        <v>0</v>
      </c>
      <c r="JK65" s="12">
        <f t="shared" si="447"/>
        <v>0</v>
      </c>
      <c r="JL65" s="12">
        <f t="shared" si="448"/>
        <v>0</v>
      </c>
      <c r="JM65" s="12">
        <f t="shared" si="449"/>
        <v>0</v>
      </c>
      <c r="JN65" s="12">
        <f t="shared" si="450"/>
        <v>0</v>
      </c>
      <c r="JO65" s="12">
        <f t="shared" si="451"/>
        <v>0</v>
      </c>
      <c r="JP65" s="12">
        <f t="shared" si="452"/>
        <v>0</v>
      </c>
      <c r="JQ65" s="12">
        <f t="shared" si="453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54"/>
        <v>0</v>
      </c>
      <c r="JZ65" s="12">
        <f t="shared" si="455"/>
        <v>0</v>
      </c>
      <c r="KA65" s="12">
        <f t="shared" si="456"/>
        <v>0</v>
      </c>
      <c r="KB65" s="12">
        <f t="shared" si="457"/>
        <v>0</v>
      </c>
      <c r="KC65" s="12">
        <f t="shared" si="458"/>
        <v>0</v>
      </c>
      <c r="KD65" s="12">
        <f t="shared" si="459"/>
        <v>0</v>
      </c>
      <c r="KE65" s="12">
        <f t="shared" si="460"/>
        <v>0</v>
      </c>
      <c r="KF65" s="12">
        <f t="shared" si="461"/>
        <v>0</v>
      </c>
      <c r="KG65" s="12">
        <f t="shared" si="462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63"/>
        <v>0</v>
      </c>
      <c r="KP65" s="12">
        <f t="shared" si="464"/>
        <v>0</v>
      </c>
      <c r="KQ65" s="12">
        <f t="shared" si="465"/>
        <v>0</v>
      </c>
      <c r="KR65" s="12">
        <f t="shared" si="466"/>
        <v>0</v>
      </c>
      <c r="KS65" s="12">
        <f t="shared" si="467"/>
        <v>0</v>
      </c>
      <c r="KT65" s="12">
        <f t="shared" si="468"/>
        <v>0</v>
      </c>
      <c r="KU65" s="12">
        <f t="shared" si="469"/>
        <v>0</v>
      </c>
      <c r="KV65" s="12">
        <f t="shared" si="470"/>
        <v>0</v>
      </c>
      <c r="KW65" s="12">
        <f t="shared" si="471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72"/>
        <v>0</v>
      </c>
      <c r="LF65" s="12">
        <f t="shared" si="473"/>
        <v>0</v>
      </c>
      <c r="LG65" s="12">
        <f t="shared" si="474"/>
        <v>0</v>
      </c>
      <c r="LH65" s="12">
        <f t="shared" si="475"/>
        <v>0</v>
      </c>
      <c r="LI65" s="12">
        <f t="shared" si="476"/>
        <v>0</v>
      </c>
      <c r="LJ65" s="12">
        <f t="shared" si="477"/>
        <v>0</v>
      </c>
      <c r="LK65" s="12">
        <f t="shared" si="478"/>
        <v>0</v>
      </c>
      <c r="LL65" s="12">
        <f t="shared" si="479"/>
        <v>0</v>
      </c>
      <c r="LM65" s="12">
        <f t="shared" si="480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81"/>
        <v>0</v>
      </c>
      <c r="LV65" s="12">
        <f t="shared" si="482"/>
        <v>0</v>
      </c>
      <c r="LW65" s="12">
        <f t="shared" si="483"/>
        <v>0</v>
      </c>
      <c r="LX65" s="12">
        <f t="shared" si="484"/>
        <v>0</v>
      </c>
      <c r="LY65" s="12">
        <f t="shared" si="485"/>
        <v>0</v>
      </c>
      <c r="LZ65" s="12">
        <f t="shared" si="486"/>
        <v>0</v>
      </c>
      <c r="MA65" s="12">
        <f t="shared" si="487"/>
        <v>0</v>
      </c>
      <c r="MB65" s="12">
        <f t="shared" si="488"/>
        <v>0</v>
      </c>
      <c r="MC65" s="12">
        <f t="shared" si="489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90"/>
        <v>0</v>
      </c>
      <c r="ML65" s="12">
        <f t="shared" si="491"/>
        <v>0</v>
      </c>
      <c r="MM65" s="12">
        <f t="shared" si="492"/>
        <v>0</v>
      </c>
      <c r="MN65" s="12">
        <f t="shared" si="493"/>
        <v>0</v>
      </c>
      <c r="MO65" s="12">
        <f t="shared" si="494"/>
        <v>0</v>
      </c>
      <c r="MP65" s="12">
        <f t="shared" si="495"/>
        <v>0</v>
      </c>
      <c r="MQ65" s="12">
        <f t="shared" si="496"/>
        <v>0</v>
      </c>
      <c r="MR65" s="12">
        <f t="shared" si="497"/>
        <v>0</v>
      </c>
      <c r="MS65" s="12">
        <f t="shared" si="498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9"/>
        <v>0</v>
      </c>
      <c r="NB65" s="12">
        <f t="shared" si="500"/>
        <v>0</v>
      </c>
      <c r="NC65" s="12">
        <f t="shared" si="501"/>
        <v>0</v>
      </c>
      <c r="ND65" s="12">
        <f t="shared" si="502"/>
        <v>0</v>
      </c>
      <c r="NE65" s="12">
        <f t="shared" si="503"/>
        <v>0</v>
      </c>
      <c r="NF65" s="12">
        <f t="shared" si="504"/>
        <v>0</v>
      </c>
      <c r="NG65" s="12">
        <f t="shared" si="505"/>
        <v>0</v>
      </c>
      <c r="NH65" s="12">
        <f t="shared" si="506"/>
        <v>0</v>
      </c>
      <c r="NI65" s="12">
        <f t="shared" si="507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8"/>
        <v>0</v>
      </c>
      <c r="NR65" s="12">
        <f t="shared" si="509"/>
        <v>0</v>
      </c>
      <c r="NS65" s="12">
        <f t="shared" si="510"/>
        <v>0</v>
      </c>
      <c r="NT65" s="12">
        <f t="shared" si="511"/>
        <v>0</v>
      </c>
      <c r="NU65" s="12">
        <f t="shared" si="512"/>
        <v>0</v>
      </c>
      <c r="NV65" s="12">
        <f t="shared" si="513"/>
        <v>0</v>
      </c>
      <c r="NW65" s="12">
        <f t="shared" si="514"/>
        <v>0</v>
      </c>
      <c r="NX65" s="12">
        <f t="shared" si="515"/>
        <v>0</v>
      </c>
      <c r="NY65" s="12">
        <f t="shared" si="516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7"/>
        <v>0</v>
      </c>
      <c r="OH65" s="12">
        <f t="shared" si="518"/>
        <v>0</v>
      </c>
      <c r="OI65" s="12">
        <f t="shared" si="519"/>
        <v>0</v>
      </c>
      <c r="OJ65" s="12">
        <f t="shared" si="520"/>
        <v>0</v>
      </c>
      <c r="OK65" s="12">
        <f t="shared" si="521"/>
        <v>0</v>
      </c>
      <c r="OL65" s="12">
        <f t="shared" si="522"/>
        <v>0</v>
      </c>
      <c r="OM65" s="12">
        <f t="shared" si="523"/>
        <v>0</v>
      </c>
      <c r="ON65" s="12">
        <f t="shared" si="524"/>
        <v>0</v>
      </c>
      <c r="OO65" s="12">
        <f t="shared" si="525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9"/>
        <v>0</v>
      </c>
      <c r="C66" s="12">
        <f t="shared" si="319"/>
        <v>0</v>
      </c>
      <c r="D66" s="12">
        <f t="shared" si="319"/>
        <v>0</v>
      </c>
      <c r="E66" s="12">
        <f t="shared" si="319"/>
        <v>0</v>
      </c>
      <c r="F66" s="12">
        <f t="shared" si="319"/>
        <v>0</v>
      </c>
      <c r="G66" s="12">
        <f t="shared" si="319"/>
        <v>0</v>
      </c>
      <c r="H66" s="12">
        <f t="shared" si="319"/>
        <v>0</v>
      </c>
      <c r="I66" s="12">
        <f t="shared" si="320"/>
        <v>0</v>
      </c>
      <c r="J66" s="12">
        <f t="shared" si="320"/>
        <v>0</v>
      </c>
      <c r="M66">
        <f t="shared" si="321"/>
        <v>0</v>
      </c>
      <c r="N66">
        <f t="shared" si="322"/>
        <v>0</v>
      </c>
      <c r="O66">
        <f t="shared" si="323"/>
        <v>0</v>
      </c>
      <c r="P66">
        <f t="shared" si="324"/>
        <v>0</v>
      </c>
      <c r="Q66">
        <f t="shared" si="325"/>
        <v>0</v>
      </c>
      <c r="R66">
        <f t="shared" si="326"/>
        <v>0</v>
      </c>
      <c r="S66">
        <f t="shared" si="327"/>
        <v>0</v>
      </c>
      <c r="U66" t="s">
        <v>1304</v>
      </c>
      <c r="V66">
        <f>_xlfn.XLOOKUP(U66,'KPI Impacts'!$B$2:$H$2,'KPI Impacts'!$B66:$H66)</f>
        <v>-1.6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8"/>
        <v>0</v>
      </c>
      <c r="BJ66" s="12">
        <f t="shared" si="329"/>
        <v>0</v>
      </c>
      <c r="BK66" s="12">
        <f t="shared" si="330"/>
        <v>0</v>
      </c>
      <c r="BL66" s="12">
        <f t="shared" si="331"/>
        <v>0</v>
      </c>
      <c r="BM66" s="12">
        <f t="shared" si="332"/>
        <v>0</v>
      </c>
      <c r="BN66" s="12">
        <f t="shared" si="333"/>
        <v>0</v>
      </c>
      <c r="BO66" s="12">
        <f t="shared" si="334"/>
        <v>0</v>
      </c>
      <c r="BP66" s="12">
        <f t="shared" si="335"/>
        <v>0</v>
      </c>
      <c r="BQ66" s="12">
        <f t="shared" si="336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337"/>
        <v>0</v>
      </c>
      <c r="BZ66" s="12">
        <f t="shared" si="338"/>
        <v>0</v>
      </c>
      <c r="CA66" s="12">
        <f t="shared" si="339"/>
        <v>0</v>
      </c>
      <c r="CB66" s="12">
        <f t="shared" si="340"/>
        <v>0</v>
      </c>
      <c r="CC66" s="12">
        <f t="shared" si="341"/>
        <v>0</v>
      </c>
      <c r="CD66" s="12">
        <f t="shared" si="342"/>
        <v>0</v>
      </c>
      <c r="CE66" s="12">
        <f t="shared" si="343"/>
        <v>0</v>
      </c>
      <c r="CF66" s="12">
        <f t="shared" si="344"/>
        <v>0</v>
      </c>
      <c r="CG66" s="12">
        <f t="shared" si="345"/>
        <v>0</v>
      </c>
      <c r="CI66" s="30" t="s">
        <v>1309</v>
      </c>
      <c r="CJ66">
        <f>_xlfn.XLOOKUP(CI66,'KPI Impacts'!$B$2:$H$2,'KPI Impacts'!$B66:$H66)</f>
        <v>4</v>
      </c>
      <c r="CK66" s="9" t="s">
        <v>1303</v>
      </c>
      <c r="CL66">
        <f>_xlfn.XLOOKUP(CK66,'KPI Impacts'!$B$2:$H$2,'KPI Impacts'!$B66:$H66)</f>
        <v>0</v>
      </c>
      <c r="CO66" s="12">
        <f t="shared" si="346"/>
        <v>0</v>
      </c>
      <c r="CP66" s="12">
        <f t="shared" si="347"/>
        <v>0</v>
      </c>
      <c r="CQ66" s="12">
        <f t="shared" si="348"/>
        <v>0</v>
      </c>
      <c r="CR66" s="12">
        <f t="shared" si="349"/>
        <v>0</v>
      </c>
      <c r="CS66" s="12">
        <f t="shared" si="350"/>
        <v>0</v>
      </c>
      <c r="CT66" s="12">
        <f t="shared" si="351"/>
        <v>0</v>
      </c>
      <c r="CU66" s="12">
        <f t="shared" si="352"/>
        <v>0</v>
      </c>
      <c r="CV66" s="12">
        <f t="shared" si="353"/>
        <v>0</v>
      </c>
      <c r="CW66" s="12">
        <f t="shared" si="354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355"/>
        <v>0</v>
      </c>
      <c r="DF66" s="12">
        <f t="shared" si="356"/>
        <v>0</v>
      </c>
      <c r="DG66" s="12">
        <f t="shared" si="357"/>
        <v>0</v>
      </c>
      <c r="DH66" s="12">
        <f t="shared" si="358"/>
        <v>0</v>
      </c>
      <c r="DI66" s="12">
        <f t="shared" si="359"/>
        <v>0</v>
      </c>
      <c r="DJ66" s="12">
        <f t="shared" si="360"/>
        <v>0</v>
      </c>
      <c r="DK66" s="12">
        <f t="shared" si="361"/>
        <v>0</v>
      </c>
      <c r="DL66" s="12">
        <f t="shared" si="362"/>
        <v>0</v>
      </c>
      <c r="DM66" s="12">
        <f t="shared" si="363"/>
        <v>0</v>
      </c>
      <c r="DO66" s="30" t="s">
        <v>1307</v>
      </c>
      <c r="DP66">
        <f>_xlfn.XLOOKUP(DO66,'KPI Impacts'!$B$2:$H$2,'KPI Impacts'!$B66:$H66)</f>
        <v>2</v>
      </c>
      <c r="DQ66" s="35" t="s">
        <v>1303</v>
      </c>
      <c r="DR66">
        <f>_xlfn.XLOOKUP(DQ66,'KPI Impacts'!$B$2:$H$2,'KPI Impacts'!$B66:$H66)</f>
        <v>0</v>
      </c>
      <c r="DU66" s="12">
        <f t="shared" si="364"/>
        <v>0</v>
      </c>
      <c r="DV66" s="12">
        <f t="shared" si="365"/>
        <v>0</v>
      </c>
      <c r="DW66" s="12">
        <f t="shared" si="366"/>
        <v>0</v>
      </c>
      <c r="DX66" s="12">
        <f t="shared" si="367"/>
        <v>0</v>
      </c>
      <c r="DY66" s="12">
        <f t="shared" si="368"/>
        <v>0</v>
      </c>
      <c r="DZ66" s="12">
        <f t="shared" si="369"/>
        <v>0</v>
      </c>
      <c r="EA66" s="12">
        <f t="shared" si="370"/>
        <v>0</v>
      </c>
      <c r="EB66" s="12">
        <f t="shared" si="371"/>
        <v>0</v>
      </c>
      <c r="EC66" s="12">
        <f t="shared" si="372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73"/>
        <v>0</v>
      </c>
      <c r="EL66" s="12">
        <f t="shared" si="374"/>
        <v>0</v>
      </c>
      <c r="EM66" s="12">
        <f t="shared" si="375"/>
        <v>0</v>
      </c>
      <c r="EN66" s="12">
        <f t="shared" si="376"/>
        <v>0</v>
      </c>
      <c r="EO66" s="12">
        <f t="shared" si="377"/>
        <v>0</v>
      </c>
      <c r="EP66" s="12">
        <f t="shared" si="378"/>
        <v>0</v>
      </c>
      <c r="EQ66" s="12">
        <f t="shared" si="379"/>
        <v>0</v>
      </c>
      <c r="ER66" s="12">
        <f t="shared" si="380"/>
        <v>0</v>
      </c>
      <c r="ES66" s="12">
        <f t="shared" si="381"/>
        <v>0</v>
      </c>
      <c r="EU66" s="16" t="s">
        <v>1303</v>
      </c>
      <c r="EV66">
        <f>_xlfn.XLOOKUP(EU66,'KPI Impacts'!$B$2:$H$2,'KPI Impacts'!$B66:$H66)</f>
        <v>0</v>
      </c>
      <c r="EW66" s="35" t="s">
        <v>1303</v>
      </c>
      <c r="EX66">
        <f>_xlfn.XLOOKUP(EW66,'KPI Impacts'!$B$2:$H$2,'KPI Impacts'!$B66:$H66)</f>
        <v>0</v>
      </c>
      <c r="FA66" s="12">
        <f t="shared" si="382"/>
        <v>0</v>
      </c>
      <c r="FB66" s="12">
        <f t="shared" si="383"/>
        <v>0</v>
      </c>
      <c r="FC66" s="12">
        <f t="shared" si="384"/>
        <v>0</v>
      </c>
      <c r="FD66" s="12">
        <f t="shared" si="385"/>
        <v>0</v>
      </c>
      <c r="FE66" s="12">
        <f t="shared" si="386"/>
        <v>0</v>
      </c>
      <c r="FF66" s="12">
        <f t="shared" si="387"/>
        <v>0</v>
      </c>
      <c r="FG66" s="12">
        <f t="shared" si="388"/>
        <v>0</v>
      </c>
      <c r="FH66" s="12">
        <f t="shared" si="389"/>
        <v>0</v>
      </c>
      <c r="FI66" s="12">
        <f t="shared" si="390"/>
        <v>0</v>
      </c>
      <c r="FK66" s="29" t="s">
        <v>1305</v>
      </c>
      <c r="FL66">
        <f>_xlfn.XLOOKUP(FK66,'KPI Impacts'!$B$2:$H$2,'KPI Impacts'!$B66:$H66)</f>
        <v>-4.8000000000000007</v>
      </c>
      <c r="FM66" s="35" t="s">
        <v>1303</v>
      </c>
      <c r="FN66">
        <f>_xlfn.XLOOKUP(FM66,'KPI Impacts'!$B$2:$H$2,'KPI Impacts'!$B66:$H66)</f>
        <v>0</v>
      </c>
      <c r="FQ66" s="12">
        <f t="shared" si="391"/>
        <v>0</v>
      </c>
      <c r="FR66" s="12">
        <f t="shared" si="392"/>
        <v>0</v>
      </c>
      <c r="FS66" s="12">
        <f t="shared" si="393"/>
        <v>0</v>
      </c>
      <c r="FT66" s="12">
        <f t="shared" si="394"/>
        <v>0</v>
      </c>
      <c r="FU66" s="12">
        <f t="shared" si="395"/>
        <v>0</v>
      </c>
      <c r="FV66" s="12">
        <f t="shared" si="396"/>
        <v>0</v>
      </c>
      <c r="FW66" s="12">
        <f t="shared" si="397"/>
        <v>0</v>
      </c>
      <c r="FX66" s="12">
        <f t="shared" si="398"/>
        <v>0</v>
      </c>
      <c r="FY66" s="12">
        <f t="shared" si="399"/>
        <v>0</v>
      </c>
      <c r="GA66" s="16" t="s">
        <v>1303</v>
      </c>
      <c r="GB66">
        <f>_xlfn.XLOOKUP(GA66,'KPI Impacts'!$B$2:$H$2,'KPI Impacts'!$B66:$H66)</f>
        <v>0</v>
      </c>
      <c r="GC66" s="35" t="s">
        <v>1303</v>
      </c>
      <c r="GD66">
        <f>_xlfn.XLOOKUP(GC66,'KPI Impacts'!$B$2:$H$2,'KPI Impacts'!$B66:$H66)</f>
        <v>0</v>
      </c>
      <c r="GG66" s="12">
        <f t="shared" si="400"/>
        <v>0</v>
      </c>
      <c r="GH66" s="12">
        <f t="shared" si="401"/>
        <v>0</v>
      </c>
      <c r="GI66" s="12">
        <f t="shared" si="402"/>
        <v>0</v>
      </c>
      <c r="GJ66" s="12">
        <f t="shared" si="403"/>
        <v>0</v>
      </c>
      <c r="GK66" s="12">
        <f t="shared" si="404"/>
        <v>0</v>
      </c>
      <c r="GL66" s="12">
        <f t="shared" si="405"/>
        <v>0</v>
      </c>
      <c r="GM66" s="12">
        <f t="shared" si="406"/>
        <v>0</v>
      </c>
      <c r="GN66" s="12">
        <f t="shared" si="407"/>
        <v>0</v>
      </c>
      <c r="GO66" s="12">
        <f t="shared" si="408"/>
        <v>0</v>
      </c>
      <c r="GQ66" s="29" t="s">
        <v>1304</v>
      </c>
      <c r="GR66">
        <f>_xlfn.XLOOKUP(GQ66,'KPI Impacts'!$B$2:$H$2,'KPI Impacts'!$B66:$H66)</f>
        <v>-1.6</v>
      </c>
      <c r="GS66" s="35" t="s">
        <v>1303</v>
      </c>
      <c r="GT66">
        <f>_xlfn.XLOOKUP(GS66,'KPI Impacts'!$B$2:$H$2,'KPI Impacts'!$B66:$H66)</f>
        <v>0</v>
      </c>
      <c r="GW66" s="12">
        <f t="shared" si="409"/>
        <v>0</v>
      </c>
      <c r="GX66" s="12">
        <f t="shared" si="410"/>
        <v>0</v>
      </c>
      <c r="GY66" s="12">
        <f t="shared" si="411"/>
        <v>0</v>
      </c>
      <c r="GZ66" s="12">
        <f t="shared" si="412"/>
        <v>0</v>
      </c>
      <c r="HA66" s="12">
        <f t="shared" si="413"/>
        <v>0</v>
      </c>
      <c r="HB66" s="12">
        <f t="shared" si="414"/>
        <v>0</v>
      </c>
      <c r="HC66" s="12">
        <f t="shared" si="415"/>
        <v>0</v>
      </c>
      <c r="HD66" s="12">
        <f t="shared" si="416"/>
        <v>0</v>
      </c>
      <c r="HE66" s="12">
        <f t="shared" si="417"/>
        <v>0</v>
      </c>
      <c r="HG66" s="29" t="s">
        <v>1306</v>
      </c>
      <c r="HH66">
        <f>_xlfn.XLOOKUP(HG66,'KPI Impacts'!$B$2:$H$2,'KPI Impacts'!$B66:$H66)</f>
        <v>-3.2</v>
      </c>
      <c r="HI66" s="35" t="s">
        <v>1303</v>
      </c>
      <c r="HJ66">
        <f>_xlfn.XLOOKUP(HI66,'KPI Impacts'!$B$2:$H$2,'KPI Impacts'!$B66:$H66)</f>
        <v>0</v>
      </c>
      <c r="HM66" s="12">
        <f t="shared" si="418"/>
        <v>0</v>
      </c>
      <c r="HN66" s="12">
        <f t="shared" si="419"/>
        <v>0</v>
      </c>
      <c r="HO66" s="12">
        <f t="shared" si="420"/>
        <v>0</v>
      </c>
      <c r="HP66" s="12">
        <f t="shared" si="421"/>
        <v>0</v>
      </c>
      <c r="HQ66" s="12">
        <f t="shared" si="422"/>
        <v>0</v>
      </c>
      <c r="HR66" s="12">
        <f t="shared" si="423"/>
        <v>0</v>
      </c>
      <c r="HS66" s="12">
        <f t="shared" si="424"/>
        <v>0</v>
      </c>
      <c r="HT66" s="12">
        <f t="shared" si="425"/>
        <v>0</v>
      </c>
      <c r="HU66" s="12">
        <f t="shared" si="426"/>
        <v>0</v>
      </c>
      <c r="HW66" s="16" t="s">
        <v>1303</v>
      </c>
      <c r="HX66">
        <f>_xlfn.XLOOKUP(HW66,'KPI Impacts'!$B$2:$H$2,'KPI Impacts'!$B66:$H66)</f>
        <v>0</v>
      </c>
      <c r="HY66" s="35" t="s">
        <v>1303</v>
      </c>
      <c r="HZ66">
        <f>_xlfn.XLOOKUP(HY66,'KPI Impacts'!$B$2:$H$2,'KPI Impacts'!$B66:$H66)</f>
        <v>0</v>
      </c>
      <c r="IC66" s="12">
        <f t="shared" si="427"/>
        <v>0</v>
      </c>
      <c r="ID66" s="12">
        <f t="shared" si="428"/>
        <v>0</v>
      </c>
      <c r="IE66" s="12">
        <f t="shared" si="429"/>
        <v>0</v>
      </c>
      <c r="IF66" s="12">
        <f t="shared" si="430"/>
        <v>0</v>
      </c>
      <c r="IG66" s="12">
        <f t="shared" si="431"/>
        <v>0</v>
      </c>
      <c r="IH66" s="12">
        <f t="shared" si="432"/>
        <v>0</v>
      </c>
      <c r="II66" s="12">
        <f t="shared" si="433"/>
        <v>0</v>
      </c>
      <c r="IJ66" s="12">
        <f t="shared" si="434"/>
        <v>0</v>
      </c>
      <c r="IK66" s="12">
        <f t="shared" si="435"/>
        <v>0</v>
      </c>
      <c r="IM66" s="29" t="s">
        <v>1306</v>
      </c>
      <c r="IN66">
        <f>_xlfn.XLOOKUP(IM66,'KPI Impacts'!$B$2:$H$2,'KPI Impacts'!$B66:$H66)</f>
        <v>-3.2</v>
      </c>
      <c r="IO66" s="35" t="s">
        <v>1303</v>
      </c>
      <c r="IP66">
        <f>_xlfn.XLOOKUP(IO66,'KPI Impacts'!$B$2:$H$2,'KPI Impacts'!$B66:$H66)</f>
        <v>0</v>
      </c>
      <c r="IS66" s="12">
        <f t="shared" si="436"/>
        <v>0</v>
      </c>
      <c r="IT66" s="12">
        <f t="shared" si="437"/>
        <v>0</v>
      </c>
      <c r="IU66" s="12">
        <f t="shared" si="438"/>
        <v>0</v>
      </c>
      <c r="IV66" s="12">
        <f t="shared" si="439"/>
        <v>0</v>
      </c>
      <c r="IW66" s="12">
        <f t="shared" si="440"/>
        <v>0</v>
      </c>
      <c r="IX66" s="12">
        <f t="shared" si="441"/>
        <v>0</v>
      </c>
      <c r="IY66" s="12">
        <f t="shared" si="442"/>
        <v>0</v>
      </c>
      <c r="IZ66" s="12">
        <f t="shared" si="443"/>
        <v>0</v>
      </c>
      <c r="JA66" s="12">
        <f t="shared" si="444"/>
        <v>0</v>
      </c>
      <c r="JC66" s="16" t="s">
        <v>1303</v>
      </c>
      <c r="JD66">
        <f>_xlfn.XLOOKUP(JC66,'KPI Impacts'!$B$2:$H$2,'KPI Impacts'!$B66:$H66)</f>
        <v>0</v>
      </c>
      <c r="JE66" s="35" t="s">
        <v>1303</v>
      </c>
      <c r="JF66">
        <f>_xlfn.XLOOKUP(JE66,'KPI Impacts'!$B$2:$H$2,'KPI Impacts'!$B66:$H66)</f>
        <v>0</v>
      </c>
      <c r="JI66" s="12">
        <f t="shared" si="445"/>
        <v>0</v>
      </c>
      <c r="JJ66" s="12">
        <f t="shared" si="446"/>
        <v>0</v>
      </c>
      <c r="JK66" s="12">
        <f t="shared" si="447"/>
        <v>0</v>
      </c>
      <c r="JL66" s="12">
        <f t="shared" si="448"/>
        <v>0</v>
      </c>
      <c r="JM66" s="12">
        <f t="shared" si="449"/>
        <v>0</v>
      </c>
      <c r="JN66" s="12">
        <f t="shared" si="450"/>
        <v>0</v>
      </c>
      <c r="JO66" s="12">
        <f t="shared" si="451"/>
        <v>0</v>
      </c>
      <c r="JP66" s="12">
        <f t="shared" si="452"/>
        <v>0</v>
      </c>
      <c r="JQ66" s="12">
        <f t="shared" si="453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54"/>
        <v>0</v>
      </c>
      <c r="JZ66" s="12">
        <f t="shared" si="455"/>
        <v>0</v>
      </c>
      <c r="KA66" s="12">
        <f t="shared" si="456"/>
        <v>0</v>
      </c>
      <c r="KB66" s="12">
        <f t="shared" si="457"/>
        <v>0</v>
      </c>
      <c r="KC66" s="12">
        <f t="shared" si="458"/>
        <v>0</v>
      </c>
      <c r="KD66" s="12">
        <f t="shared" si="459"/>
        <v>0</v>
      </c>
      <c r="KE66" s="12">
        <f t="shared" si="460"/>
        <v>0</v>
      </c>
      <c r="KF66" s="12">
        <f t="shared" si="461"/>
        <v>0</v>
      </c>
      <c r="KG66" s="12">
        <f t="shared" si="462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63"/>
        <v>0</v>
      </c>
      <c r="KP66" s="12">
        <f t="shared" si="464"/>
        <v>0</v>
      </c>
      <c r="KQ66" s="12">
        <f t="shared" si="465"/>
        <v>0</v>
      </c>
      <c r="KR66" s="12">
        <f t="shared" si="466"/>
        <v>0</v>
      </c>
      <c r="KS66" s="12">
        <f t="shared" si="467"/>
        <v>0</v>
      </c>
      <c r="KT66" s="12">
        <f t="shared" si="468"/>
        <v>0</v>
      </c>
      <c r="KU66" s="12">
        <f t="shared" si="469"/>
        <v>0</v>
      </c>
      <c r="KV66" s="12">
        <f t="shared" si="470"/>
        <v>0</v>
      </c>
      <c r="KW66" s="12">
        <f t="shared" si="471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72"/>
        <v>0</v>
      </c>
      <c r="LF66" s="12">
        <f t="shared" si="473"/>
        <v>0</v>
      </c>
      <c r="LG66" s="12">
        <f t="shared" si="474"/>
        <v>0</v>
      </c>
      <c r="LH66" s="12">
        <f t="shared" si="475"/>
        <v>0</v>
      </c>
      <c r="LI66" s="12">
        <f t="shared" si="476"/>
        <v>0</v>
      </c>
      <c r="LJ66" s="12">
        <f t="shared" si="477"/>
        <v>0</v>
      </c>
      <c r="LK66" s="12">
        <f t="shared" si="478"/>
        <v>0</v>
      </c>
      <c r="LL66" s="12">
        <f t="shared" si="479"/>
        <v>0</v>
      </c>
      <c r="LM66" s="12">
        <f t="shared" si="480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81"/>
        <v>0</v>
      </c>
      <c r="LV66" s="12">
        <f t="shared" si="482"/>
        <v>0</v>
      </c>
      <c r="LW66" s="12">
        <f t="shared" si="483"/>
        <v>0</v>
      </c>
      <c r="LX66" s="12">
        <f t="shared" si="484"/>
        <v>0</v>
      </c>
      <c r="LY66" s="12">
        <f t="shared" si="485"/>
        <v>0</v>
      </c>
      <c r="LZ66" s="12">
        <f t="shared" si="486"/>
        <v>0</v>
      </c>
      <c r="MA66" s="12">
        <f t="shared" si="487"/>
        <v>0</v>
      </c>
      <c r="MB66" s="12">
        <f t="shared" si="488"/>
        <v>0</v>
      </c>
      <c r="MC66" s="12">
        <f t="shared" si="489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90"/>
        <v>0</v>
      </c>
      <c r="ML66" s="12">
        <f t="shared" si="491"/>
        <v>0</v>
      </c>
      <c r="MM66" s="12">
        <f t="shared" si="492"/>
        <v>0</v>
      </c>
      <c r="MN66" s="12">
        <f t="shared" si="493"/>
        <v>0</v>
      </c>
      <c r="MO66" s="12">
        <f t="shared" si="494"/>
        <v>0</v>
      </c>
      <c r="MP66" s="12">
        <f t="shared" si="495"/>
        <v>0</v>
      </c>
      <c r="MQ66" s="12">
        <f t="shared" si="496"/>
        <v>0</v>
      </c>
      <c r="MR66" s="12">
        <f t="shared" si="497"/>
        <v>0</v>
      </c>
      <c r="MS66" s="12">
        <f t="shared" si="498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9"/>
        <v>0</v>
      </c>
      <c r="NB66" s="12">
        <f t="shared" si="500"/>
        <v>0</v>
      </c>
      <c r="NC66" s="12">
        <f t="shared" si="501"/>
        <v>0</v>
      </c>
      <c r="ND66" s="12">
        <f t="shared" si="502"/>
        <v>0</v>
      </c>
      <c r="NE66" s="12">
        <f t="shared" si="503"/>
        <v>0</v>
      </c>
      <c r="NF66" s="12">
        <f t="shared" si="504"/>
        <v>0</v>
      </c>
      <c r="NG66" s="12">
        <f t="shared" si="505"/>
        <v>0</v>
      </c>
      <c r="NH66" s="12">
        <f t="shared" si="506"/>
        <v>0</v>
      </c>
      <c r="NI66" s="12">
        <f t="shared" si="507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8"/>
        <v>0</v>
      </c>
      <c r="NR66" s="12">
        <f t="shared" si="509"/>
        <v>0</v>
      </c>
      <c r="NS66" s="12">
        <f t="shared" si="510"/>
        <v>0</v>
      </c>
      <c r="NT66" s="12">
        <f t="shared" si="511"/>
        <v>0</v>
      </c>
      <c r="NU66" s="12">
        <f t="shared" si="512"/>
        <v>0</v>
      </c>
      <c r="NV66" s="12">
        <f t="shared" si="513"/>
        <v>0</v>
      </c>
      <c r="NW66" s="12">
        <f t="shared" si="514"/>
        <v>0</v>
      </c>
      <c r="NX66" s="12">
        <f t="shared" si="515"/>
        <v>0</v>
      </c>
      <c r="NY66" s="12">
        <f t="shared" si="516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7"/>
        <v>0</v>
      </c>
      <c r="OH66" s="12">
        <f t="shared" si="518"/>
        <v>0</v>
      </c>
      <c r="OI66" s="12">
        <f t="shared" si="519"/>
        <v>0</v>
      </c>
      <c r="OJ66" s="12">
        <f t="shared" si="520"/>
        <v>0</v>
      </c>
      <c r="OK66" s="12">
        <f t="shared" si="521"/>
        <v>0</v>
      </c>
      <c r="OL66" s="12">
        <f t="shared" si="522"/>
        <v>0</v>
      </c>
      <c r="OM66" s="12">
        <f t="shared" si="523"/>
        <v>0</v>
      </c>
      <c r="ON66" s="12">
        <f t="shared" si="524"/>
        <v>0</v>
      </c>
      <c r="OO66" s="12">
        <f t="shared" si="525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9"/>
        <v>0</v>
      </c>
      <c r="C67" s="12">
        <f t="shared" si="319"/>
        <v>0</v>
      </c>
      <c r="D67" s="12">
        <f t="shared" si="319"/>
        <v>0</v>
      </c>
      <c r="E67" s="12">
        <f t="shared" si="319"/>
        <v>0</v>
      </c>
      <c r="F67" s="12">
        <f t="shared" si="319"/>
        <v>0</v>
      </c>
      <c r="G67" s="12">
        <f t="shared" si="319"/>
        <v>0</v>
      </c>
      <c r="H67" s="12">
        <f t="shared" si="319"/>
        <v>0</v>
      </c>
      <c r="I67" s="12">
        <f t="shared" si="320"/>
        <v>0</v>
      </c>
      <c r="J67" s="12">
        <f t="shared" si="320"/>
        <v>0</v>
      </c>
      <c r="M67">
        <f t="shared" si="321"/>
        <v>0</v>
      </c>
      <c r="N67">
        <f t="shared" si="322"/>
        <v>0</v>
      </c>
      <c r="O67">
        <f t="shared" si="323"/>
        <v>0</v>
      </c>
      <c r="P67">
        <f t="shared" si="324"/>
        <v>0</v>
      </c>
      <c r="Q67">
        <f t="shared" si="325"/>
        <v>0</v>
      </c>
      <c r="R67">
        <f t="shared" si="326"/>
        <v>0</v>
      </c>
      <c r="S67">
        <f t="shared" si="327"/>
        <v>0</v>
      </c>
      <c r="U67" t="s">
        <v>1303</v>
      </c>
      <c r="V67">
        <f>_xlfn.XLOOKUP(U67,'KPI Impacts'!$B$2:$H$2,'KPI Impacts'!$B67:$H67)</f>
        <v>0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8"/>
        <v>0</v>
      </c>
      <c r="BJ67" s="12">
        <f t="shared" si="329"/>
        <v>0</v>
      </c>
      <c r="BK67" s="12">
        <f t="shared" si="330"/>
        <v>0</v>
      </c>
      <c r="BL67" s="12">
        <f t="shared" si="331"/>
        <v>0</v>
      </c>
      <c r="BM67" s="12">
        <f t="shared" si="332"/>
        <v>0</v>
      </c>
      <c r="BN67" s="12">
        <f t="shared" si="333"/>
        <v>0</v>
      </c>
      <c r="BO67" s="12">
        <f t="shared" si="334"/>
        <v>0</v>
      </c>
      <c r="BP67" s="12">
        <f t="shared" si="335"/>
        <v>0</v>
      </c>
      <c r="BQ67" s="12">
        <f t="shared" si="336"/>
        <v>0</v>
      </c>
      <c r="BS67" s="30" t="s">
        <v>1309</v>
      </c>
      <c r="BT67">
        <f>_xlfn.XLOOKUP(BS67,'KPI Impacts'!$B$2:$H$2,'KPI Impacts'!$B67:$H67)</f>
        <v>4</v>
      </c>
      <c r="BU67" s="35" t="s">
        <v>1303</v>
      </c>
      <c r="BV67">
        <f>_xlfn.XLOOKUP(BU67,'KPI Impacts'!$B$2:$H$2,'KPI Impacts'!$B67:$H67)</f>
        <v>0</v>
      </c>
      <c r="BY67" s="12">
        <f t="shared" si="337"/>
        <v>0</v>
      </c>
      <c r="BZ67" s="12">
        <f t="shared" si="338"/>
        <v>0</v>
      </c>
      <c r="CA67" s="12">
        <f t="shared" si="339"/>
        <v>0</v>
      </c>
      <c r="CB67" s="12">
        <f t="shared" si="340"/>
        <v>0</v>
      </c>
      <c r="CC67" s="12">
        <f t="shared" si="341"/>
        <v>0</v>
      </c>
      <c r="CD67" s="12">
        <f t="shared" si="342"/>
        <v>0</v>
      </c>
      <c r="CE67" s="12">
        <f t="shared" si="343"/>
        <v>0</v>
      </c>
      <c r="CF67" s="12">
        <f t="shared" si="344"/>
        <v>0</v>
      </c>
      <c r="CG67" s="12">
        <f t="shared" si="345"/>
        <v>0</v>
      </c>
      <c r="CI67" s="16" t="s">
        <v>1303</v>
      </c>
      <c r="CJ67">
        <f>_xlfn.XLOOKUP(CI67,'KPI Impacts'!$B$2:$H$2,'KPI Impacts'!$B67:$H67)</f>
        <v>0</v>
      </c>
      <c r="CK67" s="9" t="s">
        <v>1303</v>
      </c>
      <c r="CL67">
        <f>_xlfn.XLOOKUP(CK67,'KPI Impacts'!$B$2:$H$2,'KPI Impacts'!$B67:$H67)</f>
        <v>0</v>
      </c>
      <c r="CO67" s="12">
        <f t="shared" si="346"/>
        <v>0</v>
      </c>
      <c r="CP67" s="12">
        <f t="shared" si="347"/>
        <v>0</v>
      </c>
      <c r="CQ67" s="12">
        <f t="shared" si="348"/>
        <v>0</v>
      </c>
      <c r="CR67" s="12">
        <f t="shared" si="349"/>
        <v>0</v>
      </c>
      <c r="CS67" s="12">
        <f t="shared" si="350"/>
        <v>0</v>
      </c>
      <c r="CT67" s="12">
        <f t="shared" si="351"/>
        <v>0</v>
      </c>
      <c r="CU67" s="12">
        <f t="shared" si="352"/>
        <v>0</v>
      </c>
      <c r="CV67" s="12">
        <f t="shared" si="353"/>
        <v>0</v>
      </c>
      <c r="CW67" s="12">
        <f t="shared" si="354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355"/>
        <v>0</v>
      </c>
      <c r="DF67" s="12">
        <f t="shared" si="356"/>
        <v>0</v>
      </c>
      <c r="DG67" s="12">
        <f t="shared" si="357"/>
        <v>0</v>
      </c>
      <c r="DH67" s="12">
        <f t="shared" si="358"/>
        <v>0</v>
      </c>
      <c r="DI67" s="12">
        <f t="shared" si="359"/>
        <v>0</v>
      </c>
      <c r="DJ67" s="12">
        <f t="shared" si="360"/>
        <v>0</v>
      </c>
      <c r="DK67" s="12">
        <f t="shared" si="361"/>
        <v>0</v>
      </c>
      <c r="DL67" s="12">
        <f t="shared" si="362"/>
        <v>0</v>
      </c>
      <c r="DM67" s="12">
        <f t="shared" si="363"/>
        <v>0</v>
      </c>
      <c r="DO67" s="30" t="s">
        <v>1309</v>
      </c>
      <c r="DP67">
        <f>_xlfn.XLOOKUP(DO67,'KPI Impacts'!$B$2:$H$2,'KPI Impacts'!$B67:$H67)</f>
        <v>4</v>
      </c>
      <c r="DQ67" s="35" t="s">
        <v>1303</v>
      </c>
      <c r="DR67">
        <f>_xlfn.XLOOKUP(DQ67,'KPI Impacts'!$B$2:$H$2,'KPI Impacts'!$B67:$H67)</f>
        <v>0</v>
      </c>
      <c r="DU67" s="12">
        <f t="shared" si="364"/>
        <v>0</v>
      </c>
      <c r="DV67" s="12">
        <f t="shared" si="365"/>
        <v>0</v>
      </c>
      <c r="DW67" s="12">
        <f t="shared" si="366"/>
        <v>0</v>
      </c>
      <c r="DX67" s="12">
        <f t="shared" si="367"/>
        <v>0</v>
      </c>
      <c r="DY67" s="12">
        <f t="shared" si="368"/>
        <v>0</v>
      </c>
      <c r="DZ67" s="12">
        <f t="shared" si="369"/>
        <v>0</v>
      </c>
      <c r="EA67" s="12">
        <f t="shared" si="370"/>
        <v>0</v>
      </c>
      <c r="EB67" s="12">
        <f t="shared" si="371"/>
        <v>0</v>
      </c>
      <c r="EC67" s="12">
        <f t="shared" si="372"/>
        <v>0</v>
      </c>
      <c r="EE67" s="16" t="s">
        <v>1303</v>
      </c>
      <c r="EF67">
        <f>_xlfn.XLOOKUP(EE67,'KPI Impacts'!$B$2:$H$2,'KPI Impacts'!$B67:$H67)</f>
        <v>0</v>
      </c>
      <c r="EG67" s="35" t="s">
        <v>1303</v>
      </c>
      <c r="EH67">
        <f>_xlfn.XLOOKUP(EG67,'KPI Impacts'!$B$2:$H$2,'KPI Impacts'!$B67:$H67)</f>
        <v>0</v>
      </c>
      <c r="EK67" s="12">
        <f t="shared" si="373"/>
        <v>0</v>
      </c>
      <c r="EL67" s="12">
        <f t="shared" si="374"/>
        <v>0</v>
      </c>
      <c r="EM67" s="12">
        <f t="shared" si="375"/>
        <v>0</v>
      </c>
      <c r="EN67" s="12">
        <f t="shared" si="376"/>
        <v>0</v>
      </c>
      <c r="EO67" s="12">
        <f t="shared" si="377"/>
        <v>0</v>
      </c>
      <c r="EP67" s="12">
        <f t="shared" si="378"/>
        <v>0</v>
      </c>
      <c r="EQ67" s="12">
        <f t="shared" si="379"/>
        <v>0</v>
      </c>
      <c r="ER67" s="12">
        <f t="shared" si="380"/>
        <v>0</v>
      </c>
      <c r="ES67" s="12">
        <f t="shared" si="381"/>
        <v>0</v>
      </c>
      <c r="EU67" s="30" t="s">
        <v>1307</v>
      </c>
      <c r="EV67">
        <f>_xlfn.XLOOKUP(EU67,'KPI Impacts'!$B$2:$H$2,'KPI Impacts'!$B67:$H67)</f>
        <v>2</v>
      </c>
      <c r="EW67" s="35" t="s">
        <v>1303</v>
      </c>
      <c r="EX67">
        <f>_xlfn.XLOOKUP(EW67,'KPI Impacts'!$B$2:$H$2,'KPI Impacts'!$B67:$H67)</f>
        <v>0</v>
      </c>
      <c r="FA67" s="12">
        <f t="shared" si="382"/>
        <v>0</v>
      </c>
      <c r="FB67" s="12">
        <f t="shared" si="383"/>
        <v>0</v>
      </c>
      <c r="FC67" s="12">
        <f t="shared" si="384"/>
        <v>0</v>
      </c>
      <c r="FD67" s="12">
        <f t="shared" si="385"/>
        <v>0</v>
      </c>
      <c r="FE67" s="12">
        <f t="shared" si="386"/>
        <v>0</v>
      </c>
      <c r="FF67" s="12">
        <f t="shared" si="387"/>
        <v>0</v>
      </c>
      <c r="FG67" s="12">
        <f t="shared" si="388"/>
        <v>0</v>
      </c>
      <c r="FH67" s="12">
        <f t="shared" si="389"/>
        <v>0</v>
      </c>
      <c r="FI67" s="12">
        <f t="shared" si="390"/>
        <v>0</v>
      </c>
      <c r="FK67" s="29" t="s">
        <v>1306</v>
      </c>
      <c r="FL67">
        <f>_xlfn.XLOOKUP(FK67,'KPI Impacts'!$B$2:$H$2,'KPI Impacts'!$B67:$H67)</f>
        <v>-3.2</v>
      </c>
      <c r="FM67" s="35" t="s">
        <v>1303</v>
      </c>
      <c r="FN67">
        <f>_xlfn.XLOOKUP(FM67,'KPI Impacts'!$B$2:$H$2,'KPI Impacts'!$B67:$H67)</f>
        <v>0</v>
      </c>
      <c r="FQ67" s="12">
        <f t="shared" si="391"/>
        <v>0</v>
      </c>
      <c r="FR67" s="12">
        <f t="shared" si="392"/>
        <v>0</v>
      </c>
      <c r="FS67" s="12">
        <f t="shared" si="393"/>
        <v>0</v>
      </c>
      <c r="FT67" s="12">
        <f t="shared" si="394"/>
        <v>0</v>
      </c>
      <c r="FU67" s="12">
        <f t="shared" si="395"/>
        <v>0</v>
      </c>
      <c r="FV67" s="12">
        <f t="shared" si="396"/>
        <v>0</v>
      </c>
      <c r="FW67" s="12">
        <f t="shared" si="397"/>
        <v>0</v>
      </c>
      <c r="FX67" s="12">
        <f t="shared" si="398"/>
        <v>0</v>
      </c>
      <c r="FY67" s="12">
        <f t="shared" si="399"/>
        <v>0</v>
      </c>
      <c r="GA67" s="30" t="s">
        <v>1307</v>
      </c>
      <c r="GB67">
        <f>_xlfn.XLOOKUP(GA67,'KPI Impacts'!$B$2:$H$2,'KPI Impacts'!$B67:$H67)</f>
        <v>2</v>
      </c>
      <c r="GC67" s="35" t="s">
        <v>1303</v>
      </c>
      <c r="GD67">
        <f>_xlfn.XLOOKUP(GC67,'KPI Impacts'!$B$2:$H$2,'KPI Impacts'!$B67:$H67)</f>
        <v>0</v>
      </c>
      <c r="GG67" s="12">
        <f t="shared" si="400"/>
        <v>0</v>
      </c>
      <c r="GH67" s="12">
        <f t="shared" si="401"/>
        <v>0</v>
      </c>
      <c r="GI67" s="12">
        <f t="shared" si="402"/>
        <v>0</v>
      </c>
      <c r="GJ67" s="12">
        <f t="shared" si="403"/>
        <v>0</v>
      </c>
      <c r="GK67" s="12">
        <f t="shared" si="404"/>
        <v>0</v>
      </c>
      <c r="GL67" s="12">
        <f t="shared" si="405"/>
        <v>0</v>
      </c>
      <c r="GM67" s="12">
        <f t="shared" si="406"/>
        <v>0</v>
      </c>
      <c r="GN67" s="12">
        <f t="shared" si="407"/>
        <v>0</v>
      </c>
      <c r="GO67" s="12">
        <f t="shared" si="408"/>
        <v>0</v>
      </c>
      <c r="GQ67" s="16" t="s">
        <v>1303</v>
      </c>
      <c r="GR67">
        <f>_xlfn.XLOOKUP(GQ67,'KPI Impacts'!$B$2:$H$2,'KPI Impacts'!$B67:$H67)</f>
        <v>0</v>
      </c>
      <c r="GS67" s="35" t="s">
        <v>1303</v>
      </c>
      <c r="GT67">
        <f>_xlfn.XLOOKUP(GS67,'KPI Impacts'!$B$2:$H$2,'KPI Impacts'!$B67:$H67)</f>
        <v>0</v>
      </c>
      <c r="GW67" s="12">
        <f t="shared" si="409"/>
        <v>0</v>
      </c>
      <c r="GX67" s="12">
        <f t="shared" si="410"/>
        <v>0</v>
      </c>
      <c r="GY67" s="12">
        <f t="shared" si="411"/>
        <v>0</v>
      </c>
      <c r="GZ67" s="12">
        <f t="shared" si="412"/>
        <v>0</v>
      </c>
      <c r="HA67" s="12">
        <f t="shared" si="413"/>
        <v>0</v>
      </c>
      <c r="HB67" s="12">
        <f t="shared" si="414"/>
        <v>0</v>
      </c>
      <c r="HC67" s="12">
        <f t="shared" si="415"/>
        <v>0</v>
      </c>
      <c r="HD67" s="12">
        <f t="shared" si="416"/>
        <v>0</v>
      </c>
      <c r="HE67" s="12">
        <f t="shared" si="417"/>
        <v>0</v>
      </c>
      <c r="HG67" s="16" t="s">
        <v>1303</v>
      </c>
      <c r="HH67">
        <f>_xlfn.XLOOKUP(HG67,'KPI Impacts'!$B$2:$H$2,'KPI Impacts'!$B67:$H67)</f>
        <v>0</v>
      </c>
      <c r="HI67" s="35" t="s">
        <v>1303</v>
      </c>
      <c r="HJ67">
        <f>_xlfn.XLOOKUP(HI67,'KPI Impacts'!$B$2:$H$2,'KPI Impacts'!$B67:$H67)</f>
        <v>0</v>
      </c>
      <c r="HM67" s="12">
        <f t="shared" si="418"/>
        <v>0</v>
      </c>
      <c r="HN67" s="12">
        <f t="shared" si="419"/>
        <v>0</v>
      </c>
      <c r="HO67" s="12">
        <f t="shared" si="420"/>
        <v>0</v>
      </c>
      <c r="HP67" s="12">
        <f t="shared" si="421"/>
        <v>0</v>
      </c>
      <c r="HQ67" s="12">
        <f t="shared" si="422"/>
        <v>0</v>
      </c>
      <c r="HR67" s="12">
        <f t="shared" si="423"/>
        <v>0</v>
      </c>
      <c r="HS67" s="12">
        <f t="shared" si="424"/>
        <v>0</v>
      </c>
      <c r="HT67" s="12">
        <f t="shared" si="425"/>
        <v>0</v>
      </c>
      <c r="HU67" s="12">
        <f t="shared" si="426"/>
        <v>0</v>
      </c>
      <c r="HW67" s="16" t="s">
        <v>1303</v>
      </c>
      <c r="HX67">
        <f>_xlfn.XLOOKUP(HW67,'KPI Impacts'!$B$2:$H$2,'KPI Impacts'!$B67:$H67)</f>
        <v>0</v>
      </c>
      <c r="HY67" s="35" t="s">
        <v>1303</v>
      </c>
      <c r="HZ67">
        <f>_xlfn.XLOOKUP(HY67,'KPI Impacts'!$B$2:$H$2,'KPI Impacts'!$B67:$H67)</f>
        <v>0</v>
      </c>
      <c r="IC67" s="12">
        <f t="shared" si="427"/>
        <v>0</v>
      </c>
      <c r="ID67" s="12">
        <f t="shared" si="428"/>
        <v>0</v>
      </c>
      <c r="IE67" s="12">
        <f t="shared" si="429"/>
        <v>0</v>
      </c>
      <c r="IF67" s="12">
        <f t="shared" si="430"/>
        <v>0</v>
      </c>
      <c r="IG67" s="12">
        <f t="shared" si="431"/>
        <v>0</v>
      </c>
      <c r="IH67" s="12">
        <f t="shared" si="432"/>
        <v>0</v>
      </c>
      <c r="II67" s="12">
        <f t="shared" si="433"/>
        <v>0</v>
      </c>
      <c r="IJ67" s="12">
        <f t="shared" si="434"/>
        <v>0</v>
      </c>
      <c r="IK67" s="12">
        <f t="shared" si="435"/>
        <v>0</v>
      </c>
      <c r="IM67" s="16" t="s">
        <v>1303</v>
      </c>
      <c r="IN67">
        <f>_xlfn.XLOOKUP(IM67,'KPI Impacts'!$B$2:$H$2,'KPI Impacts'!$B67:$H67)</f>
        <v>0</v>
      </c>
      <c r="IO67" s="35" t="s">
        <v>1303</v>
      </c>
      <c r="IP67">
        <f>_xlfn.XLOOKUP(IO67,'KPI Impacts'!$B$2:$H$2,'KPI Impacts'!$B67:$H67)</f>
        <v>0</v>
      </c>
      <c r="IS67" s="12">
        <f t="shared" si="436"/>
        <v>0</v>
      </c>
      <c r="IT67" s="12">
        <f t="shared" si="437"/>
        <v>0</v>
      </c>
      <c r="IU67" s="12">
        <f t="shared" si="438"/>
        <v>0</v>
      </c>
      <c r="IV67" s="12">
        <f t="shared" si="439"/>
        <v>0</v>
      </c>
      <c r="IW67" s="12">
        <f t="shared" si="440"/>
        <v>0</v>
      </c>
      <c r="IX67" s="12">
        <f t="shared" si="441"/>
        <v>0</v>
      </c>
      <c r="IY67" s="12">
        <f t="shared" si="442"/>
        <v>0</v>
      </c>
      <c r="IZ67" s="12">
        <f t="shared" si="443"/>
        <v>0</v>
      </c>
      <c r="JA67" s="12">
        <f t="shared" si="444"/>
        <v>0</v>
      </c>
      <c r="JC67" s="16" t="s">
        <v>1303</v>
      </c>
      <c r="JD67">
        <f>_xlfn.XLOOKUP(JC67,'KPI Impacts'!$B$2:$H$2,'KPI Impacts'!$B67:$H67)</f>
        <v>0</v>
      </c>
      <c r="JE67" s="35" t="s">
        <v>1303</v>
      </c>
      <c r="JF67">
        <f>_xlfn.XLOOKUP(JE67,'KPI Impacts'!$B$2:$H$2,'KPI Impacts'!$B67:$H67)</f>
        <v>0</v>
      </c>
      <c r="JI67" s="12">
        <f t="shared" si="445"/>
        <v>0</v>
      </c>
      <c r="JJ67" s="12">
        <f t="shared" si="446"/>
        <v>0</v>
      </c>
      <c r="JK67" s="12">
        <f t="shared" si="447"/>
        <v>0</v>
      </c>
      <c r="JL67" s="12">
        <f t="shared" si="448"/>
        <v>0</v>
      </c>
      <c r="JM67" s="12">
        <f t="shared" si="449"/>
        <v>0</v>
      </c>
      <c r="JN67" s="12">
        <f t="shared" si="450"/>
        <v>0</v>
      </c>
      <c r="JO67" s="12">
        <f t="shared" si="451"/>
        <v>0</v>
      </c>
      <c r="JP67" s="12">
        <f t="shared" si="452"/>
        <v>0</v>
      </c>
      <c r="JQ67" s="12">
        <f t="shared" si="453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54"/>
        <v>0</v>
      </c>
      <c r="JZ67" s="12">
        <f t="shared" si="455"/>
        <v>0</v>
      </c>
      <c r="KA67" s="12">
        <f t="shared" si="456"/>
        <v>0</v>
      </c>
      <c r="KB67" s="12">
        <f t="shared" si="457"/>
        <v>0</v>
      </c>
      <c r="KC67" s="12">
        <f t="shared" si="458"/>
        <v>0</v>
      </c>
      <c r="KD67" s="12">
        <f t="shared" si="459"/>
        <v>0</v>
      </c>
      <c r="KE67" s="12">
        <f t="shared" si="460"/>
        <v>0</v>
      </c>
      <c r="KF67" s="12">
        <f t="shared" si="461"/>
        <v>0</v>
      </c>
      <c r="KG67" s="12">
        <f t="shared" si="462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63"/>
        <v>0</v>
      </c>
      <c r="KP67" s="12">
        <f t="shared" si="464"/>
        <v>0</v>
      </c>
      <c r="KQ67" s="12">
        <f t="shared" si="465"/>
        <v>0</v>
      </c>
      <c r="KR67" s="12">
        <f t="shared" si="466"/>
        <v>0</v>
      </c>
      <c r="KS67" s="12">
        <f t="shared" si="467"/>
        <v>0</v>
      </c>
      <c r="KT67" s="12">
        <f t="shared" si="468"/>
        <v>0</v>
      </c>
      <c r="KU67" s="12">
        <f t="shared" si="469"/>
        <v>0</v>
      </c>
      <c r="KV67" s="12">
        <f t="shared" si="470"/>
        <v>0</v>
      </c>
      <c r="KW67" s="12">
        <f t="shared" si="471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72"/>
        <v>0</v>
      </c>
      <c r="LF67" s="12">
        <f t="shared" si="473"/>
        <v>0</v>
      </c>
      <c r="LG67" s="12">
        <f t="shared" si="474"/>
        <v>0</v>
      </c>
      <c r="LH67" s="12">
        <f t="shared" si="475"/>
        <v>0</v>
      </c>
      <c r="LI67" s="12">
        <f t="shared" si="476"/>
        <v>0</v>
      </c>
      <c r="LJ67" s="12">
        <f t="shared" si="477"/>
        <v>0</v>
      </c>
      <c r="LK67" s="12">
        <f t="shared" si="478"/>
        <v>0</v>
      </c>
      <c r="LL67" s="12">
        <f t="shared" si="479"/>
        <v>0</v>
      </c>
      <c r="LM67" s="12">
        <f t="shared" si="480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81"/>
        <v>0</v>
      </c>
      <c r="LV67" s="12">
        <f t="shared" si="482"/>
        <v>0</v>
      </c>
      <c r="LW67" s="12">
        <f t="shared" si="483"/>
        <v>0</v>
      </c>
      <c r="LX67" s="12">
        <f t="shared" si="484"/>
        <v>0</v>
      </c>
      <c r="LY67" s="12">
        <f t="shared" si="485"/>
        <v>0</v>
      </c>
      <c r="LZ67" s="12">
        <f t="shared" si="486"/>
        <v>0</v>
      </c>
      <c r="MA67" s="12">
        <f t="shared" si="487"/>
        <v>0</v>
      </c>
      <c r="MB67" s="12">
        <f t="shared" si="488"/>
        <v>0</v>
      </c>
      <c r="MC67" s="12">
        <f t="shared" si="489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90"/>
        <v>0</v>
      </c>
      <c r="ML67" s="12">
        <f t="shared" si="491"/>
        <v>0</v>
      </c>
      <c r="MM67" s="12">
        <f t="shared" si="492"/>
        <v>0</v>
      </c>
      <c r="MN67" s="12">
        <f t="shared" si="493"/>
        <v>0</v>
      </c>
      <c r="MO67" s="12">
        <f t="shared" si="494"/>
        <v>0</v>
      </c>
      <c r="MP67" s="12">
        <f t="shared" si="495"/>
        <v>0</v>
      </c>
      <c r="MQ67" s="12">
        <f t="shared" si="496"/>
        <v>0</v>
      </c>
      <c r="MR67" s="12">
        <f t="shared" si="497"/>
        <v>0</v>
      </c>
      <c r="MS67" s="12">
        <f t="shared" si="498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9"/>
        <v>0</v>
      </c>
      <c r="NB67" s="12">
        <f t="shared" si="500"/>
        <v>0</v>
      </c>
      <c r="NC67" s="12">
        <f t="shared" si="501"/>
        <v>0</v>
      </c>
      <c r="ND67" s="12">
        <f t="shared" si="502"/>
        <v>0</v>
      </c>
      <c r="NE67" s="12">
        <f t="shared" si="503"/>
        <v>0</v>
      </c>
      <c r="NF67" s="12">
        <f t="shared" si="504"/>
        <v>0</v>
      </c>
      <c r="NG67" s="12">
        <f t="shared" si="505"/>
        <v>0</v>
      </c>
      <c r="NH67" s="12">
        <f t="shared" si="506"/>
        <v>0</v>
      </c>
      <c r="NI67" s="12">
        <f t="shared" si="507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8"/>
        <v>0</v>
      </c>
      <c r="NR67" s="12">
        <f t="shared" si="509"/>
        <v>0</v>
      </c>
      <c r="NS67" s="12">
        <f t="shared" si="510"/>
        <v>0</v>
      </c>
      <c r="NT67" s="12">
        <f t="shared" si="511"/>
        <v>0</v>
      </c>
      <c r="NU67" s="12">
        <f t="shared" si="512"/>
        <v>0</v>
      </c>
      <c r="NV67" s="12">
        <f t="shared" si="513"/>
        <v>0</v>
      </c>
      <c r="NW67" s="12">
        <f t="shared" si="514"/>
        <v>0</v>
      </c>
      <c r="NX67" s="12">
        <f t="shared" si="515"/>
        <v>0</v>
      </c>
      <c r="NY67" s="12">
        <f t="shared" si="516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7"/>
        <v>0</v>
      </c>
      <c r="OH67" s="12">
        <f t="shared" si="518"/>
        <v>0</v>
      </c>
      <c r="OI67" s="12">
        <f t="shared" si="519"/>
        <v>0</v>
      </c>
      <c r="OJ67" s="12">
        <f t="shared" si="520"/>
        <v>0</v>
      </c>
      <c r="OK67" s="12">
        <f t="shared" si="521"/>
        <v>0</v>
      </c>
      <c r="OL67" s="12">
        <f t="shared" si="522"/>
        <v>0</v>
      </c>
      <c r="OM67" s="12">
        <f t="shared" si="523"/>
        <v>0</v>
      </c>
      <c r="ON67" s="12">
        <f t="shared" si="524"/>
        <v>0</v>
      </c>
      <c r="OO67" s="12">
        <f t="shared" si="525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9"/>
        <v>0</v>
      </c>
      <c r="C68" s="12">
        <f t="shared" si="319"/>
        <v>0</v>
      </c>
      <c r="D68" s="12">
        <f t="shared" si="319"/>
        <v>0</v>
      </c>
      <c r="E68" s="12">
        <f t="shared" si="319"/>
        <v>0</v>
      </c>
      <c r="F68" s="12">
        <f t="shared" si="319"/>
        <v>0</v>
      </c>
      <c r="G68" s="12">
        <f t="shared" si="319"/>
        <v>0</v>
      </c>
      <c r="H68" s="12">
        <f t="shared" si="319"/>
        <v>0</v>
      </c>
      <c r="I68" s="12">
        <f t="shared" si="320"/>
        <v>0</v>
      </c>
      <c r="J68" s="12">
        <f t="shared" si="320"/>
        <v>0</v>
      </c>
      <c r="M68">
        <f t="shared" si="321"/>
        <v>0</v>
      </c>
      <c r="N68">
        <f t="shared" si="322"/>
        <v>0</v>
      </c>
      <c r="O68">
        <f t="shared" si="323"/>
        <v>0</v>
      </c>
      <c r="P68">
        <f t="shared" si="324"/>
        <v>0</v>
      </c>
      <c r="Q68">
        <f t="shared" si="325"/>
        <v>0</v>
      </c>
      <c r="R68">
        <f t="shared" si="326"/>
        <v>0</v>
      </c>
      <c r="S68">
        <f t="shared" si="327"/>
        <v>0</v>
      </c>
      <c r="U68" t="s">
        <v>1308</v>
      </c>
      <c r="V68">
        <f>_xlfn.XLOOKUP(U68,'KPI Impacts'!$B$2:$H$2,'KPI Impacts'!$B68:$H68)</f>
        <v>6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8"/>
        <v>0</v>
      </c>
      <c r="BJ68" s="12">
        <f t="shared" si="329"/>
        <v>0</v>
      </c>
      <c r="BK68" s="12">
        <f t="shared" si="330"/>
        <v>0</v>
      </c>
      <c r="BL68" s="12">
        <f t="shared" si="331"/>
        <v>0</v>
      </c>
      <c r="BM68" s="12">
        <f t="shared" si="332"/>
        <v>0</v>
      </c>
      <c r="BN68" s="12">
        <f t="shared" si="333"/>
        <v>0</v>
      </c>
      <c r="BO68" s="12">
        <f t="shared" si="334"/>
        <v>0</v>
      </c>
      <c r="BP68" s="12">
        <f t="shared" si="335"/>
        <v>0</v>
      </c>
      <c r="BQ68" s="12">
        <f t="shared" si="336"/>
        <v>0</v>
      </c>
      <c r="BS68" s="16" t="s">
        <v>1303</v>
      </c>
      <c r="BT68">
        <f>_xlfn.XLOOKUP(BS68,'KPI Impacts'!$B$2:$H$2,'KPI Impacts'!$B68:$H68)</f>
        <v>0</v>
      </c>
      <c r="BU68" s="35" t="s">
        <v>1303</v>
      </c>
      <c r="BV68">
        <f>_xlfn.XLOOKUP(BU68,'KPI Impacts'!$B$2:$H$2,'KPI Impacts'!$B68:$H68)</f>
        <v>0</v>
      </c>
      <c r="BY68" s="12">
        <f t="shared" si="337"/>
        <v>0</v>
      </c>
      <c r="BZ68" s="12">
        <f t="shared" si="338"/>
        <v>0</v>
      </c>
      <c r="CA68" s="12">
        <f t="shared" si="339"/>
        <v>0</v>
      </c>
      <c r="CB68" s="12">
        <f t="shared" si="340"/>
        <v>0</v>
      </c>
      <c r="CC68" s="12">
        <f t="shared" si="341"/>
        <v>0</v>
      </c>
      <c r="CD68" s="12">
        <f t="shared" si="342"/>
        <v>0</v>
      </c>
      <c r="CE68" s="12">
        <f t="shared" si="343"/>
        <v>0</v>
      </c>
      <c r="CF68" s="12">
        <f t="shared" si="344"/>
        <v>0</v>
      </c>
      <c r="CG68" s="12">
        <f t="shared" si="345"/>
        <v>0</v>
      </c>
      <c r="CI68" s="30" t="s">
        <v>1309</v>
      </c>
      <c r="CJ68">
        <f>_xlfn.XLOOKUP(CI68,'KPI Impacts'!$B$2:$H$2,'KPI Impacts'!$B68:$H68)</f>
        <v>4</v>
      </c>
      <c r="CK68" s="9" t="s">
        <v>1303</v>
      </c>
      <c r="CL68">
        <f>_xlfn.XLOOKUP(CK68,'KPI Impacts'!$B$2:$H$2,'KPI Impacts'!$B68:$H68)</f>
        <v>0</v>
      </c>
      <c r="CO68" s="12">
        <f t="shared" si="346"/>
        <v>0</v>
      </c>
      <c r="CP68" s="12">
        <f t="shared" si="347"/>
        <v>0</v>
      </c>
      <c r="CQ68" s="12">
        <f t="shared" si="348"/>
        <v>0</v>
      </c>
      <c r="CR68" s="12">
        <f t="shared" si="349"/>
        <v>0</v>
      </c>
      <c r="CS68" s="12">
        <f t="shared" si="350"/>
        <v>0</v>
      </c>
      <c r="CT68" s="12">
        <f t="shared" si="351"/>
        <v>0</v>
      </c>
      <c r="CU68" s="12">
        <f t="shared" si="352"/>
        <v>0</v>
      </c>
      <c r="CV68" s="12">
        <f t="shared" si="353"/>
        <v>0</v>
      </c>
      <c r="CW68" s="12">
        <f t="shared" si="354"/>
        <v>0</v>
      </c>
      <c r="CY68" s="30" t="s">
        <v>1307</v>
      </c>
      <c r="CZ68">
        <f>_xlfn.XLOOKUP(CY68,'KPI Impacts'!$B$2:$H$2,'KPI Impacts'!$B68:$H68)</f>
        <v>2</v>
      </c>
      <c r="DA68" s="35" t="s">
        <v>1303</v>
      </c>
      <c r="DB68">
        <f>_xlfn.XLOOKUP(DA68,'KPI Impacts'!$B$2:$H$2,'KPI Impacts'!$B68:$H68)</f>
        <v>0</v>
      </c>
      <c r="DE68" s="12">
        <f t="shared" si="355"/>
        <v>0</v>
      </c>
      <c r="DF68" s="12">
        <f t="shared" si="356"/>
        <v>0</v>
      </c>
      <c r="DG68" s="12">
        <f t="shared" si="357"/>
        <v>0</v>
      </c>
      <c r="DH68" s="12">
        <f t="shared" si="358"/>
        <v>0</v>
      </c>
      <c r="DI68" s="12">
        <f t="shared" si="359"/>
        <v>0</v>
      </c>
      <c r="DJ68" s="12">
        <f t="shared" si="360"/>
        <v>0</v>
      </c>
      <c r="DK68" s="12">
        <f t="shared" si="361"/>
        <v>0</v>
      </c>
      <c r="DL68" s="12">
        <f t="shared" si="362"/>
        <v>0</v>
      </c>
      <c r="DM68" s="12">
        <f t="shared" si="363"/>
        <v>0</v>
      </c>
      <c r="DO68" s="30" t="s">
        <v>1307</v>
      </c>
      <c r="DP68">
        <f>_xlfn.XLOOKUP(DO68,'KPI Impacts'!$B$2:$H$2,'KPI Impacts'!$B68:$H68)</f>
        <v>2</v>
      </c>
      <c r="DQ68" s="35" t="s">
        <v>1303</v>
      </c>
      <c r="DR68">
        <f>_xlfn.XLOOKUP(DQ68,'KPI Impacts'!$B$2:$H$2,'KPI Impacts'!$B68:$H68)</f>
        <v>0</v>
      </c>
      <c r="DU68" s="12">
        <f t="shared" si="364"/>
        <v>0</v>
      </c>
      <c r="DV68" s="12">
        <f t="shared" si="365"/>
        <v>0</v>
      </c>
      <c r="DW68" s="12">
        <f t="shared" si="366"/>
        <v>0</v>
      </c>
      <c r="DX68" s="12">
        <f t="shared" si="367"/>
        <v>0</v>
      </c>
      <c r="DY68" s="12">
        <f t="shared" si="368"/>
        <v>0</v>
      </c>
      <c r="DZ68" s="12">
        <f t="shared" si="369"/>
        <v>0</v>
      </c>
      <c r="EA68" s="12">
        <f t="shared" si="370"/>
        <v>0</v>
      </c>
      <c r="EB68" s="12">
        <f t="shared" si="371"/>
        <v>0</v>
      </c>
      <c r="EC68" s="12">
        <f t="shared" si="372"/>
        <v>0</v>
      </c>
      <c r="EE68" s="30" t="s">
        <v>1309</v>
      </c>
      <c r="EF68">
        <f>_xlfn.XLOOKUP(EE68,'KPI Impacts'!$B$2:$H$2,'KPI Impacts'!$B68:$H68)</f>
        <v>4</v>
      </c>
      <c r="EG68" s="35" t="s">
        <v>1303</v>
      </c>
      <c r="EH68">
        <f>_xlfn.XLOOKUP(EG68,'KPI Impacts'!$B$2:$H$2,'KPI Impacts'!$B68:$H68)</f>
        <v>0</v>
      </c>
      <c r="EK68" s="12">
        <f t="shared" si="373"/>
        <v>0</v>
      </c>
      <c r="EL68" s="12">
        <f t="shared" si="374"/>
        <v>0</v>
      </c>
      <c r="EM68" s="12">
        <f t="shared" si="375"/>
        <v>0</v>
      </c>
      <c r="EN68" s="12">
        <f t="shared" si="376"/>
        <v>0</v>
      </c>
      <c r="EO68" s="12">
        <f t="shared" si="377"/>
        <v>0</v>
      </c>
      <c r="EP68" s="12">
        <f t="shared" si="378"/>
        <v>0</v>
      </c>
      <c r="EQ68" s="12">
        <f t="shared" si="379"/>
        <v>0</v>
      </c>
      <c r="ER68" s="12">
        <f t="shared" si="380"/>
        <v>0</v>
      </c>
      <c r="ES68" s="12">
        <f t="shared" si="381"/>
        <v>0</v>
      </c>
      <c r="EU68" s="30" t="s">
        <v>1307</v>
      </c>
      <c r="EV68">
        <f>_xlfn.XLOOKUP(EU68,'KPI Impacts'!$B$2:$H$2,'KPI Impacts'!$B68:$H68)</f>
        <v>2</v>
      </c>
      <c r="EW68" s="35" t="s">
        <v>1303</v>
      </c>
      <c r="EX68">
        <f>_xlfn.XLOOKUP(EW68,'KPI Impacts'!$B$2:$H$2,'KPI Impacts'!$B68:$H68)</f>
        <v>0</v>
      </c>
      <c r="FA68" s="12">
        <f t="shared" si="382"/>
        <v>0</v>
      </c>
      <c r="FB68" s="12">
        <f t="shared" si="383"/>
        <v>0</v>
      </c>
      <c r="FC68" s="12">
        <f t="shared" si="384"/>
        <v>0</v>
      </c>
      <c r="FD68" s="12">
        <f t="shared" si="385"/>
        <v>0</v>
      </c>
      <c r="FE68" s="12">
        <f t="shared" si="386"/>
        <v>0</v>
      </c>
      <c r="FF68" s="12">
        <f t="shared" si="387"/>
        <v>0</v>
      </c>
      <c r="FG68" s="12">
        <f t="shared" si="388"/>
        <v>0</v>
      </c>
      <c r="FH68" s="12">
        <f t="shared" si="389"/>
        <v>0</v>
      </c>
      <c r="FI68" s="12">
        <f t="shared" si="390"/>
        <v>0</v>
      </c>
      <c r="FK68" s="30" t="s">
        <v>1309</v>
      </c>
      <c r="FL68">
        <f>_xlfn.XLOOKUP(FK68,'KPI Impacts'!$B$2:$H$2,'KPI Impacts'!$B68:$H68)</f>
        <v>4</v>
      </c>
      <c r="FM68" s="35" t="s">
        <v>1303</v>
      </c>
      <c r="FN68">
        <f>_xlfn.XLOOKUP(FM68,'KPI Impacts'!$B$2:$H$2,'KPI Impacts'!$B68:$H68)</f>
        <v>0</v>
      </c>
      <c r="FQ68" s="12">
        <f t="shared" si="391"/>
        <v>0</v>
      </c>
      <c r="FR68" s="12">
        <f t="shared" si="392"/>
        <v>0</v>
      </c>
      <c r="FS68" s="12">
        <f t="shared" si="393"/>
        <v>0</v>
      </c>
      <c r="FT68" s="12">
        <f t="shared" si="394"/>
        <v>0</v>
      </c>
      <c r="FU68" s="12">
        <f t="shared" si="395"/>
        <v>0</v>
      </c>
      <c r="FV68" s="12">
        <f t="shared" si="396"/>
        <v>0</v>
      </c>
      <c r="FW68" s="12">
        <f t="shared" si="397"/>
        <v>0</v>
      </c>
      <c r="FX68" s="12">
        <f t="shared" si="398"/>
        <v>0</v>
      </c>
      <c r="FY68" s="12">
        <f t="shared" si="399"/>
        <v>0</v>
      </c>
      <c r="GA68" s="30" t="s">
        <v>1309</v>
      </c>
      <c r="GB68">
        <f>_xlfn.XLOOKUP(GA68,'KPI Impacts'!$B$2:$H$2,'KPI Impacts'!$B68:$H68)</f>
        <v>4</v>
      </c>
      <c r="GC68" s="35" t="s">
        <v>1303</v>
      </c>
      <c r="GD68">
        <f>_xlfn.XLOOKUP(GC68,'KPI Impacts'!$B$2:$H$2,'KPI Impacts'!$B68:$H68)</f>
        <v>0</v>
      </c>
      <c r="GG68" s="12">
        <f t="shared" si="400"/>
        <v>0</v>
      </c>
      <c r="GH68" s="12">
        <f t="shared" si="401"/>
        <v>0</v>
      </c>
      <c r="GI68" s="12">
        <f t="shared" si="402"/>
        <v>0</v>
      </c>
      <c r="GJ68" s="12">
        <f t="shared" si="403"/>
        <v>0</v>
      </c>
      <c r="GK68" s="12">
        <f t="shared" si="404"/>
        <v>0</v>
      </c>
      <c r="GL68" s="12">
        <f t="shared" si="405"/>
        <v>0</v>
      </c>
      <c r="GM68" s="12">
        <f t="shared" si="406"/>
        <v>0</v>
      </c>
      <c r="GN68" s="12">
        <f t="shared" si="407"/>
        <v>0</v>
      </c>
      <c r="GO68" s="12">
        <f t="shared" si="408"/>
        <v>0</v>
      </c>
      <c r="GQ68" s="16" t="s">
        <v>1303</v>
      </c>
      <c r="GR68">
        <f>_xlfn.XLOOKUP(GQ68,'KPI Impacts'!$B$2:$H$2,'KPI Impacts'!$B68:$H68)</f>
        <v>0</v>
      </c>
      <c r="GS68" s="35" t="s">
        <v>1303</v>
      </c>
      <c r="GT68">
        <f>_xlfn.XLOOKUP(GS68,'KPI Impacts'!$B$2:$H$2,'KPI Impacts'!$B68:$H68)</f>
        <v>0</v>
      </c>
      <c r="GW68" s="12">
        <f t="shared" si="409"/>
        <v>0</v>
      </c>
      <c r="GX68" s="12">
        <f t="shared" si="410"/>
        <v>0</v>
      </c>
      <c r="GY68" s="12">
        <f t="shared" si="411"/>
        <v>0</v>
      </c>
      <c r="GZ68" s="12">
        <f t="shared" si="412"/>
        <v>0</v>
      </c>
      <c r="HA68" s="12">
        <f t="shared" si="413"/>
        <v>0</v>
      </c>
      <c r="HB68" s="12">
        <f t="shared" si="414"/>
        <v>0</v>
      </c>
      <c r="HC68" s="12">
        <f t="shared" si="415"/>
        <v>0</v>
      </c>
      <c r="HD68" s="12">
        <f t="shared" si="416"/>
        <v>0</v>
      </c>
      <c r="HE68" s="12">
        <f t="shared" si="417"/>
        <v>0</v>
      </c>
      <c r="HG68" s="30" t="s">
        <v>1307</v>
      </c>
      <c r="HH68">
        <f>_xlfn.XLOOKUP(HG68,'KPI Impacts'!$B$2:$H$2,'KPI Impacts'!$B68:$H68)</f>
        <v>2</v>
      </c>
      <c r="HI68" s="35" t="s">
        <v>1303</v>
      </c>
      <c r="HJ68">
        <f>_xlfn.XLOOKUP(HI68,'KPI Impacts'!$B$2:$H$2,'KPI Impacts'!$B68:$H68)</f>
        <v>0</v>
      </c>
      <c r="HM68" s="12">
        <f t="shared" si="418"/>
        <v>0</v>
      </c>
      <c r="HN68" s="12">
        <f t="shared" si="419"/>
        <v>0</v>
      </c>
      <c r="HO68" s="12">
        <f t="shared" si="420"/>
        <v>0</v>
      </c>
      <c r="HP68" s="12">
        <f t="shared" si="421"/>
        <v>0</v>
      </c>
      <c r="HQ68" s="12">
        <f t="shared" si="422"/>
        <v>0</v>
      </c>
      <c r="HR68" s="12">
        <f t="shared" si="423"/>
        <v>0</v>
      </c>
      <c r="HS68" s="12">
        <f t="shared" si="424"/>
        <v>0</v>
      </c>
      <c r="HT68" s="12">
        <f t="shared" si="425"/>
        <v>0</v>
      </c>
      <c r="HU68" s="12">
        <f t="shared" si="426"/>
        <v>0</v>
      </c>
      <c r="HW68" s="30" t="s">
        <v>1307</v>
      </c>
      <c r="HX68">
        <f>_xlfn.XLOOKUP(HW68,'KPI Impacts'!$B$2:$H$2,'KPI Impacts'!$B68:$H68)</f>
        <v>2</v>
      </c>
      <c r="HY68" s="35" t="s">
        <v>1303</v>
      </c>
      <c r="HZ68">
        <f>_xlfn.XLOOKUP(HY68,'KPI Impacts'!$B$2:$H$2,'KPI Impacts'!$B68:$H68)</f>
        <v>0</v>
      </c>
      <c r="IC68" s="12">
        <f t="shared" si="427"/>
        <v>0</v>
      </c>
      <c r="ID68" s="12">
        <f t="shared" si="428"/>
        <v>0</v>
      </c>
      <c r="IE68" s="12">
        <f t="shared" si="429"/>
        <v>0</v>
      </c>
      <c r="IF68" s="12">
        <f t="shared" si="430"/>
        <v>0</v>
      </c>
      <c r="IG68" s="12">
        <f t="shared" si="431"/>
        <v>0</v>
      </c>
      <c r="IH68" s="12">
        <f t="shared" si="432"/>
        <v>0</v>
      </c>
      <c r="II68" s="12">
        <f t="shared" si="433"/>
        <v>0</v>
      </c>
      <c r="IJ68" s="12">
        <f t="shared" si="434"/>
        <v>0</v>
      </c>
      <c r="IK68" s="12">
        <f t="shared" si="435"/>
        <v>0</v>
      </c>
      <c r="IM68" s="30" t="s">
        <v>1307</v>
      </c>
      <c r="IN68">
        <f>_xlfn.XLOOKUP(IM68,'KPI Impacts'!$B$2:$H$2,'KPI Impacts'!$B68:$H68)</f>
        <v>2</v>
      </c>
      <c r="IO68" s="35" t="s">
        <v>1303</v>
      </c>
      <c r="IP68">
        <f>_xlfn.XLOOKUP(IO68,'KPI Impacts'!$B$2:$H$2,'KPI Impacts'!$B68:$H68)</f>
        <v>0</v>
      </c>
      <c r="IS68" s="12">
        <f t="shared" si="436"/>
        <v>0</v>
      </c>
      <c r="IT68" s="12">
        <f t="shared" si="437"/>
        <v>0</v>
      </c>
      <c r="IU68" s="12">
        <f t="shared" si="438"/>
        <v>0</v>
      </c>
      <c r="IV68" s="12">
        <f t="shared" si="439"/>
        <v>0</v>
      </c>
      <c r="IW68" s="12">
        <f t="shared" si="440"/>
        <v>0</v>
      </c>
      <c r="IX68" s="12">
        <f t="shared" si="441"/>
        <v>0</v>
      </c>
      <c r="IY68" s="12">
        <f t="shared" si="442"/>
        <v>0</v>
      </c>
      <c r="IZ68" s="12">
        <f t="shared" si="443"/>
        <v>0</v>
      </c>
      <c r="JA68" s="12">
        <f t="shared" si="444"/>
        <v>0</v>
      </c>
      <c r="JC68" s="30" t="s">
        <v>1309</v>
      </c>
      <c r="JD68">
        <f>_xlfn.XLOOKUP(JC68,'KPI Impacts'!$B$2:$H$2,'KPI Impacts'!$B68:$H68)</f>
        <v>4</v>
      </c>
      <c r="JE68" s="35" t="s">
        <v>1303</v>
      </c>
      <c r="JF68">
        <f>_xlfn.XLOOKUP(JE68,'KPI Impacts'!$B$2:$H$2,'KPI Impacts'!$B68:$H68)</f>
        <v>0</v>
      </c>
      <c r="JI68" s="12">
        <f t="shared" si="445"/>
        <v>0</v>
      </c>
      <c r="JJ68" s="12">
        <f t="shared" si="446"/>
        <v>0</v>
      </c>
      <c r="JK68" s="12">
        <f t="shared" si="447"/>
        <v>0</v>
      </c>
      <c r="JL68" s="12">
        <f t="shared" si="448"/>
        <v>0</v>
      </c>
      <c r="JM68" s="12">
        <f t="shared" si="449"/>
        <v>0</v>
      </c>
      <c r="JN68" s="12">
        <f t="shared" si="450"/>
        <v>0</v>
      </c>
      <c r="JO68" s="12">
        <f t="shared" si="451"/>
        <v>0</v>
      </c>
      <c r="JP68" s="12">
        <f t="shared" si="452"/>
        <v>0</v>
      </c>
      <c r="JQ68" s="12">
        <f t="shared" si="453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54"/>
        <v>0</v>
      </c>
      <c r="JZ68" s="12">
        <f t="shared" si="455"/>
        <v>0</v>
      </c>
      <c r="KA68" s="12">
        <f t="shared" si="456"/>
        <v>0</v>
      </c>
      <c r="KB68" s="12">
        <f t="shared" si="457"/>
        <v>0</v>
      </c>
      <c r="KC68" s="12">
        <f t="shared" si="458"/>
        <v>0</v>
      </c>
      <c r="KD68" s="12">
        <f t="shared" si="459"/>
        <v>0</v>
      </c>
      <c r="KE68" s="12">
        <f t="shared" si="460"/>
        <v>0</v>
      </c>
      <c r="KF68" s="12">
        <f t="shared" si="461"/>
        <v>0</v>
      </c>
      <c r="KG68" s="12">
        <f t="shared" si="462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63"/>
        <v>0</v>
      </c>
      <c r="KP68" s="12">
        <f t="shared" si="464"/>
        <v>0</v>
      </c>
      <c r="KQ68" s="12">
        <f t="shared" si="465"/>
        <v>0</v>
      </c>
      <c r="KR68" s="12">
        <f t="shared" si="466"/>
        <v>0</v>
      </c>
      <c r="KS68" s="12">
        <f t="shared" si="467"/>
        <v>0</v>
      </c>
      <c r="KT68" s="12">
        <f t="shared" si="468"/>
        <v>0</v>
      </c>
      <c r="KU68" s="12">
        <f t="shared" si="469"/>
        <v>0</v>
      </c>
      <c r="KV68" s="12">
        <f t="shared" si="470"/>
        <v>0</v>
      </c>
      <c r="KW68" s="12">
        <f t="shared" si="471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72"/>
        <v>0</v>
      </c>
      <c r="LF68" s="12">
        <f t="shared" si="473"/>
        <v>0</v>
      </c>
      <c r="LG68" s="12">
        <f t="shared" si="474"/>
        <v>0</v>
      </c>
      <c r="LH68" s="12">
        <f t="shared" si="475"/>
        <v>0</v>
      </c>
      <c r="LI68" s="12">
        <f t="shared" si="476"/>
        <v>0</v>
      </c>
      <c r="LJ68" s="12">
        <f t="shared" si="477"/>
        <v>0</v>
      </c>
      <c r="LK68" s="12">
        <f t="shared" si="478"/>
        <v>0</v>
      </c>
      <c r="LL68" s="12">
        <f t="shared" si="479"/>
        <v>0</v>
      </c>
      <c r="LM68" s="12">
        <f t="shared" si="480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81"/>
        <v>0</v>
      </c>
      <c r="LV68" s="12">
        <f t="shared" si="482"/>
        <v>0</v>
      </c>
      <c r="LW68" s="12">
        <f t="shared" si="483"/>
        <v>0</v>
      </c>
      <c r="LX68" s="12">
        <f t="shared" si="484"/>
        <v>0</v>
      </c>
      <c r="LY68" s="12">
        <f t="shared" si="485"/>
        <v>0</v>
      </c>
      <c r="LZ68" s="12">
        <f t="shared" si="486"/>
        <v>0</v>
      </c>
      <c r="MA68" s="12">
        <f t="shared" si="487"/>
        <v>0</v>
      </c>
      <c r="MB68" s="12">
        <f t="shared" si="488"/>
        <v>0</v>
      </c>
      <c r="MC68" s="12">
        <f t="shared" si="489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90"/>
        <v>0</v>
      </c>
      <c r="ML68" s="12">
        <f t="shared" si="491"/>
        <v>0</v>
      </c>
      <c r="MM68" s="12">
        <f t="shared" si="492"/>
        <v>0</v>
      </c>
      <c r="MN68" s="12">
        <f t="shared" si="493"/>
        <v>0</v>
      </c>
      <c r="MO68" s="12">
        <f t="shared" si="494"/>
        <v>0</v>
      </c>
      <c r="MP68" s="12">
        <f t="shared" si="495"/>
        <v>0</v>
      </c>
      <c r="MQ68" s="12">
        <f t="shared" si="496"/>
        <v>0</v>
      </c>
      <c r="MR68" s="12">
        <f t="shared" si="497"/>
        <v>0</v>
      </c>
      <c r="MS68" s="12">
        <f t="shared" si="498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9"/>
        <v>0</v>
      </c>
      <c r="NB68" s="12">
        <f t="shared" si="500"/>
        <v>0</v>
      </c>
      <c r="NC68" s="12">
        <f t="shared" si="501"/>
        <v>0</v>
      </c>
      <c r="ND68" s="12">
        <f t="shared" si="502"/>
        <v>0</v>
      </c>
      <c r="NE68" s="12">
        <f t="shared" si="503"/>
        <v>0</v>
      </c>
      <c r="NF68" s="12">
        <f t="shared" si="504"/>
        <v>0</v>
      </c>
      <c r="NG68" s="12">
        <f t="shared" si="505"/>
        <v>0</v>
      </c>
      <c r="NH68" s="12">
        <f t="shared" si="506"/>
        <v>0</v>
      </c>
      <c r="NI68" s="12">
        <f t="shared" si="507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8"/>
        <v>0</v>
      </c>
      <c r="NR68" s="12">
        <f t="shared" si="509"/>
        <v>0</v>
      </c>
      <c r="NS68" s="12">
        <f t="shared" si="510"/>
        <v>0</v>
      </c>
      <c r="NT68" s="12">
        <f t="shared" si="511"/>
        <v>0</v>
      </c>
      <c r="NU68" s="12">
        <f t="shared" si="512"/>
        <v>0</v>
      </c>
      <c r="NV68" s="12">
        <f t="shared" si="513"/>
        <v>0</v>
      </c>
      <c r="NW68" s="12">
        <f t="shared" si="514"/>
        <v>0</v>
      </c>
      <c r="NX68" s="12">
        <f t="shared" si="515"/>
        <v>0</v>
      </c>
      <c r="NY68" s="12">
        <f t="shared" si="516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7"/>
        <v>0</v>
      </c>
      <c r="OH68" s="12">
        <f t="shared" si="518"/>
        <v>0</v>
      </c>
      <c r="OI68" s="12">
        <f t="shared" si="519"/>
        <v>0</v>
      </c>
      <c r="OJ68" s="12">
        <f t="shared" si="520"/>
        <v>0</v>
      </c>
      <c r="OK68" s="12">
        <f t="shared" si="521"/>
        <v>0</v>
      </c>
      <c r="OL68" s="12">
        <f t="shared" si="522"/>
        <v>0</v>
      </c>
      <c r="OM68" s="12">
        <f t="shared" si="523"/>
        <v>0</v>
      </c>
      <c r="ON68" s="12">
        <f t="shared" si="524"/>
        <v>0</v>
      </c>
      <c r="OO68" s="12">
        <f t="shared" si="525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9"/>
        <v>0</v>
      </c>
      <c r="C69" s="12">
        <f t="shared" si="319"/>
        <v>0</v>
      </c>
      <c r="D69" s="12">
        <f t="shared" si="319"/>
        <v>0</v>
      </c>
      <c r="E69" s="12">
        <f t="shared" si="319"/>
        <v>0</v>
      </c>
      <c r="F69" s="12">
        <f t="shared" si="319"/>
        <v>0</v>
      </c>
      <c r="G69" s="12">
        <f t="shared" si="319"/>
        <v>0</v>
      </c>
      <c r="H69" s="12">
        <f t="shared" si="319"/>
        <v>0</v>
      </c>
      <c r="I69" s="12">
        <f t="shared" si="320"/>
        <v>0</v>
      </c>
      <c r="J69" s="12">
        <f t="shared" si="320"/>
        <v>0</v>
      </c>
      <c r="M69">
        <f t="shared" si="321"/>
        <v>0</v>
      </c>
      <c r="N69">
        <f t="shared" si="322"/>
        <v>0</v>
      </c>
      <c r="O69">
        <f t="shared" si="323"/>
        <v>0</v>
      </c>
      <c r="P69">
        <f t="shared" si="324"/>
        <v>0</v>
      </c>
      <c r="Q69">
        <f t="shared" si="325"/>
        <v>0</v>
      </c>
      <c r="R69">
        <f t="shared" si="326"/>
        <v>0</v>
      </c>
      <c r="S69">
        <f t="shared" si="327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8"/>
        <v>0</v>
      </c>
      <c r="BJ69" s="12">
        <f t="shared" si="329"/>
        <v>0</v>
      </c>
      <c r="BK69" s="12">
        <f t="shared" si="330"/>
        <v>0</v>
      </c>
      <c r="BL69" s="12">
        <f t="shared" si="331"/>
        <v>0</v>
      </c>
      <c r="BM69" s="12">
        <f t="shared" si="332"/>
        <v>0</v>
      </c>
      <c r="BN69" s="12">
        <f t="shared" si="333"/>
        <v>0</v>
      </c>
      <c r="BO69" s="12">
        <f t="shared" si="334"/>
        <v>0</v>
      </c>
      <c r="BP69" s="12">
        <f t="shared" si="335"/>
        <v>0</v>
      </c>
      <c r="BQ69" s="12">
        <f t="shared" si="336"/>
        <v>0</v>
      </c>
      <c r="BS69" s="30" t="s">
        <v>1307</v>
      </c>
      <c r="BT69">
        <f>_xlfn.XLOOKUP(BS69,'KPI Impacts'!$B$2:$H$2,'KPI Impacts'!$B69:$H69)</f>
        <v>2</v>
      </c>
      <c r="BU69" s="35" t="s">
        <v>1303</v>
      </c>
      <c r="BV69">
        <f>_xlfn.XLOOKUP(BU69,'KPI Impacts'!$B$2:$H$2,'KPI Impacts'!$B69:$H69)</f>
        <v>0</v>
      </c>
      <c r="BY69" s="12">
        <f t="shared" si="337"/>
        <v>0</v>
      </c>
      <c r="BZ69" s="12">
        <f t="shared" si="338"/>
        <v>0</v>
      </c>
      <c r="CA69" s="12">
        <f t="shared" si="339"/>
        <v>0</v>
      </c>
      <c r="CB69" s="12">
        <f t="shared" si="340"/>
        <v>0</v>
      </c>
      <c r="CC69" s="12">
        <f t="shared" si="341"/>
        <v>0</v>
      </c>
      <c r="CD69" s="12">
        <f t="shared" si="342"/>
        <v>0</v>
      </c>
      <c r="CE69" s="12">
        <f t="shared" si="343"/>
        <v>0</v>
      </c>
      <c r="CF69" s="12">
        <f t="shared" si="344"/>
        <v>0</v>
      </c>
      <c r="CG69" s="12">
        <f t="shared" si="345"/>
        <v>0</v>
      </c>
      <c r="CI69" s="30" t="s">
        <v>1309</v>
      </c>
      <c r="CJ69">
        <f>_xlfn.XLOOKUP(CI69,'KPI Impacts'!$B$2:$H$2,'KPI Impacts'!$B69:$H69)</f>
        <v>4</v>
      </c>
      <c r="CK69" s="9" t="s">
        <v>1303</v>
      </c>
      <c r="CL69">
        <f>_xlfn.XLOOKUP(CK69,'KPI Impacts'!$B$2:$H$2,'KPI Impacts'!$B69:$H69)</f>
        <v>0</v>
      </c>
      <c r="CO69" s="12">
        <f t="shared" si="346"/>
        <v>0</v>
      </c>
      <c r="CP69" s="12">
        <f t="shared" si="347"/>
        <v>0</v>
      </c>
      <c r="CQ69" s="12">
        <f t="shared" si="348"/>
        <v>0</v>
      </c>
      <c r="CR69" s="12">
        <f t="shared" si="349"/>
        <v>0</v>
      </c>
      <c r="CS69" s="12">
        <f t="shared" si="350"/>
        <v>0</v>
      </c>
      <c r="CT69" s="12">
        <f t="shared" si="351"/>
        <v>0</v>
      </c>
      <c r="CU69" s="12">
        <f t="shared" si="352"/>
        <v>0</v>
      </c>
      <c r="CV69" s="12">
        <f t="shared" si="353"/>
        <v>0</v>
      </c>
      <c r="CW69" s="12">
        <f t="shared" si="354"/>
        <v>0</v>
      </c>
      <c r="CY69" s="30" t="s">
        <v>1308</v>
      </c>
      <c r="CZ69">
        <f>_xlfn.XLOOKUP(CY69,'KPI Impacts'!$B$2:$H$2,'KPI Impacts'!$B69:$H69)</f>
        <v>6</v>
      </c>
      <c r="DA69" s="35" t="s">
        <v>1303</v>
      </c>
      <c r="DB69">
        <f>_xlfn.XLOOKUP(DA69,'KPI Impacts'!$B$2:$H$2,'KPI Impacts'!$B69:$H69)</f>
        <v>0</v>
      </c>
      <c r="DE69" s="12">
        <f t="shared" si="355"/>
        <v>0</v>
      </c>
      <c r="DF69" s="12">
        <f t="shared" si="356"/>
        <v>0</v>
      </c>
      <c r="DG69" s="12">
        <f t="shared" si="357"/>
        <v>0</v>
      </c>
      <c r="DH69" s="12">
        <f t="shared" si="358"/>
        <v>0</v>
      </c>
      <c r="DI69" s="12">
        <f t="shared" si="359"/>
        <v>0</v>
      </c>
      <c r="DJ69" s="12">
        <f t="shared" si="360"/>
        <v>0</v>
      </c>
      <c r="DK69" s="12">
        <f t="shared" si="361"/>
        <v>0</v>
      </c>
      <c r="DL69" s="12">
        <f t="shared" si="362"/>
        <v>0</v>
      </c>
      <c r="DM69" s="12">
        <f t="shared" si="363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64"/>
        <v>0</v>
      </c>
      <c r="DV69" s="12">
        <f t="shared" si="365"/>
        <v>0</v>
      </c>
      <c r="DW69" s="12">
        <f t="shared" si="366"/>
        <v>0</v>
      </c>
      <c r="DX69" s="12">
        <f t="shared" si="367"/>
        <v>0</v>
      </c>
      <c r="DY69" s="12">
        <f t="shared" si="368"/>
        <v>0</v>
      </c>
      <c r="DZ69" s="12">
        <f t="shared" si="369"/>
        <v>0</v>
      </c>
      <c r="EA69" s="12">
        <f t="shared" si="370"/>
        <v>0</v>
      </c>
      <c r="EB69" s="12">
        <f t="shared" si="371"/>
        <v>0</v>
      </c>
      <c r="EC69" s="12">
        <f t="shared" si="372"/>
        <v>0</v>
      </c>
      <c r="EE69" s="16" t="s">
        <v>1303</v>
      </c>
      <c r="EF69">
        <f>_xlfn.XLOOKUP(EE69,'KPI Impacts'!$B$2:$H$2,'KPI Impacts'!$B69:$H69)</f>
        <v>0</v>
      </c>
      <c r="EG69" s="35" t="s">
        <v>1303</v>
      </c>
      <c r="EH69">
        <f>_xlfn.XLOOKUP(EG69,'KPI Impacts'!$B$2:$H$2,'KPI Impacts'!$B69:$H69)</f>
        <v>0</v>
      </c>
      <c r="EK69" s="12">
        <f t="shared" si="373"/>
        <v>0</v>
      </c>
      <c r="EL69" s="12">
        <f t="shared" si="374"/>
        <v>0</v>
      </c>
      <c r="EM69" s="12">
        <f t="shared" si="375"/>
        <v>0</v>
      </c>
      <c r="EN69" s="12">
        <f t="shared" si="376"/>
        <v>0</v>
      </c>
      <c r="EO69" s="12">
        <f t="shared" si="377"/>
        <v>0</v>
      </c>
      <c r="EP69" s="12">
        <f t="shared" si="378"/>
        <v>0</v>
      </c>
      <c r="EQ69" s="12">
        <f t="shared" si="379"/>
        <v>0</v>
      </c>
      <c r="ER69" s="12">
        <f t="shared" si="380"/>
        <v>0</v>
      </c>
      <c r="ES69" s="12">
        <f t="shared" si="381"/>
        <v>0</v>
      </c>
      <c r="EU69" s="30" t="s">
        <v>1308</v>
      </c>
      <c r="EV69">
        <f>_xlfn.XLOOKUP(EU69,'KPI Impacts'!$B$2:$H$2,'KPI Impacts'!$B69:$H69)</f>
        <v>6</v>
      </c>
      <c r="EW69" s="35" t="s">
        <v>1303</v>
      </c>
      <c r="EX69">
        <f>_xlfn.XLOOKUP(EW69,'KPI Impacts'!$B$2:$H$2,'KPI Impacts'!$B69:$H69)</f>
        <v>0</v>
      </c>
      <c r="FA69" s="12">
        <f t="shared" si="382"/>
        <v>0</v>
      </c>
      <c r="FB69" s="12">
        <f t="shared" si="383"/>
        <v>0</v>
      </c>
      <c r="FC69" s="12">
        <f t="shared" si="384"/>
        <v>0</v>
      </c>
      <c r="FD69" s="12">
        <f t="shared" si="385"/>
        <v>0</v>
      </c>
      <c r="FE69" s="12">
        <f t="shared" si="386"/>
        <v>0</v>
      </c>
      <c r="FF69" s="12">
        <f t="shared" si="387"/>
        <v>0</v>
      </c>
      <c r="FG69" s="12">
        <f t="shared" si="388"/>
        <v>0</v>
      </c>
      <c r="FH69" s="12">
        <f t="shared" si="389"/>
        <v>0</v>
      </c>
      <c r="FI69" s="12">
        <f t="shared" si="390"/>
        <v>0</v>
      </c>
      <c r="FK69" s="29" t="s">
        <v>1304</v>
      </c>
      <c r="FL69">
        <f>_xlfn.XLOOKUP(FK69,'KPI Impacts'!$B$2:$H$2,'KPI Impacts'!$B69:$H69)</f>
        <v>-1.6</v>
      </c>
      <c r="FM69" s="35" t="s">
        <v>1303</v>
      </c>
      <c r="FN69">
        <f>_xlfn.XLOOKUP(FM69,'KPI Impacts'!$B$2:$H$2,'KPI Impacts'!$B69:$H69)</f>
        <v>0</v>
      </c>
      <c r="FQ69" s="12">
        <f t="shared" si="391"/>
        <v>0</v>
      </c>
      <c r="FR69" s="12">
        <f t="shared" si="392"/>
        <v>0</v>
      </c>
      <c r="FS69" s="12">
        <f t="shared" si="393"/>
        <v>0</v>
      </c>
      <c r="FT69" s="12">
        <f t="shared" si="394"/>
        <v>0</v>
      </c>
      <c r="FU69" s="12">
        <f t="shared" si="395"/>
        <v>0</v>
      </c>
      <c r="FV69" s="12">
        <f t="shared" si="396"/>
        <v>0</v>
      </c>
      <c r="FW69" s="12">
        <f t="shared" si="397"/>
        <v>0</v>
      </c>
      <c r="FX69" s="12">
        <f t="shared" si="398"/>
        <v>0</v>
      </c>
      <c r="FY69" s="12">
        <f t="shared" si="399"/>
        <v>0</v>
      </c>
      <c r="GA69" s="30" t="s">
        <v>1307</v>
      </c>
      <c r="GB69">
        <f>_xlfn.XLOOKUP(GA69,'KPI Impacts'!$B$2:$H$2,'KPI Impacts'!$B69:$H69)</f>
        <v>2</v>
      </c>
      <c r="GC69" s="35" t="s">
        <v>1303</v>
      </c>
      <c r="GD69">
        <f>_xlfn.XLOOKUP(GC69,'KPI Impacts'!$B$2:$H$2,'KPI Impacts'!$B69:$H69)</f>
        <v>0</v>
      </c>
      <c r="GG69" s="12">
        <f t="shared" si="400"/>
        <v>0</v>
      </c>
      <c r="GH69" s="12">
        <f t="shared" si="401"/>
        <v>0</v>
      </c>
      <c r="GI69" s="12">
        <f t="shared" si="402"/>
        <v>0</v>
      </c>
      <c r="GJ69" s="12">
        <f t="shared" si="403"/>
        <v>0</v>
      </c>
      <c r="GK69" s="12">
        <f t="shared" si="404"/>
        <v>0</v>
      </c>
      <c r="GL69" s="12">
        <f t="shared" si="405"/>
        <v>0</v>
      </c>
      <c r="GM69" s="12">
        <f t="shared" si="406"/>
        <v>0</v>
      </c>
      <c r="GN69" s="12">
        <f t="shared" si="407"/>
        <v>0</v>
      </c>
      <c r="GO69" s="12">
        <f t="shared" si="408"/>
        <v>0</v>
      </c>
      <c r="GQ69" s="16" t="s">
        <v>1303</v>
      </c>
      <c r="GR69">
        <f>_xlfn.XLOOKUP(GQ69,'KPI Impacts'!$B$2:$H$2,'KPI Impacts'!$B69:$H69)</f>
        <v>0</v>
      </c>
      <c r="GS69" s="35" t="s">
        <v>1303</v>
      </c>
      <c r="GT69">
        <f>_xlfn.XLOOKUP(GS69,'KPI Impacts'!$B$2:$H$2,'KPI Impacts'!$B69:$H69)</f>
        <v>0</v>
      </c>
      <c r="GW69" s="12">
        <f t="shared" si="409"/>
        <v>0</v>
      </c>
      <c r="GX69" s="12">
        <f t="shared" si="410"/>
        <v>0</v>
      </c>
      <c r="GY69" s="12">
        <f t="shared" si="411"/>
        <v>0</v>
      </c>
      <c r="GZ69" s="12">
        <f t="shared" si="412"/>
        <v>0</v>
      </c>
      <c r="HA69" s="12">
        <f t="shared" si="413"/>
        <v>0</v>
      </c>
      <c r="HB69" s="12">
        <f t="shared" si="414"/>
        <v>0</v>
      </c>
      <c r="HC69" s="12">
        <f t="shared" si="415"/>
        <v>0</v>
      </c>
      <c r="HD69" s="12">
        <f t="shared" si="416"/>
        <v>0</v>
      </c>
      <c r="HE69" s="12">
        <f t="shared" si="417"/>
        <v>0</v>
      </c>
      <c r="HG69" s="16" t="s">
        <v>1303</v>
      </c>
      <c r="HH69">
        <f>_xlfn.XLOOKUP(HG69,'KPI Impacts'!$B$2:$H$2,'KPI Impacts'!$B69:$H69)</f>
        <v>0</v>
      </c>
      <c r="HI69" s="35" t="s">
        <v>1303</v>
      </c>
      <c r="HJ69">
        <f>_xlfn.XLOOKUP(HI69,'KPI Impacts'!$B$2:$H$2,'KPI Impacts'!$B69:$H69)</f>
        <v>0</v>
      </c>
      <c r="HM69" s="12">
        <f t="shared" si="418"/>
        <v>0</v>
      </c>
      <c r="HN69" s="12">
        <f t="shared" si="419"/>
        <v>0</v>
      </c>
      <c r="HO69" s="12">
        <f t="shared" si="420"/>
        <v>0</v>
      </c>
      <c r="HP69" s="12">
        <f t="shared" si="421"/>
        <v>0</v>
      </c>
      <c r="HQ69" s="12">
        <f t="shared" si="422"/>
        <v>0</v>
      </c>
      <c r="HR69" s="12">
        <f t="shared" si="423"/>
        <v>0</v>
      </c>
      <c r="HS69" s="12">
        <f t="shared" si="424"/>
        <v>0</v>
      </c>
      <c r="HT69" s="12">
        <f t="shared" si="425"/>
        <v>0</v>
      </c>
      <c r="HU69" s="12">
        <f t="shared" si="426"/>
        <v>0</v>
      </c>
      <c r="HW69" s="16" t="s">
        <v>1303</v>
      </c>
      <c r="HX69">
        <f>_xlfn.XLOOKUP(HW69,'KPI Impacts'!$B$2:$H$2,'KPI Impacts'!$B69:$H69)</f>
        <v>0</v>
      </c>
      <c r="HY69" s="35" t="s">
        <v>1303</v>
      </c>
      <c r="HZ69">
        <f>_xlfn.XLOOKUP(HY69,'KPI Impacts'!$B$2:$H$2,'KPI Impacts'!$B69:$H69)</f>
        <v>0</v>
      </c>
      <c r="IC69" s="12">
        <f t="shared" si="427"/>
        <v>0</v>
      </c>
      <c r="ID69" s="12">
        <f t="shared" si="428"/>
        <v>0</v>
      </c>
      <c r="IE69" s="12">
        <f t="shared" si="429"/>
        <v>0</v>
      </c>
      <c r="IF69" s="12">
        <f t="shared" si="430"/>
        <v>0</v>
      </c>
      <c r="IG69" s="12">
        <f t="shared" si="431"/>
        <v>0</v>
      </c>
      <c r="IH69" s="12">
        <f t="shared" si="432"/>
        <v>0</v>
      </c>
      <c r="II69" s="12">
        <f t="shared" si="433"/>
        <v>0</v>
      </c>
      <c r="IJ69" s="12">
        <f t="shared" si="434"/>
        <v>0</v>
      </c>
      <c r="IK69" s="12">
        <f t="shared" si="435"/>
        <v>0</v>
      </c>
      <c r="IM69" s="16" t="s">
        <v>1303</v>
      </c>
      <c r="IN69">
        <f>_xlfn.XLOOKUP(IM69,'KPI Impacts'!$B$2:$H$2,'KPI Impacts'!$B69:$H69)</f>
        <v>0</v>
      </c>
      <c r="IO69" s="35" t="s">
        <v>1303</v>
      </c>
      <c r="IP69">
        <f>_xlfn.XLOOKUP(IO69,'KPI Impacts'!$B$2:$H$2,'KPI Impacts'!$B69:$H69)</f>
        <v>0</v>
      </c>
      <c r="IS69" s="12">
        <f t="shared" si="436"/>
        <v>0</v>
      </c>
      <c r="IT69" s="12">
        <f t="shared" si="437"/>
        <v>0</v>
      </c>
      <c r="IU69" s="12">
        <f t="shared" si="438"/>
        <v>0</v>
      </c>
      <c r="IV69" s="12">
        <f t="shared" si="439"/>
        <v>0</v>
      </c>
      <c r="IW69" s="12">
        <f t="shared" si="440"/>
        <v>0</v>
      </c>
      <c r="IX69" s="12">
        <f t="shared" si="441"/>
        <v>0</v>
      </c>
      <c r="IY69" s="12">
        <f t="shared" si="442"/>
        <v>0</v>
      </c>
      <c r="IZ69" s="12">
        <f t="shared" si="443"/>
        <v>0</v>
      </c>
      <c r="JA69" s="12">
        <f t="shared" si="444"/>
        <v>0</v>
      </c>
      <c r="JC69" s="16" t="s">
        <v>1303</v>
      </c>
      <c r="JD69">
        <f>_xlfn.XLOOKUP(JC69,'KPI Impacts'!$B$2:$H$2,'KPI Impacts'!$B69:$H69)</f>
        <v>0</v>
      </c>
      <c r="JE69" s="35" t="s">
        <v>1303</v>
      </c>
      <c r="JF69">
        <f>_xlfn.XLOOKUP(JE69,'KPI Impacts'!$B$2:$H$2,'KPI Impacts'!$B69:$H69)</f>
        <v>0</v>
      </c>
      <c r="JI69" s="12">
        <f t="shared" si="445"/>
        <v>0</v>
      </c>
      <c r="JJ69" s="12">
        <f t="shared" si="446"/>
        <v>0</v>
      </c>
      <c r="JK69" s="12">
        <f t="shared" si="447"/>
        <v>0</v>
      </c>
      <c r="JL69" s="12">
        <f t="shared" si="448"/>
        <v>0</v>
      </c>
      <c r="JM69" s="12">
        <f t="shared" si="449"/>
        <v>0</v>
      </c>
      <c r="JN69" s="12">
        <f t="shared" si="450"/>
        <v>0</v>
      </c>
      <c r="JO69" s="12">
        <f t="shared" si="451"/>
        <v>0</v>
      </c>
      <c r="JP69" s="12">
        <f t="shared" si="452"/>
        <v>0</v>
      </c>
      <c r="JQ69" s="12">
        <f t="shared" si="453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54"/>
        <v>0</v>
      </c>
      <c r="JZ69" s="12">
        <f t="shared" si="455"/>
        <v>0</v>
      </c>
      <c r="KA69" s="12">
        <f t="shared" si="456"/>
        <v>0</v>
      </c>
      <c r="KB69" s="12">
        <f t="shared" si="457"/>
        <v>0</v>
      </c>
      <c r="KC69" s="12">
        <f t="shared" si="458"/>
        <v>0</v>
      </c>
      <c r="KD69" s="12">
        <f t="shared" si="459"/>
        <v>0</v>
      </c>
      <c r="KE69" s="12">
        <f t="shared" si="460"/>
        <v>0</v>
      </c>
      <c r="KF69" s="12">
        <f t="shared" si="461"/>
        <v>0</v>
      </c>
      <c r="KG69" s="12">
        <f t="shared" si="462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63"/>
        <v>0</v>
      </c>
      <c r="KP69" s="12">
        <f t="shared" si="464"/>
        <v>0</v>
      </c>
      <c r="KQ69" s="12">
        <f t="shared" si="465"/>
        <v>0</v>
      </c>
      <c r="KR69" s="12">
        <f t="shared" si="466"/>
        <v>0</v>
      </c>
      <c r="KS69" s="12">
        <f t="shared" si="467"/>
        <v>0</v>
      </c>
      <c r="KT69" s="12">
        <f t="shared" si="468"/>
        <v>0</v>
      </c>
      <c r="KU69" s="12">
        <f t="shared" si="469"/>
        <v>0</v>
      </c>
      <c r="KV69" s="12">
        <f t="shared" si="470"/>
        <v>0</v>
      </c>
      <c r="KW69" s="12">
        <f t="shared" si="471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72"/>
        <v>0</v>
      </c>
      <c r="LF69" s="12">
        <f t="shared" si="473"/>
        <v>0</v>
      </c>
      <c r="LG69" s="12">
        <f t="shared" si="474"/>
        <v>0</v>
      </c>
      <c r="LH69" s="12">
        <f t="shared" si="475"/>
        <v>0</v>
      </c>
      <c r="LI69" s="12">
        <f t="shared" si="476"/>
        <v>0</v>
      </c>
      <c r="LJ69" s="12">
        <f t="shared" si="477"/>
        <v>0</v>
      </c>
      <c r="LK69" s="12">
        <f t="shared" si="478"/>
        <v>0</v>
      </c>
      <c r="LL69" s="12">
        <f t="shared" si="479"/>
        <v>0</v>
      </c>
      <c r="LM69" s="12">
        <f t="shared" si="480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81"/>
        <v>0</v>
      </c>
      <c r="LV69" s="12">
        <f t="shared" si="482"/>
        <v>0</v>
      </c>
      <c r="LW69" s="12">
        <f t="shared" si="483"/>
        <v>0</v>
      </c>
      <c r="LX69" s="12">
        <f t="shared" si="484"/>
        <v>0</v>
      </c>
      <c r="LY69" s="12">
        <f t="shared" si="485"/>
        <v>0</v>
      </c>
      <c r="LZ69" s="12">
        <f t="shared" si="486"/>
        <v>0</v>
      </c>
      <c r="MA69" s="12">
        <f t="shared" si="487"/>
        <v>0</v>
      </c>
      <c r="MB69" s="12">
        <f t="shared" si="488"/>
        <v>0</v>
      </c>
      <c r="MC69" s="12">
        <f t="shared" si="489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90"/>
        <v>0</v>
      </c>
      <c r="ML69" s="12">
        <f t="shared" si="491"/>
        <v>0</v>
      </c>
      <c r="MM69" s="12">
        <f t="shared" si="492"/>
        <v>0</v>
      </c>
      <c r="MN69" s="12">
        <f t="shared" si="493"/>
        <v>0</v>
      </c>
      <c r="MO69" s="12">
        <f t="shared" si="494"/>
        <v>0</v>
      </c>
      <c r="MP69" s="12">
        <f t="shared" si="495"/>
        <v>0</v>
      </c>
      <c r="MQ69" s="12">
        <f t="shared" si="496"/>
        <v>0</v>
      </c>
      <c r="MR69" s="12">
        <f t="shared" si="497"/>
        <v>0</v>
      </c>
      <c r="MS69" s="12">
        <f t="shared" si="498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9"/>
        <v>0</v>
      </c>
      <c r="NB69" s="12">
        <f t="shared" si="500"/>
        <v>0</v>
      </c>
      <c r="NC69" s="12">
        <f t="shared" si="501"/>
        <v>0</v>
      </c>
      <c r="ND69" s="12">
        <f t="shared" si="502"/>
        <v>0</v>
      </c>
      <c r="NE69" s="12">
        <f t="shared" si="503"/>
        <v>0</v>
      </c>
      <c r="NF69" s="12">
        <f t="shared" si="504"/>
        <v>0</v>
      </c>
      <c r="NG69" s="12">
        <f t="shared" si="505"/>
        <v>0</v>
      </c>
      <c r="NH69" s="12">
        <f t="shared" si="506"/>
        <v>0</v>
      </c>
      <c r="NI69" s="12">
        <f t="shared" si="507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8"/>
        <v>0</v>
      </c>
      <c r="NR69" s="12">
        <f t="shared" si="509"/>
        <v>0</v>
      </c>
      <c r="NS69" s="12">
        <f t="shared" si="510"/>
        <v>0</v>
      </c>
      <c r="NT69" s="12">
        <f t="shared" si="511"/>
        <v>0</v>
      </c>
      <c r="NU69" s="12">
        <f t="shared" si="512"/>
        <v>0</v>
      </c>
      <c r="NV69" s="12">
        <f t="shared" si="513"/>
        <v>0</v>
      </c>
      <c r="NW69" s="12">
        <f t="shared" si="514"/>
        <v>0</v>
      </c>
      <c r="NX69" s="12">
        <f t="shared" si="515"/>
        <v>0</v>
      </c>
      <c r="NY69" s="12">
        <f t="shared" si="516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7"/>
        <v>0</v>
      </c>
      <c r="OH69" s="12">
        <f t="shared" si="518"/>
        <v>0</v>
      </c>
      <c r="OI69" s="12">
        <f t="shared" si="519"/>
        <v>0</v>
      </c>
      <c r="OJ69" s="12">
        <f t="shared" si="520"/>
        <v>0</v>
      </c>
      <c r="OK69" s="12">
        <f t="shared" si="521"/>
        <v>0</v>
      </c>
      <c r="OL69" s="12">
        <f t="shared" si="522"/>
        <v>0</v>
      </c>
      <c r="OM69" s="12">
        <f t="shared" si="523"/>
        <v>0</v>
      </c>
      <c r="ON69" s="12">
        <f t="shared" si="524"/>
        <v>0</v>
      </c>
      <c r="OO69" s="12">
        <f t="shared" si="525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9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35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35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35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35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35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35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35"/>
      <c r="IS70" s="12"/>
      <c r="IT70" s="12"/>
      <c r="IU70" s="12"/>
      <c r="IV70" s="12"/>
      <c r="IW70" s="12"/>
      <c r="IX70" s="12"/>
      <c r="IY70" s="12"/>
      <c r="IZ70" s="12"/>
      <c r="JA70" s="12"/>
      <c r="JC70" s="16"/>
      <c r="JE70" s="35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9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35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35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35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35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35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35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35"/>
      <c r="IS71" s="12"/>
      <c r="IT71" s="12"/>
      <c r="IU71" s="12"/>
      <c r="IV71" s="12"/>
      <c r="IW71" s="12"/>
      <c r="IX71" s="12"/>
      <c r="IY71" s="12"/>
      <c r="IZ71" s="12"/>
      <c r="JA71" s="12"/>
      <c r="JC71" s="16"/>
      <c r="JE71" s="35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9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35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35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35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35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35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35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35"/>
      <c r="IS72" s="12"/>
      <c r="IT72" s="12"/>
      <c r="IU72" s="12"/>
      <c r="IV72" s="12"/>
      <c r="IW72" s="12"/>
      <c r="IX72" s="12"/>
      <c r="IY72" s="12"/>
      <c r="IZ72" s="12"/>
      <c r="JA72" s="12"/>
      <c r="JC72" s="16"/>
      <c r="JE72" s="35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26">M73+Y73+AQ73+BI73+BY73+CO73+DE73+DU73+EK73+FA73+FQ73+GG73+GW73+HM73+IC73+IS73+JI73+JY73+KO73+LE73+LU73+MK73+NA73+NQ73+OG73</f>
        <v>0</v>
      </c>
      <c r="C73" s="12">
        <f t="shared" si="526"/>
        <v>0</v>
      </c>
      <c r="D73" s="12">
        <f t="shared" si="526"/>
        <v>0</v>
      </c>
      <c r="E73" s="12">
        <f t="shared" si="526"/>
        <v>0</v>
      </c>
      <c r="F73" s="12">
        <f t="shared" si="526"/>
        <v>0</v>
      </c>
      <c r="G73" s="12">
        <f t="shared" si="526"/>
        <v>0</v>
      </c>
      <c r="H73" s="12">
        <f t="shared" si="526"/>
        <v>0</v>
      </c>
      <c r="I73" s="12">
        <f t="shared" ref="I73:J76" si="527">AF73+AX73+BP73+CF73+CV73+DL73+EB73+ER73+FH73+FX73+GN73+HD73+HT73+IJ73+IZ73+JP73+KF73+KV73+LL73+MB73+MR73+NH73+NX73+ON73</f>
        <v>0</v>
      </c>
      <c r="J73" s="12">
        <f t="shared" si="527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9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35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35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35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35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35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35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s="16" t="s">
        <v>1303</v>
      </c>
      <c r="JD73">
        <f>_xlfn.XLOOKUP(JC73,'KPI Impacts'!$B$2:$H$2,'KPI Impacts'!$B73:$H73)</f>
        <v>0</v>
      </c>
      <c r="JE73" s="35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26"/>
        <v>0</v>
      </c>
      <c r="C74" s="12">
        <f t="shared" si="526"/>
        <v>0</v>
      </c>
      <c r="D74" s="12">
        <f t="shared" si="526"/>
        <v>0</v>
      </c>
      <c r="E74" s="12">
        <f t="shared" si="526"/>
        <v>0</v>
      </c>
      <c r="F74" s="12">
        <f t="shared" si="526"/>
        <v>0</v>
      </c>
      <c r="G74" s="12">
        <f t="shared" si="526"/>
        <v>0</v>
      </c>
      <c r="H74" s="12">
        <f t="shared" si="526"/>
        <v>0</v>
      </c>
      <c r="I74" s="12">
        <f t="shared" si="527"/>
        <v>0</v>
      </c>
      <c r="J74" s="12">
        <f t="shared" si="527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9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35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35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35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35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35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35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s="16" t="s">
        <v>1303</v>
      </c>
      <c r="JD74">
        <f>_xlfn.XLOOKUP(JC74,'KPI Impacts'!$B$2:$H$2,'KPI Impacts'!$B74:$H74)</f>
        <v>0</v>
      </c>
      <c r="JE74" s="35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26"/>
        <v>0</v>
      </c>
      <c r="C75" s="12">
        <f t="shared" si="526"/>
        <v>0</v>
      </c>
      <c r="D75" s="12">
        <f t="shared" si="526"/>
        <v>0</v>
      </c>
      <c r="E75" s="12">
        <f t="shared" si="526"/>
        <v>0</v>
      </c>
      <c r="F75" s="12">
        <f t="shared" si="526"/>
        <v>0</v>
      </c>
      <c r="G75" s="12">
        <f t="shared" si="526"/>
        <v>0</v>
      </c>
      <c r="H75" s="12">
        <f t="shared" si="526"/>
        <v>0</v>
      </c>
      <c r="I75" s="12">
        <f t="shared" si="527"/>
        <v>0</v>
      </c>
      <c r="J75" s="12">
        <f t="shared" si="527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9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35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35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35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35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35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35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s="16" t="s">
        <v>1303</v>
      </c>
      <c r="JD75">
        <f>_xlfn.XLOOKUP(JC75,'KPI Impacts'!$B$2:$H$2,'KPI Impacts'!$B75:$H75)</f>
        <v>0</v>
      </c>
      <c r="JE75" s="35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26"/>
        <v>0</v>
      </c>
      <c r="C76" s="12">
        <f t="shared" si="526"/>
        <v>0</v>
      </c>
      <c r="D76" s="12">
        <f t="shared" si="526"/>
        <v>0</v>
      </c>
      <c r="E76" s="12">
        <f t="shared" si="526"/>
        <v>0</v>
      </c>
      <c r="F76" s="12">
        <f t="shared" si="526"/>
        <v>0</v>
      </c>
      <c r="G76" s="12">
        <f t="shared" si="526"/>
        <v>0</v>
      </c>
      <c r="H76" s="12">
        <f t="shared" si="526"/>
        <v>0</v>
      </c>
      <c r="I76" s="12">
        <f t="shared" si="527"/>
        <v>0</v>
      </c>
      <c r="J76" s="12">
        <f t="shared" si="527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9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35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35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35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35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35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35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s="16" t="s">
        <v>1303</v>
      </c>
      <c r="JD76">
        <f>_xlfn.XLOOKUP(JC76,'KPI Impacts'!$B$2:$H$2,'KPI Impacts'!$B76:$H76)</f>
        <v>0</v>
      </c>
      <c r="JE76" s="35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9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35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35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35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35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35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35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35"/>
      <c r="IS77" s="12"/>
      <c r="IT77" s="12"/>
      <c r="IU77" s="12"/>
      <c r="IV77" s="12"/>
      <c r="IW77" s="12"/>
      <c r="IX77" s="12"/>
      <c r="IY77" s="12"/>
      <c r="IZ77" s="12"/>
      <c r="JA77" s="12"/>
      <c r="JC77" s="16"/>
      <c r="JE77" s="35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9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35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35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35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35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35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35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35"/>
      <c r="IS78" s="12"/>
      <c r="IT78" s="12"/>
      <c r="IU78" s="12"/>
      <c r="IV78" s="12"/>
      <c r="IW78" s="12"/>
      <c r="IX78" s="12"/>
      <c r="IY78" s="12"/>
      <c r="IZ78" s="12"/>
      <c r="JA78" s="12"/>
      <c r="JC78" s="16"/>
      <c r="JE78" s="35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9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35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35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35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35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35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35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35"/>
      <c r="IS79" s="12"/>
      <c r="IT79" s="12"/>
      <c r="IU79" s="12"/>
      <c r="IV79" s="12"/>
      <c r="IW79" s="12"/>
      <c r="IX79" s="12"/>
      <c r="IY79" s="12"/>
      <c r="IZ79" s="12"/>
      <c r="JA79" s="12"/>
      <c r="JC79" s="16"/>
      <c r="JE79" s="35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9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35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35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35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35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35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35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35"/>
      <c r="IS80" s="12"/>
      <c r="IT80" s="12"/>
      <c r="IU80" s="12"/>
      <c r="IV80" s="12"/>
      <c r="IW80" s="12"/>
      <c r="IX80" s="12"/>
      <c r="IY80" s="12"/>
      <c r="IZ80" s="12"/>
      <c r="JA80" s="12"/>
      <c r="JC80" s="16"/>
      <c r="JE80" s="35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9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35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35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35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35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35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35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35"/>
      <c r="IS81" s="12"/>
      <c r="IT81" s="12"/>
      <c r="IU81" s="12"/>
      <c r="IV81" s="12"/>
      <c r="IW81" s="12"/>
      <c r="IX81" s="12"/>
      <c r="IY81" s="12"/>
      <c r="IZ81" s="12"/>
      <c r="JA81" s="12"/>
      <c r="JC81" s="16"/>
      <c r="JE81" s="35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9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35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35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35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35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35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35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35"/>
      <c r="IS82" s="12"/>
      <c r="IT82" s="12"/>
      <c r="IU82" s="12"/>
      <c r="IV82" s="12"/>
      <c r="IW82" s="12"/>
      <c r="IX82" s="12"/>
      <c r="IY82" s="12"/>
      <c r="IZ82" s="12"/>
      <c r="JA82" s="12"/>
      <c r="JC82" s="16"/>
      <c r="JE82" s="35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9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35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35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35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35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35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35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35"/>
      <c r="IS83" s="12"/>
      <c r="IT83" s="12"/>
      <c r="IU83" s="12"/>
      <c r="IV83" s="12"/>
      <c r="IW83" s="12"/>
      <c r="IX83" s="12"/>
      <c r="IY83" s="12"/>
      <c r="IZ83" s="12"/>
      <c r="JA83" s="12"/>
      <c r="JC83" s="16"/>
      <c r="JE83" s="35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8">M84+Y84+AQ84+BI84+BY84+CO84+DE84+DU84+EK84+FA84+FQ84+GG84+GW84+HM84+IC84+IS84+JI84+JY84+KO84+LE84+LU84+MK84+NA84+NQ84+OG84</f>
        <v>0</v>
      </c>
      <c r="C84" s="12">
        <f t="shared" si="528"/>
        <v>0</v>
      </c>
      <c r="D84" s="12">
        <f t="shared" si="528"/>
        <v>0</v>
      </c>
      <c r="E84" s="12">
        <f t="shared" si="528"/>
        <v>0</v>
      </c>
      <c r="F84" s="12">
        <f t="shared" si="528"/>
        <v>0</v>
      </c>
      <c r="G84" s="12">
        <f t="shared" si="528"/>
        <v>0</v>
      </c>
      <c r="H84" s="12">
        <f t="shared" si="528"/>
        <v>0</v>
      </c>
      <c r="I84" s="12">
        <f t="shared" ref="I84:J84" si="529">AF84+AX84+BP84+CF84+CV84+DL84+EB84+ER84+FH84+FX84+GN84+HD84+HT84+IJ84+IZ84+JP84+KF84+KV84+LL84+MB84+MR84+NH84+NX84+ON84</f>
        <v>0</v>
      </c>
      <c r="J84" s="12">
        <f t="shared" si="529"/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16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16" t="s">
        <v>1303</v>
      </c>
      <c r="CJ84">
        <f>_xlfn.XLOOKUP(CI84,'KPI Impacts'!$B$2:$H$2,'KPI Impacts'!$B84:$H84)</f>
        <v>0</v>
      </c>
      <c r="CK84" s="9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16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16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35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16" t="s">
        <v>1303</v>
      </c>
      <c r="GB84">
        <f>_xlfn.XLOOKUP(GA84,'KPI Impacts'!$B$2:$H$2,'KPI Impacts'!$B84:$H84)</f>
        <v>0</v>
      </c>
      <c r="GC84" s="35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16" t="s">
        <v>1303</v>
      </c>
      <c r="GR84">
        <f>_xlfn.XLOOKUP(GQ84,'KPI Impacts'!$B$2:$H$2,'KPI Impacts'!$B84:$H84)</f>
        <v>0</v>
      </c>
      <c r="GS84" s="35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16" t="s">
        <v>1303</v>
      </c>
      <c r="HH84">
        <f>_xlfn.XLOOKUP(HG84,'KPI Impacts'!$B$2:$H$2,'KPI Impacts'!$B84:$H84)</f>
        <v>0</v>
      </c>
      <c r="HI84" s="35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35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16" t="s">
        <v>1303</v>
      </c>
      <c r="IN84">
        <f>_xlfn.XLOOKUP(IM84,'KPI Impacts'!$B$2:$H$2,'KPI Impacts'!$B84:$H84)</f>
        <v>0</v>
      </c>
      <c r="IO84" s="35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s="16" t="s">
        <v>1303</v>
      </c>
      <c r="JD84">
        <f>_xlfn.XLOOKUP(JC84,'KPI Impacts'!$B$2:$H$2,'KPI Impacts'!$B84:$H84)</f>
        <v>0</v>
      </c>
      <c r="JE84" s="35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8"/>
        <v>0</v>
      </c>
      <c r="C85" s="12">
        <f t="shared" si="528"/>
        <v>0</v>
      </c>
      <c r="D85" s="12">
        <f t="shared" si="528"/>
        <v>0</v>
      </c>
      <c r="E85" s="12">
        <f t="shared" si="528"/>
        <v>0</v>
      </c>
      <c r="F85" s="12">
        <f t="shared" si="528"/>
        <v>0</v>
      </c>
      <c r="G85" s="12">
        <f t="shared" si="528"/>
        <v>0</v>
      </c>
      <c r="H85" s="12">
        <f t="shared" si="528"/>
        <v>0</v>
      </c>
      <c r="I85" s="12">
        <f t="shared" ref="I85:J86" si="530">AF85+AX85+BP85+CF85+CV85+DL85+EB85+ER85+FH85+FX85+GN85+HD85+HT85+IJ85+IZ85+JP85+KF85+KV85+LL85+MB85+MR85+NH85+NX85+ON85</f>
        <v>0</v>
      </c>
      <c r="J85" s="12">
        <f t="shared" si="530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16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9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16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35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35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16" t="s">
        <v>1303</v>
      </c>
      <c r="GR85">
        <f>_xlfn.XLOOKUP(GQ85,'KPI Impacts'!$B$2:$H$2,'KPI Impacts'!$B85:$H85)</f>
        <v>0</v>
      </c>
      <c r="GS85" s="35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16" t="s">
        <v>1303</v>
      </c>
      <c r="HH85">
        <f>_xlfn.XLOOKUP(HG85,'KPI Impacts'!$B$2:$H$2,'KPI Impacts'!$B85:$H85)</f>
        <v>0</v>
      </c>
      <c r="HI85" s="35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35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16" t="s">
        <v>1303</v>
      </c>
      <c r="IN85">
        <f>_xlfn.XLOOKUP(IM85,'KPI Impacts'!$B$2:$H$2,'KPI Impacts'!$B85:$H85)</f>
        <v>0</v>
      </c>
      <c r="IO85" s="35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s="16" t="s">
        <v>1303</v>
      </c>
      <c r="JD85">
        <f>_xlfn.XLOOKUP(JC85,'KPI Impacts'!$B$2:$H$2,'KPI Impacts'!$B85:$H85)</f>
        <v>0</v>
      </c>
      <c r="JE85" s="35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8"/>
        <v>0</v>
      </c>
      <c r="C86" s="12">
        <f t="shared" si="528"/>
        <v>0</v>
      </c>
      <c r="D86" s="12">
        <f t="shared" si="528"/>
        <v>0</v>
      </c>
      <c r="E86" s="12">
        <f t="shared" si="528"/>
        <v>0</v>
      </c>
      <c r="F86" s="12">
        <f t="shared" si="528"/>
        <v>0</v>
      </c>
      <c r="G86" s="12">
        <f t="shared" si="528"/>
        <v>0</v>
      </c>
      <c r="H86" s="12">
        <f t="shared" si="528"/>
        <v>0</v>
      </c>
      <c r="I86" s="12">
        <f t="shared" si="530"/>
        <v>0</v>
      </c>
      <c r="J86" s="12">
        <f t="shared" si="530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1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16" t="s">
        <v>1303</v>
      </c>
      <c r="CJ86">
        <f>_xlfn.XLOOKUP(CI86,'KPI Impacts'!$B$2:$H$2,'KPI Impacts'!$B86:$H86)</f>
        <v>0</v>
      </c>
      <c r="CK86" s="9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1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1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35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35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16" t="s">
        <v>1303</v>
      </c>
      <c r="GR86">
        <f>_xlfn.XLOOKUP(GQ86,'KPI Impacts'!$B$2:$H$2,'KPI Impacts'!$B86:$H86)</f>
        <v>0</v>
      </c>
      <c r="GS86" s="35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35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16" t="s">
        <v>1303</v>
      </c>
      <c r="HX86">
        <f>_xlfn.XLOOKUP(HW86,'KPI Impacts'!$B$2:$H$2,'KPI Impacts'!$B86:$H86)</f>
        <v>0</v>
      </c>
      <c r="HY86" s="35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35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s="16" t="s">
        <v>1303</v>
      </c>
      <c r="JD86">
        <f>_xlfn.XLOOKUP(JC86,'KPI Impacts'!$B$2:$H$2,'KPI Impacts'!$B86:$H86)</f>
        <v>0</v>
      </c>
      <c r="JE86" s="35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9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35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35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35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35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35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35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35"/>
      <c r="IS87" s="12"/>
      <c r="IT87" s="12"/>
      <c r="IU87" s="12"/>
      <c r="IV87" s="12"/>
      <c r="IW87" s="12"/>
      <c r="IX87" s="12"/>
      <c r="IY87" s="12"/>
      <c r="IZ87" s="12"/>
      <c r="JA87" s="12"/>
      <c r="JC87" s="16"/>
      <c r="JE87" s="35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31">M88+Y88+AQ88+BI88+BY88+CO88+DE88+DU88+EK88+FA88+FQ88+GG88+GW88+HM88+IC88+IS88+JI88+JY88+KO88+LE88+LU88+MK88+NA88+NQ88+OG88</f>
        <v>0</v>
      </c>
      <c r="C88" s="12">
        <f t="shared" si="531"/>
        <v>0</v>
      </c>
      <c r="D88" s="12">
        <f t="shared" si="531"/>
        <v>0</v>
      </c>
      <c r="E88" s="12">
        <f t="shared" si="531"/>
        <v>0</v>
      </c>
      <c r="F88" s="12">
        <f t="shared" si="531"/>
        <v>0</v>
      </c>
      <c r="G88" s="12">
        <f t="shared" si="531"/>
        <v>0</v>
      </c>
      <c r="H88" s="12">
        <f t="shared" si="531"/>
        <v>0</v>
      </c>
      <c r="I88" s="12">
        <f t="shared" ref="I88:J88" si="532">AF88+AX88+BP88+CF88+CV88+DL88+EB88+ER88+FH88+FX88+GN88+HD88+HT88+IJ88+IZ88+JP88+KF88+KV88+LL88+MB88+MR88+NH88+NX88+ON88</f>
        <v>0</v>
      </c>
      <c r="J88" s="12">
        <f t="shared" si="532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16" t="s">
        <v>1303</v>
      </c>
      <c r="CJ88">
        <f>_xlfn.XLOOKUP(CI88,'KPI Impacts'!$B$2:$H$2,'KPI Impacts'!$B88:$H88)</f>
        <v>0</v>
      </c>
      <c r="CK88" s="9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16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16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35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16" t="s">
        <v>1303</v>
      </c>
      <c r="GB88">
        <f>_xlfn.XLOOKUP(GA88,'KPI Impacts'!$B$2:$H$2,'KPI Impacts'!$B88:$H88)</f>
        <v>0</v>
      </c>
      <c r="GC88" s="35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35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35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16" t="s">
        <v>1303</v>
      </c>
      <c r="HX88">
        <f>_xlfn.XLOOKUP(HW88,'KPI Impacts'!$B$2:$H$2,'KPI Impacts'!$B88:$H88)</f>
        <v>0</v>
      </c>
      <c r="HY88" s="35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35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s="16" t="s">
        <v>1303</v>
      </c>
      <c r="JD88">
        <f>_xlfn.XLOOKUP(JC88,'KPI Impacts'!$B$2:$H$2,'KPI Impacts'!$B88:$H88)</f>
        <v>0</v>
      </c>
      <c r="JE88" s="35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S89" s="16"/>
      <c r="BU89" s="35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I89" s="16"/>
      <c r="CK89" s="9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CY89" s="16"/>
      <c r="DA89" s="35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O89" s="16"/>
      <c r="DQ89" s="35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E89" s="16"/>
      <c r="EG89" s="35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U89" s="16"/>
      <c r="EW89" s="35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K89" s="16"/>
      <c r="FM89" s="35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A89" s="16"/>
      <c r="GC89" s="35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Q89" s="16"/>
      <c r="GS89" s="35"/>
      <c r="GW89" s="12"/>
      <c r="GX89" s="12"/>
      <c r="GY89" s="12"/>
      <c r="GZ89" s="12"/>
      <c r="HA89" s="12"/>
      <c r="HB89" s="12"/>
      <c r="HC89" s="12"/>
      <c r="HD89" s="12"/>
      <c r="HE89" s="12"/>
      <c r="HG89" s="16"/>
      <c r="HI89" s="35"/>
      <c r="HM89" s="12"/>
      <c r="HN89" s="12"/>
      <c r="HO89" s="12"/>
      <c r="HP89" s="12"/>
      <c r="HQ89" s="12"/>
      <c r="HR89" s="12"/>
      <c r="HS89" s="12"/>
      <c r="HT89" s="12"/>
      <c r="HU89" s="12"/>
      <c r="HW89" s="16"/>
      <c r="HY89" s="35"/>
      <c r="IC89" s="12"/>
      <c r="ID89" s="12"/>
      <c r="IE89" s="12"/>
      <c r="IF89" s="12"/>
      <c r="IG89" s="12"/>
      <c r="IH89" s="12"/>
      <c r="II89" s="12"/>
      <c r="IJ89" s="12"/>
      <c r="IK89" s="12"/>
      <c r="IM89" s="16"/>
      <c r="IO89" s="35"/>
      <c r="IS89" s="12"/>
      <c r="IT89" s="12"/>
      <c r="IU89" s="12"/>
      <c r="IV89" s="12"/>
      <c r="IW89" s="12"/>
      <c r="IX89" s="12"/>
      <c r="IY89" s="12"/>
      <c r="IZ89" s="12"/>
      <c r="JA89" s="12"/>
      <c r="JC89" s="16"/>
      <c r="JE89" s="35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S90" s="16"/>
      <c r="BU90" s="35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I90" s="16"/>
      <c r="CK90" s="9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CY90" s="16"/>
      <c r="DA90" s="35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O90" s="16"/>
      <c r="DQ90" s="35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E90" s="16"/>
      <c r="EG90" s="35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U90" s="16"/>
      <c r="EW90" s="35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K90" s="16"/>
      <c r="FM90" s="35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A90" s="16"/>
      <c r="GC90" s="35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Q90" s="16"/>
      <c r="GS90" s="35"/>
      <c r="GW90" s="12"/>
      <c r="GX90" s="12"/>
      <c r="GY90" s="12"/>
      <c r="GZ90" s="12"/>
      <c r="HA90" s="12"/>
      <c r="HB90" s="12"/>
      <c r="HC90" s="12"/>
      <c r="HD90" s="12"/>
      <c r="HE90" s="12"/>
      <c r="HG90" s="16"/>
      <c r="HI90" s="35"/>
      <c r="HM90" s="12"/>
      <c r="HN90" s="12"/>
      <c r="HO90" s="12"/>
      <c r="HP90" s="12"/>
      <c r="HQ90" s="12"/>
      <c r="HR90" s="12"/>
      <c r="HS90" s="12"/>
      <c r="HT90" s="12"/>
      <c r="HU90" s="12"/>
      <c r="HW90" s="16"/>
      <c r="HY90" s="35"/>
      <c r="IC90" s="12"/>
      <c r="ID90" s="12"/>
      <c r="IE90" s="12"/>
      <c r="IF90" s="12"/>
      <c r="IG90" s="12"/>
      <c r="IH90" s="12"/>
      <c r="II90" s="12"/>
      <c r="IJ90" s="12"/>
      <c r="IK90" s="12"/>
      <c r="IM90" s="16"/>
      <c r="IO90" s="35"/>
      <c r="IS90" s="12"/>
      <c r="IT90" s="12"/>
      <c r="IU90" s="12"/>
      <c r="IV90" s="12"/>
      <c r="IW90" s="12"/>
      <c r="IX90" s="12"/>
      <c r="IY90" s="12"/>
      <c r="IZ90" s="12"/>
      <c r="JA90" s="12"/>
      <c r="JC90" s="16"/>
      <c r="JE90" s="35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S91" s="16"/>
      <c r="BU91" s="35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I91" s="16"/>
      <c r="CK91" s="9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CY91" s="16"/>
      <c r="DA91" s="35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O91" s="16"/>
      <c r="DQ91" s="35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E91" s="16"/>
      <c r="EG91" s="35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U91" s="16"/>
      <c r="EW91" s="35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K91" s="16"/>
      <c r="FM91" s="35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A91" s="16"/>
      <c r="GC91" s="35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Q91" s="16"/>
      <c r="GS91" s="35"/>
      <c r="GW91" s="12"/>
      <c r="GX91" s="12"/>
      <c r="GY91" s="12"/>
      <c r="GZ91" s="12"/>
      <c r="HA91" s="12"/>
      <c r="HB91" s="12"/>
      <c r="HC91" s="12"/>
      <c r="HD91" s="12"/>
      <c r="HE91" s="12"/>
      <c r="HG91" s="16"/>
      <c r="HI91" s="35"/>
      <c r="HM91" s="12"/>
      <c r="HN91" s="12"/>
      <c r="HO91" s="12"/>
      <c r="HP91" s="12"/>
      <c r="HQ91" s="12"/>
      <c r="HR91" s="12"/>
      <c r="HS91" s="12"/>
      <c r="HT91" s="12"/>
      <c r="HU91" s="12"/>
      <c r="HW91" s="16"/>
      <c r="HY91" s="35"/>
      <c r="IC91" s="12"/>
      <c r="ID91" s="12"/>
      <c r="IE91" s="12"/>
      <c r="IF91" s="12"/>
      <c r="IG91" s="12"/>
      <c r="IH91" s="12"/>
      <c r="II91" s="12"/>
      <c r="IJ91" s="12"/>
      <c r="IK91" s="12"/>
      <c r="IM91" s="16"/>
      <c r="IO91" s="35"/>
      <c r="IS91" s="12"/>
      <c r="IT91" s="12"/>
      <c r="IU91" s="12"/>
      <c r="IV91" s="12"/>
      <c r="IW91" s="12"/>
      <c r="IX91" s="12"/>
      <c r="IY91" s="12"/>
      <c r="IZ91" s="12"/>
      <c r="JA91" s="12"/>
      <c r="JC91" s="16"/>
      <c r="JE91" s="35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S92" s="16"/>
      <c r="BU92" s="35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I92" s="16"/>
      <c r="CK92" s="9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CY92" s="16"/>
      <c r="DA92" s="35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O92" s="16"/>
      <c r="DQ92" s="35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E92" s="16"/>
      <c r="EG92" s="35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U92" s="16"/>
      <c r="EW92" s="35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K92" s="16"/>
      <c r="FM92" s="35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A92" s="16"/>
      <c r="GC92" s="35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Q92" s="16"/>
      <c r="GS92" s="35"/>
      <c r="GW92" s="12"/>
      <c r="GX92" s="12"/>
      <c r="GY92" s="12"/>
      <c r="GZ92" s="12"/>
      <c r="HA92" s="12"/>
      <c r="HB92" s="12"/>
      <c r="HC92" s="12"/>
      <c r="HD92" s="12"/>
      <c r="HE92" s="12"/>
      <c r="HG92" s="16"/>
      <c r="HI92" s="35"/>
      <c r="HM92" s="12"/>
      <c r="HN92" s="12"/>
      <c r="HO92" s="12"/>
      <c r="HP92" s="12"/>
      <c r="HQ92" s="12"/>
      <c r="HR92" s="12"/>
      <c r="HS92" s="12"/>
      <c r="HT92" s="12"/>
      <c r="HU92" s="12"/>
      <c r="HW92" s="16"/>
      <c r="HY92" s="35"/>
      <c r="IC92" s="12"/>
      <c r="ID92" s="12"/>
      <c r="IE92" s="12"/>
      <c r="IF92" s="12"/>
      <c r="IG92" s="12"/>
      <c r="IH92" s="12"/>
      <c r="II92" s="12"/>
      <c r="IJ92" s="12"/>
      <c r="IK92" s="12"/>
      <c r="IM92" s="16"/>
      <c r="IO92" s="35"/>
      <c r="IS92" s="12"/>
      <c r="IT92" s="12"/>
      <c r="IU92" s="12"/>
      <c r="IV92" s="12"/>
      <c r="IW92" s="12"/>
      <c r="IX92" s="12"/>
      <c r="IY92" s="12"/>
      <c r="IZ92" s="12"/>
      <c r="JA92" s="12"/>
      <c r="JC92" s="16"/>
      <c r="JE92" s="35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33">M93+Y93+AQ93+BI93+BY93+CO93+DE93+DU93+EK93+FA93+FQ93+GG93+GW93+HM93+IC93+IS93+JI93+JY93+KO93+LE93+LU93+MK93+NA93+NQ93+OG93</f>
        <v>0</v>
      </c>
      <c r="C93" s="12">
        <f t="shared" si="533"/>
        <v>0</v>
      </c>
      <c r="D93" s="12">
        <f t="shared" si="533"/>
        <v>0</v>
      </c>
      <c r="E93" s="12">
        <f t="shared" si="533"/>
        <v>0</v>
      </c>
      <c r="F93" s="12">
        <f t="shared" si="533"/>
        <v>0</v>
      </c>
      <c r="G93" s="12">
        <f t="shared" si="533"/>
        <v>0</v>
      </c>
      <c r="H93" s="12">
        <f t="shared" si="533"/>
        <v>0</v>
      </c>
      <c r="I93" s="12">
        <f t="shared" ref="I93:J96" si="534">AF93+AX93+BP93+CF93+CV93+DL93+EB93+ER93+FH93+FX93+GN93+HD93+HT93+IJ93+IZ93+JP93+KF93+KV93+LL93+MB93+MR93+NH93+NX93+ON93</f>
        <v>0</v>
      </c>
      <c r="J93" s="12">
        <f t="shared" si="534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1309</v>
      </c>
      <c r="V93">
        <f>_xlfn.XLOOKUP(U93,'KPI Impacts'!$B$2:$H$2,'KPI Impacts'!$B93:$H93)</f>
        <v>1.5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1307</v>
      </c>
      <c r="AJ93">
        <f>_xlfn.XLOOKUP(AI93,'KPI Impacts'!$K$2:$Q$2,'KPI Impacts'!$K93:$Q93)</f>
        <v>0.3</v>
      </c>
      <c r="AK93" t="s">
        <v>1309</v>
      </c>
      <c r="AL93">
        <f>_xlfn.XLOOKUP(AK93,'KPI Impacts'!$K$2:$Q$2,'KPI Impacts'!$K93:$Q93)</f>
        <v>0.6</v>
      </c>
      <c r="AM93" t="s">
        <v>1308</v>
      </c>
      <c r="AN93">
        <f>_xlfn.XLOOKUP(AM93,'KPI Impacts'!$K$2:$Q$2,'KPI Impacts'!$K93:$Q93)</f>
        <v>0.89999999999999991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1307</v>
      </c>
      <c r="BB93">
        <f>_xlfn.XLOOKUP(BA93,'KPI Impacts'!$K$2:$Q$2,'KPI Impacts'!$K93:$Q93)</f>
        <v>0.3</v>
      </c>
      <c r="BC93" t="s">
        <v>1309</v>
      </c>
      <c r="BD93">
        <f>_xlfn.XLOOKUP(BC93,'KPI Impacts'!$K$2:$Q$2,'KPI Impacts'!$K93:$Q93)</f>
        <v>0.6</v>
      </c>
      <c r="BE93" t="s">
        <v>1308</v>
      </c>
      <c r="BF93">
        <f>_xlfn.XLOOKUP(BE93,'KPI Impacts'!$K$2:$Q$2,'KPI Impacts'!$K93:$Q93)</f>
        <v>0.89999999999999991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s="16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s="30" t="s">
        <v>1307</v>
      </c>
      <c r="CJ93">
        <f>_xlfn.XLOOKUP(CI93,'KPI Impacts'!$B$2:$H$2,'KPI Impacts'!$B93:$H93)</f>
        <v>1</v>
      </c>
      <c r="CK93" s="9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s="16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s="30" t="s">
        <v>1309</v>
      </c>
      <c r="DP93">
        <f>_xlfn.XLOOKUP(DO93,'KPI Impacts'!$B$2:$H$2,'KPI Impacts'!$B93:$H93)</f>
        <v>1.5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s="30" t="s">
        <v>1309</v>
      </c>
      <c r="EF93">
        <f>_xlfn.XLOOKUP(EE93,'KPI Impacts'!$B$2:$H$2,'KPI Impacts'!$B93:$H93)</f>
        <v>1.5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s="16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s="30" t="s">
        <v>1309</v>
      </c>
      <c r="FL93">
        <f>_xlfn.XLOOKUP(FK93,'KPI Impacts'!$B$2:$H$2,'KPI Impacts'!$B93:$H93)</f>
        <v>1.5</v>
      </c>
      <c r="FM93" s="35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s="30" t="s">
        <v>1307</v>
      </c>
      <c r="GB93">
        <f>_xlfn.XLOOKUP(GA93,'KPI Impacts'!$B$2:$H$2,'KPI Impacts'!$B93:$H93)</f>
        <v>1</v>
      </c>
      <c r="GC93" s="35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s="16" t="s">
        <v>1303</v>
      </c>
      <c r="GR93">
        <f>_xlfn.XLOOKUP(GQ93,'KPI Impacts'!$B$2:$H$2,'KPI Impacts'!$B93:$H93)</f>
        <v>0</v>
      </c>
      <c r="GS93" s="35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s="30" t="s">
        <v>1307</v>
      </c>
      <c r="HH93">
        <f>_xlfn.XLOOKUP(HG93,'KPI Impacts'!$B$2:$H$2,'KPI Impacts'!$B93:$H93)</f>
        <v>1</v>
      </c>
      <c r="HI93" s="35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s="16" t="s">
        <v>1303</v>
      </c>
      <c r="HX93">
        <f>_xlfn.XLOOKUP(HW93,'KPI Impacts'!$B$2:$H$2,'KPI Impacts'!$B93:$H93)</f>
        <v>0</v>
      </c>
      <c r="HY93" s="35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s="29" t="s">
        <v>1304</v>
      </c>
      <c r="IN93">
        <f>_xlfn.XLOOKUP(IM93,'KPI Impacts'!$B$2:$H$2,'KPI Impacts'!$B93:$H93)</f>
        <v>-0.8</v>
      </c>
      <c r="IO93" s="35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s="30" t="s">
        <v>1309</v>
      </c>
      <c r="JD93">
        <f>_xlfn.XLOOKUP(JC93,'KPI Impacts'!$B$2:$H$2,'KPI Impacts'!$B93:$H93)</f>
        <v>1.5</v>
      </c>
      <c r="JE93" s="35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33"/>
        <v>0</v>
      </c>
      <c r="C94" s="12">
        <f t="shared" si="533"/>
        <v>0</v>
      </c>
      <c r="D94" s="12">
        <f t="shared" si="533"/>
        <v>0</v>
      </c>
      <c r="E94" s="12">
        <f t="shared" si="533"/>
        <v>0</v>
      </c>
      <c r="F94" s="12">
        <f t="shared" si="533"/>
        <v>0</v>
      </c>
      <c r="G94" s="12">
        <f t="shared" si="533"/>
        <v>0</v>
      </c>
      <c r="H94" s="12">
        <f t="shared" si="533"/>
        <v>0</v>
      </c>
      <c r="I94" s="12">
        <f t="shared" si="534"/>
        <v>0</v>
      </c>
      <c r="J94" s="12">
        <f t="shared" si="534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1307</v>
      </c>
      <c r="V94">
        <f>_xlfn.XLOOKUP(U94,'KPI Impacts'!$B$2:$H$2,'KPI Impacts'!$B94:$H94)</f>
        <v>1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1307</v>
      </c>
      <c r="AJ94">
        <f>_xlfn.XLOOKUP(AI94,'KPI Impacts'!$K$2:$Q$2,'KPI Impacts'!$K94:$Q94)</f>
        <v>0.3</v>
      </c>
      <c r="AK94" t="s">
        <v>1309</v>
      </c>
      <c r="AL94">
        <f>_xlfn.XLOOKUP(AK94,'KPI Impacts'!$K$2:$Q$2,'KPI Impacts'!$K94:$Q94)</f>
        <v>0.6</v>
      </c>
      <c r="AM94" t="s">
        <v>1308</v>
      </c>
      <c r="AN94">
        <f>_xlfn.XLOOKUP(AM94,'KPI Impacts'!$K$2:$Q$2,'KPI Impacts'!$K94:$Q94)</f>
        <v>0.89999999999999991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1307</v>
      </c>
      <c r="BB94">
        <f>_xlfn.XLOOKUP(BA94,'KPI Impacts'!$K$2:$Q$2,'KPI Impacts'!$K94:$Q94)</f>
        <v>0.3</v>
      </c>
      <c r="BC94" t="s">
        <v>1309</v>
      </c>
      <c r="BD94">
        <f>_xlfn.XLOOKUP(BC94,'KPI Impacts'!$K$2:$Q$2,'KPI Impacts'!$K94:$Q94)</f>
        <v>0.6</v>
      </c>
      <c r="BE94" t="s">
        <v>1308</v>
      </c>
      <c r="BF94">
        <f>_xlfn.XLOOKUP(BE94,'KPI Impacts'!$K$2:$Q$2,'KPI Impacts'!$K94:$Q94)</f>
        <v>0.89999999999999991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s="30" t="s">
        <v>1309</v>
      </c>
      <c r="BT94">
        <f>_xlfn.XLOOKUP(BS94,'KPI Impacts'!$B$2:$H$2,'KPI Impacts'!$B94:$H94)</f>
        <v>1.5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s="30" t="s">
        <v>1309</v>
      </c>
      <c r="CJ94">
        <f>_xlfn.XLOOKUP(CI94,'KPI Impacts'!$B$2:$H$2,'KPI Impacts'!$B94:$H94)</f>
        <v>1.5</v>
      </c>
      <c r="CK94" s="9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s="30" t="s">
        <v>1309</v>
      </c>
      <c r="CZ94">
        <f>_xlfn.XLOOKUP(CY94,'KPI Impacts'!$B$2:$H$2,'KPI Impacts'!$B94:$H94)</f>
        <v>1.5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s="30" t="s">
        <v>1307</v>
      </c>
      <c r="DP94">
        <f>_xlfn.XLOOKUP(DO94,'KPI Impacts'!$B$2:$H$2,'KPI Impacts'!$B94:$H94)</f>
        <v>1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s="30" t="s">
        <v>1307</v>
      </c>
      <c r="EF94">
        <f>_xlfn.XLOOKUP(EE94,'KPI Impacts'!$B$2:$H$2,'KPI Impacts'!$B94:$H94)</f>
        <v>1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s="30" t="s">
        <v>1308</v>
      </c>
      <c r="EV94">
        <f>_xlfn.XLOOKUP(EU94,'KPI Impacts'!$B$2:$H$2,'KPI Impacts'!$B94:$H94)</f>
        <v>2.5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s="16" t="s">
        <v>1303</v>
      </c>
      <c r="FL94">
        <f>_xlfn.XLOOKUP(FK94,'KPI Impacts'!$B$2:$H$2,'KPI Impacts'!$B94:$H94)</f>
        <v>0</v>
      </c>
      <c r="FM94" s="35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s="30" t="s">
        <v>1307</v>
      </c>
      <c r="GB94">
        <f>_xlfn.XLOOKUP(GA94,'KPI Impacts'!$B$2:$H$2,'KPI Impacts'!$B94:$H94)</f>
        <v>1</v>
      </c>
      <c r="GC94" s="35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s="16" t="s">
        <v>1303</v>
      </c>
      <c r="GR94">
        <f>_xlfn.XLOOKUP(GQ94,'KPI Impacts'!$B$2:$H$2,'KPI Impacts'!$B94:$H94)</f>
        <v>0</v>
      </c>
      <c r="GS94" s="35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s="16" t="s">
        <v>1303</v>
      </c>
      <c r="HH94">
        <f>_xlfn.XLOOKUP(HG94,'KPI Impacts'!$B$2:$H$2,'KPI Impacts'!$B94:$H94)</f>
        <v>0</v>
      </c>
      <c r="HI94" s="35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s="16" t="s">
        <v>1303</v>
      </c>
      <c r="HX94">
        <f>_xlfn.XLOOKUP(HW94,'KPI Impacts'!$B$2:$H$2,'KPI Impacts'!$B94:$H94)</f>
        <v>0</v>
      </c>
      <c r="HY94" s="35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s="16" t="s">
        <v>1303</v>
      </c>
      <c r="IN94">
        <f>_xlfn.XLOOKUP(IM94,'KPI Impacts'!$B$2:$H$2,'KPI Impacts'!$B94:$H94)</f>
        <v>0</v>
      </c>
      <c r="IO94" s="35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s="30" t="s">
        <v>1309</v>
      </c>
      <c r="JD94">
        <f>_xlfn.XLOOKUP(JC94,'KPI Impacts'!$B$2:$H$2,'KPI Impacts'!$B94:$H94)</f>
        <v>1.5</v>
      </c>
      <c r="JE94" s="35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33"/>
        <v>0</v>
      </c>
      <c r="C95" s="12">
        <f t="shared" si="533"/>
        <v>0</v>
      </c>
      <c r="D95" s="12">
        <f t="shared" si="533"/>
        <v>0</v>
      </c>
      <c r="E95" s="12">
        <f t="shared" si="533"/>
        <v>0</v>
      </c>
      <c r="F95" s="12">
        <f t="shared" si="533"/>
        <v>0</v>
      </c>
      <c r="G95" s="12">
        <f t="shared" si="533"/>
        <v>0</v>
      </c>
      <c r="H95" s="12">
        <f t="shared" si="533"/>
        <v>0</v>
      </c>
      <c r="I95" s="12">
        <f t="shared" si="534"/>
        <v>0</v>
      </c>
      <c r="J95" s="12">
        <f t="shared" si="534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1309</v>
      </c>
      <c r="V95">
        <f>_xlfn.XLOOKUP(U95,'KPI Impacts'!$B$2:$H$2,'KPI Impacts'!$B95:$H95)</f>
        <v>1000000000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1307</v>
      </c>
      <c r="AJ95">
        <f>_xlfn.XLOOKUP(AI95,'KPI Impacts'!$K$2:$Q$2,'KPI Impacts'!$K95:$Q95)</f>
        <v>90000000</v>
      </c>
      <c r="AK95" t="s">
        <v>1309</v>
      </c>
      <c r="AL95">
        <f>_xlfn.XLOOKUP(AK95,'KPI Impacts'!$K$2:$Q$2,'KPI Impacts'!$K95:$Q95)</f>
        <v>240000000</v>
      </c>
      <c r="AM95" t="s">
        <v>1308</v>
      </c>
      <c r="AN95">
        <f>_xlfn.XLOOKUP(AM95,'KPI Impacts'!$K$2:$Q$2,'KPI Impacts'!$K95:$Q95)</f>
        <v>450000000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1307</v>
      </c>
      <c r="BB95">
        <f>_xlfn.XLOOKUP(BA95,'KPI Impacts'!$K$2:$Q$2,'KPI Impacts'!$K95:$Q95)</f>
        <v>90000000</v>
      </c>
      <c r="BC95" t="s">
        <v>1309</v>
      </c>
      <c r="BD95">
        <f>_xlfn.XLOOKUP(BC95,'KPI Impacts'!$K$2:$Q$2,'KPI Impacts'!$K95:$Q95)</f>
        <v>240000000</v>
      </c>
      <c r="BE95" t="s">
        <v>1308</v>
      </c>
      <c r="BF95">
        <f>_xlfn.XLOOKUP(BE95,'KPI Impacts'!$K$2:$Q$2,'KPI Impacts'!$K95:$Q95)</f>
        <v>450000000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s="16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s="16" t="s">
        <v>1303</v>
      </c>
      <c r="CJ95">
        <f>_xlfn.XLOOKUP(CI95,'KPI Impacts'!$B$2:$H$2,'KPI Impacts'!$B95:$H95)</f>
        <v>0</v>
      </c>
      <c r="CK95" s="9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s="29" t="s">
        <v>1304</v>
      </c>
      <c r="CZ95">
        <f>_xlfn.XLOOKUP(CY95,'KPI Impacts'!$B$2:$H$2,'KPI Impacts'!$B95:$H95)</f>
        <v>-320000000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s="16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s="30" t="s">
        <v>1309</v>
      </c>
      <c r="EF95">
        <f>_xlfn.XLOOKUP(EE95,'KPI Impacts'!$B$2:$H$2,'KPI Impacts'!$B95:$H95)</f>
        <v>1000000000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s="29" t="s">
        <v>1304</v>
      </c>
      <c r="EV95">
        <f>_xlfn.XLOOKUP(EU95,'KPI Impacts'!$B$2:$H$2,'KPI Impacts'!$B95:$H95)</f>
        <v>-320000000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s="30" t="s">
        <v>1307</v>
      </c>
      <c r="FL95">
        <f>_xlfn.XLOOKUP(FK95,'KPI Impacts'!$B$2:$H$2,'KPI Impacts'!$B95:$H95)</f>
        <v>400000000</v>
      </c>
      <c r="FM95" s="35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s="16" t="s">
        <v>1303</v>
      </c>
      <c r="GB95">
        <f>_xlfn.XLOOKUP(GA95,'KPI Impacts'!$B$2:$H$2,'KPI Impacts'!$B95:$H95)</f>
        <v>0</v>
      </c>
      <c r="GC95" s="35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s="30" t="s">
        <v>1307</v>
      </c>
      <c r="GR95">
        <f>_xlfn.XLOOKUP(GQ95,'KPI Impacts'!$B$2:$H$2,'KPI Impacts'!$B95:$H95)</f>
        <v>400000000</v>
      </c>
      <c r="GS95" s="35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s="16" t="s">
        <v>1303</v>
      </c>
      <c r="HH95">
        <f>_xlfn.XLOOKUP(HG95,'KPI Impacts'!$B$2:$H$2,'KPI Impacts'!$B95:$H95)</f>
        <v>0</v>
      </c>
      <c r="HI95" s="35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s="30" t="s">
        <v>1309</v>
      </c>
      <c r="HX95">
        <f>_xlfn.XLOOKUP(HW95,'KPI Impacts'!$B$2:$H$2,'KPI Impacts'!$B95:$H95)</f>
        <v>1000000000</v>
      </c>
      <c r="HY95" s="35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s="30" t="s">
        <v>1307</v>
      </c>
      <c r="IN95">
        <f>_xlfn.XLOOKUP(IM95,'KPI Impacts'!$B$2:$H$2,'KPI Impacts'!$B95:$H95)</f>
        <v>400000000</v>
      </c>
      <c r="IO95" s="35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s="16" t="s">
        <v>1303</v>
      </c>
      <c r="JD95">
        <f>_xlfn.XLOOKUP(JC95,'KPI Impacts'!$B$2:$H$2,'KPI Impacts'!$B95:$H95)</f>
        <v>0</v>
      </c>
      <c r="JE95" s="35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33"/>
        <v>0</v>
      </c>
      <c r="C96" s="12">
        <f t="shared" si="533"/>
        <v>0</v>
      </c>
      <c r="D96" s="12">
        <f t="shared" si="533"/>
        <v>0</v>
      </c>
      <c r="E96" s="12">
        <f t="shared" si="533"/>
        <v>0</v>
      </c>
      <c r="F96" s="12">
        <f t="shared" si="533"/>
        <v>0</v>
      </c>
      <c r="G96" s="12">
        <f t="shared" si="533"/>
        <v>0</v>
      </c>
      <c r="H96" s="12">
        <f t="shared" si="533"/>
        <v>0</v>
      </c>
      <c r="I96" s="12">
        <f t="shared" si="534"/>
        <v>0</v>
      </c>
      <c r="J96" s="12">
        <f t="shared" si="534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1307</v>
      </c>
      <c r="AJ96">
        <f>_xlfn.XLOOKUP(AI96,'KPI Impacts'!$K$2:$Q$2,'KPI Impacts'!$K96:$Q96)</f>
        <v>90000000</v>
      </c>
      <c r="AK96" t="s">
        <v>1309</v>
      </c>
      <c r="AL96">
        <f>_xlfn.XLOOKUP(AK96,'KPI Impacts'!$K$2:$Q$2,'KPI Impacts'!$K96:$Q96)</f>
        <v>240000000</v>
      </c>
      <c r="AM96" t="s">
        <v>1308</v>
      </c>
      <c r="AN96">
        <f>_xlfn.XLOOKUP(AM96,'KPI Impacts'!$K$2:$Q$2,'KPI Impacts'!$K96:$Q96)</f>
        <v>450000000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1307</v>
      </c>
      <c r="BB96">
        <f>_xlfn.XLOOKUP(BA96,'KPI Impacts'!$K$2:$Q$2,'KPI Impacts'!$K96:$Q96)</f>
        <v>90000000</v>
      </c>
      <c r="BC96" t="s">
        <v>1309</v>
      </c>
      <c r="BD96">
        <f>_xlfn.XLOOKUP(BC96,'KPI Impacts'!$K$2:$Q$2,'KPI Impacts'!$K96:$Q96)</f>
        <v>240000000</v>
      </c>
      <c r="BE96" t="s">
        <v>1308</v>
      </c>
      <c r="BF96">
        <f>_xlfn.XLOOKUP(BE96,'KPI Impacts'!$K$2:$Q$2,'KPI Impacts'!$K96:$Q96)</f>
        <v>450000000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s="29" t="s">
        <v>1304</v>
      </c>
      <c r="BT96">
        <f>_xlfn.XLOOKUP(BS96,'KPI Impacts'!$B$2:$H$2,'KPI Impacts'!$B96:$H96)</f>
        <v>-120000000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s="16" t="s">
        <v>1303</v>
      </c>
      <c r="CJ96">
        <f>_xlfn.XLOOKUP(CI96,'KPI Impacts'!$B$2:$H$2,'KPI Impacts'!$B96:$H96)</f>
        <v>0</v>
      </c>
      <c r="CK96" s="9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s="1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s="1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s="30" t="s">
        <v>1307</v>
      </c>
      <c r="EF96">
        <f>_xlfn.XLOOKUP(EE96,'KPI Impacts'!$B$2:$H$2,'KPI Impacts'!$B96:$H96)</f>
        <v>150000000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s="29" t="s">
        <v>1306</v>
      </c>
      <c r="EV96">
        <f>_xlfn.XLOOKUP(EU96,'KPI Impacts'!$B$2:$H$2,'KPI Impacts'!$B96:$H96)</f>
        <v>-320000000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s="16" t="s">
        <v>1303</v>
      </c>
      <c r="FL96">
        <f>_xlfn.XLOOKUP(FK96,'KPI Impacts'!$B$2:$H$2,'KPI Impacts'!$B96:$H96)</f>
        <v>0</v>
      </c>
      <c r="FM96" s="35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s="29" t="s">
        <v>1304</v>
      </c>
      <c r="GB96">
        <f>_xlfn.XLOOKUP(GA96,'KPI Impacts'!$B$2:$H$2,'KPI Impacts'!$B96:$H96)</f>
        <v>-120000000</v>
      </c>
      <c r="GC96" s="35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s="16" t="s">
        <v>1303</v>
      </c>
      <c r="GR96">
        <f>_xlfn.XLOOKUP(GQ96,'KPI Impacts'!$B$2:$H$2,'KPI Impacts'!$B96:$H96)</f>
        <v>0</v>
      </c>
      <c r="GS96" s="35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s="16" t="s">
        <v>1303</v>
      </c>
      <c r="HH96">
        <f>_xlfn.XLOOKUP(HG96,'KPI Impacts'!$B$2:$H$2,'KPI Impacts'!$B96:$H96)</f>
        <v>0</v>
      </c>
      <c r="HI96" s="35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s="16" t="s">
        <v>1303</v>
      </c>
      <c r="HX96">
        <f>_xlfn.XLOOKUP(HW96,'KPI Impacts'!$B$2:$H$2,'KPI Impacts'!$B96:$H96)</f>
        <v>0</v>
      </c>
      <c r="HY96" s="35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s="16" t="s">
        <v>1303</v>
      </c>
      <c r="IN96">
        <f>_xlfn.XLOOKUP(IM96,'KPI Impacts'!$B$2:$H$2,'KPI Impacts'!$B96:$H96)</f>
        <v>0</v>
      </c>
      <c r="IO96" s="35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s="29" t="s">
        <v>1304</v>
      </c>
      <c r="JD96">
        <f>_xlfn.XLOOKUP(JC96,'KPI Impacts'!$B$2:$H$2,'KPI Impacts'!$B96:$H96)</f>
        <v>-120000000</v>
      </c>
      <c r="JE96" s="35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U97" s="9"/>
      <c r="BY97" s="12"/>
      <c r="BZ97" s="12"/>
      <c r="CA97" s="12"/>
      <c r="CB97" s="12"/>
      <c r="CC97" s="12"/>
      <c r="CD97" s="12"/>
      <c r="CE97" s="12"/>
      <c r="CF97" s="12"/>
      <c r="CG97" s="12"/>
      <c r="CK97" s="9"/>
      <c r="CO97" s="12"/>
      <c r="CP97" s="12"/>
      <c r="CQ97" s="12"/>
      <c r="CR97" s="12"/>
      <c r="CS97" s="12"/>
      <c r="CT97" s="12"/>
      <c r="CU97" s="12"/>
      <c r="CV97" s="12"/>
      <c r="CW97" s="12"/>
      <c r="DA97" s="9"/>
      <c r="DE97" s="12"/>
      <c r="DF97" s="12"/>
      <c r="DG97" s="12"/>
      <c r="DH97" s="12"/>
      <c r="DI97" s="12"/>
      <c r="DJ97" s="12"/>
      <c r="DK97" s="12"/>
      <c r="DL97" s="12"/>
      <c r="DM97" s="12"/>
      <c r="DQ97" s="9"/>
      <c r="DU97" s="12"/>
      <c r="DV97" s="12"/>
      <c r="DW97" s="12"/>
      <c r="DX97" s="12"/>
      <c r="DY97" s="12"/>
      <c r="DZ97" s="12"/>
      <c r="EA97" s="12"/>
      <c r="EB97" s="12"/>
      <c r="EC97" s="12"/>
      <c r="EG97" s="9"/>
      <c r="EK97" s="12"/>
      <c r="EL97" s="12"/>
      <c r="EM97" s="12"/>
      <c r="EN97" s="12"/>
      <c r="EO97" s="12"/>
      <c r="EP97" s="12"/>
      <c r="EQ97" s="12"/>
      <c r="ER97" s="12"/>
      <c r="ES97" s="12"/>
      <c r="EW97" s="9"/>
      <c r="FA97" s="12"/>
      <c r="FB97" s="12"/>
      <c r="FC97" s="12"/>
      <c r="FD97" s="12"/>
      <c r="FE97" s="12"/>
      <c r="FF97" s="12"/>
      <c r="FG97" s="12"/>
      <c r="FH97" s="12"/>
      <c r="FI97" s="12"/>
      <c r="FM97" s="9"/>
      <c r="FQ97" s="12"/>
      <c r="FR97" s="12"/>
      <c r="FS97" s="12"/>
      <c r="FT97" s="12"/>
      <c r="FU97" s="12"/>
      <c r="FV97" s="12"/>
      <c r="FW97" s="12"/>
      <c r="FX97" s="12"/>
      <c r="FY97" s="12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U98" s="9"/>
      <c r="BY98" s="12"/>
      <c r="BZ98" s="12"/>
      <c r="CA98" s="12"/>
      <c r="CB98" s="12"/>
      <c r="CC98" s="12"/>
      <c r="CD98" s="12"/>
      <c r="CE98" s="12"/>
      <c r="CF98" s="12"/>
      <c r="CG98" s="12"/>
      <c r="CK98" s="9"/>
      <c r="CO98" s="12"/>
      <c r="CP98" s="12"/>
      <c r="CQ98" s="12"/>
      <c r="CR98" s="12"/>
      <c r="CS98" s="12"/>
      <c r="CT98" s="12"/>
      <c r="CU98" s="12"/>
      <c r="CV98" s="12"/>
      <c r="CW98" s="12"/>
      <c r="DA98" s="9"/>
      <c r="DE98" s="12"/>
      <c r="DF98" s="12"/>
      <c r="DG98" s="12"/>
      <c r="DH98" s="12"/>
      <c r="DI98" s="12"/>
      <c r="DJ98" s="12"/>
      <c r="DK98" s="12"/>
      <c r="DL98" s="12"/>
      <c r="DM98" s="12"/>
      <c r="DQ98" s="9"/>
      <c r="DU98" s="12"/>
      <c r="DV98" s="12"/>
      <c r="DW98" s="12"/>
      <c r="DX98" s="12"/>
      <c r="DY98" s="12"/>
      <c r="DZ98" s="12"/>
      <c r="EA98" s="12"/>
      <c r="EB98" s="12"/>
      <c r="EC98" s="12"/>
      <c r="EG98" s="9"/>
      <c r="EK98" s="12"/>
      <c r="EL98" s="12"/>
      <c r="EM98" s="12"/>
      <c r="EN98" s="12"/>
      <c r="EO98" s="12"/>
      <c r="EP98" s="12"/>
      <c r="EQ98" s="12"/>
      <c r="ER98" s="12"/>
      <c r="ES98" s="12"/>
      <c r="EW98" s="9"/>
      <c r="FA98" s="12"/>
      <c r="FB98" s="12"/>
      <c r="FC98" s="12"/>
      <c r="FD98" s="12"/>
      <c r="FE98" s="12"/>
      <c r="FF98" s="12"/>
      <c r="FG98" s="12"/>
      <c r="FH98" s="12"/>
      <c r="FI98" s="12"/>
      <c r="FM98" s="9"/>
      <c r="FQ98" s="12"/>
      <c r="FR98" s="12"/>
      <c r="FS98" s="12"/>
      <c r="FT98" s="12"/>
      <c r="FU98" s="12"/>
      <c r="FV98" s="12"/>
      <c r="FW98" s="12"/>
      <c r="FX98" s="12"/>
      <c r="FY98" s="12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U99" s="9"/>
      <c r="BY99" s="12"/>
      <c r="BZ99" s="12"/>
      <c r="CA99" s="12"/>
      <c r="CB99" s="12"/>
      <c r="CC99" s="12"/>
      <c r="CD99" s="12"/>
      <c r="CE99" s="12"/>
      <c r="CF99" s="12"/>
      <c r="CG99" s="12"/>
      <c r="CK99" s="9"/>
      <c r="CO99" s="12"/>
      <c r="CP99" s="12"/>
      <c r="CQ99" s="12"/>
      <c r="CR99" s="12"/>
      <c r="CS99" s="12"/>
      <c r="CT99" s="12"/>
      <c r="CU99" s="12"/>
      <c r="CV99" s="12"/>
      <c r="CW99" s="12"/>
      <c r="DA99" s="9"/>
      <c r="DE99" s="12"/>
      <c r="DF99" s="12"/>
      <c r="DG99" s="12"/>
      <c r="DH99" s="12"/>
      <c r="DI99" s="12"/>
      <c r="DJ99" s="12"/>
      <c r="DK99" s="12"/>
      <c r="DL99" s="12"/>
      <c r="DM99" s="12"/>
      <c r="DQ99" s="9"/>
      <c r="DU99" s="12"/>
      <c r="DV99" s="12"/>
      <c r="DW99" s="12"/>
      <c r="DX99" s="12"/>
      <c r="DY99" s="12"/>
      <c r="DZ99" s="12"/>
      <c r="EA99" s="12"/>
      <c r="EB99" s="12"/>
      <c r="EC99" s="12"/>
      <c r="EG99" s="9"/>
      <c r="EK99" s="12"/>
      <c r="EL99" s="12"/>
      <c r="EM99" s="12"/>
      <c r="EN99" s="12"/>
      <c r="EO99" s="12"/>
      <c r="EP99" s="12"/>
      <c r="EQ99" s="12"/>
      <c r="ER99" s="12"/>
      <c r="ES99" s="12"/>
      <c r="EW99" s="9"/>
      <c r="FA99" s="12"/>
      <c r="FB99" s="12"/>
      <c r="FC99" s="12"/>
      <c r="FD99" s="12"/>
      <c r="FE99" s="12"/>
      <c r="FF99" s="12"/>
      <c r="FG99" s="12"/>
      <c r="FH99" s="12"/>
      <c r="FI99" s="12"/>
      <c r="FM99" s="9"/>
      <c r="FQ99" s="12"/>
      <c r="FR99" s="12"/>
      <c r="FS99" s="12"/>
      <c r="FT99" s="12"/>
      <c r="FU99" s="12"/>
      <c r="FV99" s="12"/>
      <c r="FW99" s="12"/>
      <c r="FX99" s="12"/>
      <c r="FY99" s="12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U100" s="9"/>
      <c r="BY100" s="12"/>
      <c r="BZ100" s="12"/>
      <c r="CA100" s="12"/>
      <c r="CB100" s="12"/>
      <c r="CC100" s="12"/>
      <c r="CD100" s="12"/>
      <c r="CE100" s="12"/>
      <c r="CF100" s="12"/>
      <c r="CG100" s="12"/>
      <c r="CK100" s="9"/>
      <c r="CO100" s="12"/>
      <c r="CP100" s="12"/>
      <c r="CQ100" s="12"/>
      <c r="CR100" s="12"/>
      <c r="CS100" s="12"/>
      <c r="CT100" s="12"/>
      <c r="CU100" s="12"/>
      <c r="CV100" s="12"/>
      <c r="CW100" s="12"/>
      <c r="DA100" s="9"/>
      <c r="DE100" s="12"/>
      <c r="DF100" s="12"/>
      <c r="DG100" s="12"/>
      <c r="DH100" s="12"/>
      <c r="DI100" s="12"/>
      <c r="DJ100" s="12"/>
      <c r="DK100" s="12"/>
      <c r="DL100" s="12"/>
      <c r="DM100" s="12"/>
      <c r="DQ100" s="9"/>
      <c r="DU100" s="12"/>
      <c r="DV100" s="12"/>
      <c r="DW100" s="12"/>
      <c r="DX100" s="12"/>
      <c r="DY100" s="12"/>
      <c r="DZ100" s="12"/>
      <c r="EA100" s="12"/>
      <c r="EB100" s="12"/>
      <c r="EC100" s="12"/>
      <c r="EG100" s="9"/>
      <c r="EK100" s="12"/>
      <c r="EL100" s="12"/>
      <c r="EM100" s="12"/>
      <c r="EN100" s="12"/>
      <c r="EO100" s="12"/>
      <c r="EP100" s="12"/>
      <c r="EQ100" s="12"/>
      <c r="ER100" s="12"/>
      <c r="ES100" s="12"/>
      <c r="EW100" s="9"/>
      <c r="FA100" s="12"/>
      <c r="FB100" s="12"/>
      <c r="FC100" s="12"/>
      <c r="FD100" s="12"/>
      <c r="FE100" s="12"/>
      <c r="FF100" s="12"/>
      <c r="FG100" s="12"/>
      <c r="FH100" s="12"/>
      <c r="FI100" s="12"/>
      <c r="FM100" s="9"/>
      <c r="FQ100" s="12"/>
      <c r="FR100" s="12"/>
      <c r="FS100" s="12"/>
      <c r="FT100" s="12"/>
      <c r="FU100" s="12"/>
      <c r="FV100" s="12"/>
      <c r="FW100" s="12"/>
      <c r="FX100" s="12"/>
      <c r="FY100" s="12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U101" s="9"/>
      <c r="BY101" s="12"/>
      <c r="BZ101" s="12"/>
      <c r="CA101" s="12"/>
      <c r="CB101" s="12"/>
      <c r="CC101" s="12"/>
      <c r="CD101" s="12"/>
      <c r="CE101" s="12"/>
      <c r="CF101" s="12"/>
      <c r="CG101" s="12"/>
      <c r="CK101" s="9"/>
      <c r="CO101" s="12"/>
      <c r="CP101" s="12"/>
      <c r="CQ101" s="12"/>
      <c r="CR101" s="12"/>
      <c r="CS101" s="12"/>
      <c r="CT101" s="12"/>
      <c r="CU101" s="12"/>
      <c r="CV101" s="12"/>
      <c r="CW101" s="12"/>
      <c r="DA101" s="9"/>
      <c r="DE101" s="12"/>
      <c r="DF101" s="12"/>
      <c r="DG101" s="12"/>
      <c r="DH101" s="12"/>
      <c r="DI101" s="12"/>
      <c r="DJ101" s="12"/>
      <c r="DK101" s="12"/>
      <c r="DL101" s="12"/>
      <c r="DM101" s="12"/>
      <c r="DQ101" s="9"/>
      <c r="DU101" s="12"/>
      <c r="DV101" s="12"/>
      <c r="DW101" s="12"/>
      <c r="DX101" s="12"/>
      <c r="DY101" s="12"/>
      <c r="DZ101" s="12"/>
      <c r="EA101" s="12"/>
      <c r="EB101" s="12"/>
      <c r="EC101" s="12"/>
      <c r="EG101" s="9"/>
      <c r="EK101" s="12"/>
      <c r="EL101" s="12"/>
      <c r="EM101" s="12"/>
      <c r="EN101" s="12"/>
      <c r="EO101" s="12"/>
      <c r="EP101" s="12"/>
      <c r="EQ101" s="12"/>
      <c r="ER101" s="12"/>
      <c r="ES101" s="12"/>
      <c r="EW101" s="9"/>
      <c r="FA101" s="12"/>
      <c r="FB101" s="12"/>
      <c r="FC101" s="12"/>
      <c r="FD101" s="12"/>
      <c r="FE101" s="12"/>
      <c r="FF101" s="12"/>
      <c r="FG101" s="12"/>
      <c r="FH101" s="12"/>
      <c r="FI101" s="12"/>
      <c r="FM101" s="9"/>
      <c r="FQ101" s="12"/>
      <c r="FR101" s="12"/>
      <c r="FS101" s="12"/>
      <c r="FT101" s="12"/>
      <c r="FU101" s="12"/>
      <c r="FV101" s="12"/>
      <c r="FW101" s="12"/>
      <c r="FX101" s="12"/>
      <c r="FY101" s="12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35">M102+Y102+AQ102+BI102+BY102+CO102+DE102+DU102+EK102+FA102+FQ102+GG102+GW102+HM102+IC102+IS102+JI102+JY102+KO102+LE102+LU102+MK102+NA102+NQ102+OG102</f>
        <v>0</v>
      </c>
      <c r="C102" s="12">
        <f t="shared" si="535"/>
        <v>0</v>
      </c>
      <c r="D102" s="12">
        <f t="shared" si="535"/>
        <v>0</v>
      </c>
      <c r="E102" s="12">
        <f t="shared" si="535"/>
        <v>0</v>
      </c>
      <c r="F102" s="12">
        <f t="shared" si="535"/>
        <v>0</v>
      </c>
      <c r="G102" s="12">
        <f t="shared" si="535"/>
        <v>0</v>
      </c>
      <c r="H102" s="12">
        <f t="shared" si="535"/>
        <v>0</v>
      </c>
      <c r="I102" s="12">
        <f t="shared" ref="I102:J104" si="536">AF102+AX102+BP102+CF102+CV102+DL102+EB102+ER102+FH102+FX102+GN102+HD102+HT102+IJ102+IZ102+JP102+KF102+KV102+LL102+MB102+MR102+NH102+NX102+ON102</f>
        <v>0</v>
      </c>
      <c r="J102" s="12">
        <f t="shared" si="536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1303</v>
      </c>
      <c r="V102">
        <f>_xlfn.XLOOKUP(U102,'KPI Impacts'!$B$2:$H$2,'KPI Impacts'!$B102:$H102)</f>
        <v>0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1303</v>
      </c>
      <c r="AJ102">
        <f>_xlfn.XLOOKUP(AI102,'KPI Impacts'!$K$2:$Q$2,'KPI Impacts'!$K102:$Q102)</f>
        <v>0</v>
      </c>
      <c r="AK102" t="s">
        <v>1303</v>
      </c>
      <c r="AL102">
        <f>_xlfn.XLOOKUP(AK102,'KPI Impacts'!$K$2:$Q$2,'KPI Impacts'!$K102:$Q102)</f>
        <v>0</v>
      </c>
      <c r="AM102" t="s">
        <v>1303</v>
      </c>
      <c r="AN102">
        <f>_xlfn.XLOOKUP(AM102,'KPI Impacts'!$K$2:$Q$2,'KPI Impacts'!$K102:$Q102)</f>
        <v>0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1303</v>
      </c>
      <c r="BB102">
        <f>_xlfn.XLOOKUP(BA102,'KPI Impacts'!$K$2:$Q$2,'KPI Impacts'!$K102:$Q102)</f>
        <v>0</v>
      </c>
      <c r="BC102" t="s">
        <v>1303</v>
      </c>
      <c r="BD102">
        <f>_xlfn.XLOOKUP(BC102,'KPI Impacts'!$K$2:$Q$2,'KPI Impacts'!$K102:$Q102)</f>
        <v>0</v>
      </c>
      <c r="BE102" t="s">
        <v>1303</v>
      </c>
      <c r="BF102">
        <f>_xlfn.XLOOKUP(BE102,'KPI Impacts'!$K$2:$Q$2,'KPI Impacts'!$K102:$Q102)</f>
        <v>0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t="s">
        <v>1303</v>
      </c>
      <c r="BT102">
        <f>_xlfn.XLOOKUP(BS102,'KPI Impacts'!$B$2:$H$2,'KPI Impacts'!$B102:$H102)</f>
        <v>0</v>
      </c>
      <c r="BU102" s="9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t="s">
        <v>1303</v>
      </c>
      <c r="CJ102">
        <f>_xlfn.XLOOKUP(CI102,'KPI Impacts'!$B$2:$H$2,'KPI Impacts'!$B102:$H102)</f>
        <v>0</v>
      </c>
      <c r="CK102" s="9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t="s">
        <v>1303</v>
      </c>
      <c r="CZ102">
        <f>_xlfn.XLOOKUP(CY102,'KPI Impacts'!$B$2:$H$2,'KPI Impacts'!$B102:$H102)</f>
        <v>0</v>
      </c>
      <c r="DA102" s="9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t="s">
        <v>1303</v>
      </c>
      <c r="DP102">
        <f>_xlfn.XLOOKUP(DO102,'KPI Impacts'!$B$2:$H$2,'KPI Impacts'!$B102:$H102)</f>
        <v>0</v>
      </c>
      <c r="DQ102" s="9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t="s">
        <v>1303</v>
      </c>
      <c r="EF102">
        <f>_xlfn.XLOOKUP(EE102,'KPI Impacts'!$B$2:$H$2,'KPI Impacts'!$B102:$H102)</f>
        <v>0</v>
      </c>
      <c r="EG102" s="9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t="s">
        <v>1303</v>
      </c>
      <c r="EV102">
        <f>_xlfn.XLOOKUP(EU102,'KPI Impacts'!$B$2:$H$2,'KPI Impacts'!$B102:$H102)</f>
        <v>0</v>
      </c>
      <c r="EW102" s="9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t="s">
        <v>1303</v>
      </c>
      <c r="FL102">
        <f>_xlfn.XLOOKUP(FK102,'KPI Impacts'!$B$2:$H$2,'KPI Impacts'!$B102:$H102)</f>
        <v>0</v>
      </c>
      <c r="FM102" s="9" t="s">
        <v>1303</v>
      </c>
      <c r="FN102">
        <f>_xlfn.XLOOKUP(FM102,'KPI Impacts'!$B$2:$H$2,'KPI Impacts'!$B102:$H102)</f>
        <v>0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t="s">
        <v>1303</v>
      </c>
      <c r="GB102">
        <f>_xlfn.XLOOKUP(GA102,'KPI Impacts'!$B$2:$H$2,'KPI Impacts'!$B102:$H102)</f>
        <v>0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t="s">
        <v>1303</v>
      </c>
      <c r="GR102">
        <f>_xlfn.XLOOKUP(GQ102,'KPI Impacts'!$B$2:$H$2,'KPI Impacts'!$B102:$H102)</f>
        <v>0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t="s">
        <v>1303</v>
      </c>
      <c r="HH102">
        <f>_xlfn.XLOOKUP(HG102,'KPI Impacts'!$B$2:$H$2,'KPI Impacts'!$B102:$H102)</f>
        <v>0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t="s">
        <v>1303</v>
      </c>
      <c r="HX102">
        <f>_xlfn.XLOOKUP(HW102,'KPI Impacts'!$B$2:$H$2,'KPI Impacts'!$B102:$H102)</f>
        <v>0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t="s">
        <v>1303</v>
      </c>
      <c r="IN102">
        <f>_xlfn.XLOOKUP(IM102,'KPI Impacts'!$B$2:$H$2,'KPI Impacts'!$B102:$H102)</f>
        <v>0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35"/>
        <v>0</v>
      </c>
      <c r="C103" s="12">
        <f t="shared" si="535"/>
        <v>0</v>
      </c>
      <c r="D103" s="12">
        <f t="shared" si="535"/>
        <v>0</v>
      </c>
      <c r="E103" s="12">
        <f t="shared" si="535"/>
        <v>0</v>
      </c>
      <c r="F103" s="12">
        <f t="shared" si="535"/>
        <v>0</v>
      </c>
      <c r="G103" s="12">
        <f t="shared" si="535"/>
        <v>0</v>
      </c>
      <c r="H103" s="12">
        <f t="shared" si="535"/>
        <v>0</v>
      </c>
      <c r="I103" s="12">
        <f t="shared" si="536"/>
        <v>0</v>
      </c>
      <c r="J103" s="12">
        <f t="shared" si="536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1303</v>
      </c>
      <c r="V103">
        <f>_xlfn.XLOOKUP(U103,'KPI Impacts'!$B$2:$H$2,'KPI Impacts'!$B103:$H103)</f>
        <v>0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1303</v>
      </c>
      <c r="AJ103">
        <f>_xlfn.XLOOKUP(AI103,'KPI Impacts'!$K$2:$Q$2,'KPI Impacts'!$K103:$Q103)</f>
        <v>0</v>
      </c>
      <c r="AK103" t="s">
        <v>1303</v>
      </c>
      <c r="AL103">
        <f>_xlfn.XLOOKUP(AK103,'KPI Impacts'!$K$2:$Q$2,'KPI Impacts'!$K103:$Q103)</f>
        <v>0</v>
      </c>
      <c r="AM103" t="s">
        <v>1303</v>
      </c>
      <c r="AN103">
        <f>_xlfn.XLOOKUP(AM103,'KPI Impacts'!$K$2:$Q$2,'KPI Impacts'!$K103:$Q103)</f>
        <v>0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1303</v>
      </c>
      <c r="BB103">
        <f>_xlfn.XLOOKUP(BA103,'KPI Impacts'!$K$2:$Q$2,'KPI Impacts'!$K103:$Q103)</f>
        <v>0</v>
      </c>
      <c r="BC103" t="s">
        <v>1303</v>
      </c>
      <c r="BD103">
        <f>_xlfn.XLOOKUP(BC103,'KPI Impacts'!$K$2:$Q$2,'KPI Impacts'!$K103:$Q103)</f>
        <v>0</v>
      </c>
      <c r="BE103" t="s">
        <v>1303</v>
      </c>
      <c r="BF103">
        <f>_xlfn.XLOOKUP(BE103,'KPI Impacts'!$K$2:$Q$2,'KPI Impacts'!$K103:$Q103)</f>
        <v>0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t="s">
        <v>1303</v>
      </c>
      <c r="BT103">
        <f>_xlfn.XLOOKUP(BS103,'KPI Impacts'!$B$2:$H$2,'KPI Impacts'!$B103:$H103)</f>
        <v>0</v>
      </c>
      <c r="BU103" s="9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t="s">
        <v>1303</v>
      </c>
      <c r="CJ103">
        <f>_xlfn.XLOOKUP(CI103,'KPI Impacts'!$B$2:$H$2,'KPI Impacts'!$B103:$H103)</f>
        <v>0</v>
      </c>
      <c r="CK103" s="9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t="s">
        <v>1303</v>
      </c>
      <c r="CZ103">
        <f>_xlfn.XLOOKUP(CY103,'KPI Impacts'!$B$2:$H$2,'KPI Impacts'!$B103:$H103)</f>
        <v>0</v>
      </c>
      <c r="DA103" s="9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t="s">
        <v>1303</v>
      </c>
      <c r="DP103">
        <f>_xlfn.XLOOKUP(DO103,'KPI Impacts'!$B$2:$H$2,'KPI Impacts'!$B103:$H103)</f>
        <v>0</v>
      </c>
      <c r="DQ103" s="9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t="s">
        <v>1303</v>
      </c>
      <c r="EF103">
        <f>_xlfn.XLOOKUP(EE103,'KPI Impacts'!$B$2:$H$2,'KPI Impacts'!$B103:$H103)</f>
        <v>0</v>
      </c>
      <c r="EG103" s="9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t="s">
        <v>1303</v>
      </c>
      <c r="EV103">
        <f>_xlfn.XLOOKUP(EU103,'KPI Impacts'!$B$2:$H$2,'KPI Impacts'!$B103:$H103)</f>
        <v>0</v>
      </c>
      <c r="EW103" s="9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t="s">
        <v>1303</v>
      </c>
      <c r="FL103">
        <f>_xlfn.XLOOKUP(FK103,'KPI Impacts'!$B$2:$H$2,'KPI Impacts'!$B103:$H103)</f>
        <v>0</v>
      </c>
      <c r="FM103" s="9" t="s">
        <v>1303</v>
      </c>
      <c r="FN103">
        <f>_xlfn.XLOOKUP(FM103,'KPI Impacts'!$B$2:$H$2,'KPI Impacts'!$B103:$H103)</f>
        <v>0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t="s">
        <v>1303</v>
      </c>
      <c r="GB103">
        <f>_xlfn.XLOOKUP(GA103,'KPI Impacts'!$B$2:$H$2,'KPI Impacts'!$B103:$H103)</f>
        <v>0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t="s">
        <v>1303</v>
      </c>
      <c r="GR103">
        <f>_xlfn.XLOOKUP(GQ103,'KPI Impacts'!$B$2:$H$2,'KPI Impacts'!$B103:$H103)</f>
        <v>0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t="s">
        <v>1303</v>
      </c>
      <c r="HX103">
        <f>_xlfn.XLOOKUP(HW103,'KPI Impacts'!$B$2:$H$2,'KPI Impacts'!$B103:$H103)</f>
        <v>0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35"/>
        <v>0</v>
      </c>
      <c r="C104" s="12">
        <f t="shared" si="535"/>
        <v>0</v>
      </c>
      <c r="D104" s="12">
        <f t="shared" si="535"/>
        <v>0</v>
      </c>
      <c r="E104" s="12">
        <f t="shared" si="535"/>
        <v>0</v>
      </c>
      <c r="F104" s="12">
        <f t="shared" si="535"/>
        <v>0</v>
      </c>
      <c r="G104" s="12">
        <f t="shared" si="535"/>
        <v>0</v>
      </c>
      <c r="H104" s="12">
        <f t="shared" si="535"/>
        <v>0</v>
      </c>
      <c r="I104" s="12">
        <f t="shared" si="536"/>
        <v>0</v>
      </c>
      <c r="J104" s="12">
        <f t="shared" si="536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1303</v>
      </c>
      <c r="V104">
        <f>_xlfn.XLOOKUP(U104,'KPI Impacts'!$B$2:$H$2,'KPI Impacts'!$B104:$H104)</f>
        <v>0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1303</v>
      </c>
      <c r="AJ104">
        <f>_xlfn.XLOOKUP(AI104,'KPI Impacts'!$K$2:$Q$2,'KPI Impacts'!$K104:$Q104)</f>
        <v>0</v>
      </c>
      <c r="AK104" t="s">
        <v>1303</v>
      </c>
      <c r="AL104">
        <f>_xlfn.XLOOKUP(AK104,'KPI Impacts'!$K$2:$Q$2,'KPI Impacts'!$K104:$Q104)</f>
        <v>0</v>
      </c>
      <c r="AM104" t="s">
        <v>1303</v>
      </c>
      <c r="AN104">
        <f>_xlfn.XLOOKUP(AM104,'KPI Impacts'!$K$2:$Q$2,'KPI Impacts'!$K104:$Q104)</f>
        <v>0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1303</v>
      </c>
      <c r="BB104">
        <f>_xlfn.XLOOKUP(BA104,'KPI Impacts'!$K$2:$Q$2,'KPI Impacts'!$K104:$Q104)</f>
        <v>0</v>
      </c>
      <c r="BC104" t="s">
        <v>1303</v>
      </c>
      <c r="BD104">
        <f>_xlfn.XLOOKUP(BC104,'KPI Impacts'!$K$2:$Q$2,'KPI Impacts'!$K104:$Q104)</f>
        <v>0</v>
      </c>
      <c r="BE104" t="s">
        <v>1303</v>
      </c>
      <c r="BF104">
        <f>_xlfn.XLOOKUP(BE104,'KPI Impacts'!$K$2:$Q$2,'KPI Impacts'!$K104:$Q104)</f>
        <v>0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t="s">
        <v>1303</v>
      </c>
      <c r="BT104">
        <f>_xlfn.XLOOKUP(BS104,'KPI Impacts'!$B$2:$H$2,'KPI Impacts'!$B104:$H104)</f>
        <v>0</v>
      </c>
      <c r="BU104" s="9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t="s">
        <v>1303</v>
      </c>
      <c r="CJ104">
        <f>_xlfn.XLOOKUP(CI104,'KPI Impacts'!$B$2:$H$2,'KPI Impacts'!$B104:$H104)</f>
        <v>0</v>
      </c>
      <c r="CK104" s="9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t="s">
        <v>1303</v>
      </c>
      <c r="CZ104">
        <f>_xlfn.XLOOKUP(CY104,'KPI Impacts'!$B$2:$H$2,'KPI Impacts'!$B104:$H104)</f>
        <v>0</v>
      </c>
      <c r="DA104" s="9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t="s">
        <v>1303</v>
      </c>
      <c r="DP104">
        <f>_xlfn.XLOOKUP(DO104,'KPI Impacts'!$B$2:$H$2,'KPI Impacts'!$B104:$H104)</f>
        <v>0</v>
      </c>
      <c r="DQ104" s="9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t="s">
        <v>1303</v>
      </c>
      <c r="EF104">
        <f>_xlfn.XLOOKUP(EE104,'KPI Impacts'!$B$2:$H$2,'KPI Impacts'!$B104:$H104)</f>
        <v>0</v>
      </c>
      <c r="EG104" s="9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t="s">
        <v>1303</v>
      </c>
      <c r="EV104">
        <f>_xlfn.XLOOKUP(EU104,'KPI Impacts'!$B$2:$H$2,'KPI Impacts'!$B104:$H104)</f>
        <v>0</v>
      </c>
      <c r="EW104" s="9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t="s">
        <v>1303</v>
      </c>
      <c r="FL104">
        <f>_xlfn.XLOOKUP(FK104,'KPI Impacts'!$B$2:$H$2,'KPI Impacts'!$B104:$H104)</f>
        <v>0</v>
      </c>
      <c r="FM104" s="9" t="s">
        <v>1303</v>
      </c>
      <c r="FN104">
        <f>_xlfn.XLOOKUP(FM104,'KPI Impacts'!$B$2:$H$2,'KPI Impacts'!$B104:$H104)</f>
        <v>0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t="s">
        <v>1303</v>
      </c>
      <c r="HH104">
        <f>_xlfn.XLOOKUP(HG104,'KPI Impacts'!$B$2:$H$2,'KPI Impacts'!$B104:$H104)</f>
        <v>0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t="s">
        <v>1303</v>
      </c>
      <c r="HX104">
        <f>_xlfn.XLOOKUP(HW104,'KPI Impacts'!$B$2:$H$2,'KPI Impacts'!$B104:$H104)</f>
        <v>0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1621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1622</v>
      </c>
      <c r="B109" s="8">
        <f>Y6+AQ6+BI11+BY11+CO11+DE11+DU11+EK11+FA11+FQ11+GG11+GW11+HM11+IC11+IS11+JI11+JY11+KO11+LE11+LU11+MK11+NA11+NQ11+OG11</f>
        <v>0</v>
      </c>
      <c r="C109" s="8">
        <f t="shared" ref="C109:J109" si="537">Z6+AR6+BJ11+BZ11+CP11+DF11+DV11+EL11+FB11+FR11+GH11+GX11+HN11+ID11+IT11+JJ11+JZ11+KP11+LF11+LV11+ML11+NB11+NR11+OH11</f>
        <v>0</v>
      </c>
      <c r="D109" s="8">
        <f t="shared" si="537"/>
        <v>0</v>
      </c>
      <c r="E109" s="8">
        <f t="shared" si="537"/>
        <v>0</v>
      </c>
      <c r="F109" s="8">
        <f t="shared" si="537"/>
        <v>0</v>
      </c>
      <c r="G109" s="8">
        <f t="shared" si="537"/>
        <v>0</v>
      </c>
      <c r="H109" s="8">
        <f t="shared" si="537"/>
        <v>0</v>
      </c>
      <c r="I109" s="8">
        <f>AF6+AX6+BP11+CF11+CV11+DL11+EB11+ER11+FH11+FX11+GN11+HD11+HT11+IJ11+IZ11+JP11+KF11+KV11+LL11+MB11+MR11+NH11+NX11+ON11</f>
        <v>0</v>
      </c>
      <c r="J109" s="8">
        <f t="shared" si="537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1623</v>
      </c>
      <c r="B110" s="10">
        <f t="shared" ref="B110:J110" si="538">BI13+BY13+CO13+DE13+DU13+EK13+FA13+FQ13+GG13+GW13+HM13+IC13+IS13+JI13+JY13+KO13+LE13+LU13+MK13+NA13+NQ13+OG13</f>
        <v>0</v>
      </c>
      <c r="C110" s="10">
        <f t="shared" si="538"/>
        <v>0</v>
      </c>
      <c r="D110" s="10">
        <f t="shared" si="538"/>
        <v>0</v>
      </c>
      <c r="E110" s="10">
        <f t="shared" si="538"/>
        <v>0</v>
      </c>
      <c r="F110" s="10">
        <f t="shared" si="538"/>
        <v>0</v>
      </c>
      <c r="G110" s="10">
        <f t="shared" si="538"/>
        <v>0</v>
      </c>
      <c r="H110" s="10">
        <f t="shared" si="538"/>
        <v>0</v>
      </c>
      <c r="I110" s="10">
        <f t="shared" si="538"/>
        <v>0</v>
      </c>
      <c r="J110" s="10">
        <f t="shared" si="538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1624</v>
      </c>
      <c r="B111" s="10">
        <f>B108-B110</f>
        <v>0</v>
      </c>
      <c r="C111" s="10">
        <f t="shared" ref="C111:J111" si="539">C108-C110</f>
        <v>100000000</v>
      </c>
      <c r="D111" s="10">
        <f t="shared" si="539"/>
        <v>100000000</v>
      </c>
      <c r="E111" s="10">
        <f t="shared" si="539"/>
        <v>100000000</v>
      </c>
      <c r="F111" s="10">
        <f t="shared" si="539"/>
        <v>100000000</v>
      </c>
      <c r="G111" s="10">
        <f t="shared" si="539"/>
        <v>100000000</v>
      </c>
      <c r="H111" s="10">
        <f t="shared" si="539"/>
        <v>100000000</v>
      </c>
      <c r="I111" s="10">
        <f t="shared" si="539"/>
        <v>100000000</v>
      </c>
      <c r="J111" s="10">
        <f t="shared" si="539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1625</v>
      </c>
      <c r="B112" s="8">
        <f>B109+B110</f>
        <v>0</v>
      </c>
      <c r="C112" s="8">
        <f t="shared" ref="C112:J112" si="540">C109+C110</f>
        <v>0</v>
      </c>
      <c r="D112" s="8">
        <f t="shared" si="540"/>
        <v>0</v>
      </c>
      <c r="E112" s="8">
        <f t="shared" si="540"/>
        <v>0</v>
      </c>
      <c r="F112" s="8">
        <f t="shared" si="540"/>
        <v>0</v>
      </c>
      <c r="G112" s="8">
        <f t="shared" si="540"/>
        <v>0</v>
      </c>
      <c r="H112" s="8">
        <f t="shared" si="540"/>
        <v>0</v>
      </c>
      <c r="I112" s="8">
        <f t="shared" si="540"/>
        <v>0</v>
      </c>
      <c r="J112" s="8">
        <f t="shared" si="540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1626</v>
      </c>
      <c r="B113" s="8">
        <f>B108-B112</f>
        <v>0</v>
      </c>
      <c r="C113" s="8">
        <f t="shared" ref="C113:J113" si="541">C108-C112</f>
        <v>100000000</v>
      </c>
      <c r="D113" s="8">
        <f t="shared" si="541"/>
        <v>100000000</v>
      </c>
      <c r="E113" s="8">
        <f t="shared" si="541"/>
        <v>100000000</v>
      </c>
      <c r="F113" s="8">
        <f t="shared" si="541"/>
        <v>100000000</v>
      </c>
      <c r="G113" s="8">
        <f t="shared" si="541"/>
        <v>100000000</v>
      </c>
      <c r="H113" s="8">
        <f t="shared" si="541"/>
        <v>100000000</v>
      </c>
      <c r="I113" s="8">
        <f t="shared" si="541"/>
        <v>100000000</v>
      </c>
      <c r="J113" s="8">
        <f t="shared" si="541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1627</v>
      </c>
      <c r="B114" s="8">
        <f>C110</f>
        <v>0</v>
      </c>
      <c r="C114" s="8">
        <f t="shared" ref="C114:I114" si="542">D110</f>
        <v>0</v>
      </c>
      <c r="D114" s="8">
        <f t="shared" si="542"/>
        <v>0</v>
      </c>
      <c r="E114" s="8">
        <f t="shared" si="542"/>
        <v>0</v>
      </c>
      <c r="F114" s="8">
        <f t="shared" si="542"/>
        <v>0</v>
      </c>
      <c r="G114" s="8">
        <f t="shared" si="542"/>
        <v>0</v>
      </c>
      <c r="H114" s="8">
        <f t="shared" si="542"/>
        <v>0</v>
      </c>
      <c r="I114" s="8">
        <f t="shared" si="542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A5A5-374B-104D-9B7F-A4AE6537500C}">
  <dimension ref="A1:SW114"/>
  <sheetViews>
    <sheetView zoomScaleNormal="100" workbookViewId="0">
      <pane xSplit="1" ySplit="22" topLeftCell="HU23" activePane="bottomRight" state="frozen"/>
      <selection pane="topRight" activeCell="B1" sqref="B1"/>
      <selection pane="bottomLeft" activeCell="A23" sqref="A23"/>
      <selection pane="bottomRight" activeCell="IB62" sqref="IB62"/>
    </sheetView>
  </sheetViews>
  <sheetFormatPr baseColWidth="10" defaultColWidth="13.83203125" defaultRowHeight="15" x14ac:dyDescent="0.2"/>
  <cols>
    <col min="1" max="1" width="25.83203125" customWidth="1"/>
    <col min="2" max="10" width="16.1640625" customWidth="1"/>
    <col min="12" max="12" width="21.5" customWidth="1"/>
    <col min="24" max="24" width="25.83203125" customWidth="1"/>
    <col min="42" max="42" width="25.83203125" customWidth="1"/>
    <col min="60" max="60" width="25.83203125" customWidth="1"/>
    <col min="76" max="76" width="25.83203125" customWidth="1"/>
    <col min="92" max="92" width="25.83203125" customWidth="1"/>
    <col min="108" max="108" width="25.83203125" customWidth="1"/>
    <col min="124" max="124" width="25.83203125" customWidth="1"/>
    <col min="140" max="140" width="25.83203125" customWidth="1"/>
    <col min="156" max="156" width="25.83203125" customWidth="1"/>
    <col min="172" max="172" width="25.6640625" customWidth="1"/>
    <col min="188" max="188" width="25.6640625" customWidth="1"/>
    <col min="204" max="204" width="25.6640625" customWidth="1"/>
    <col min="220" max="220" width="25.6640625" customWidth="1"/>
    <col min="236" max="236" width="25.6640625" customWidth="1"/>
    <col min="252" max="252" width="25.6640625" customWidth="1"/>
    <col min="268" max="268" width="25.6640625" customWidth="1"/>
    <col min="284" max="284" width="25.6640625" customWidth="1"/>
    <col min="300" max="300" width="25.6640625" customWidth="1"/>
    <col min="316" max="316" width="25.6640625" customWidth="1"/>
    <col min="332" max="332" width="25.6640625" customWidth="1"/>
    <col min="348" max="348" width="25.6640625" customWidth="1"/>
    <col min="364" max="364" width="25.6640625" customWidth="1"/>
    <col min="380" max="380" width="25.6640625" customWidth="1"/>
    <col min="396" max="396" width="25.6640625" customWidth="1"/>
  </cols>
  <sheetData>
    <row r="1" spans="1:517" x14ac:dyDescent="0.2"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9"/>
      <c r="M1">
        <v>0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 s="9"/>
      <c r="U1" s="34" t="s">
        <v>1941</v>
      </c>
      <c r="V1" s="6"/>
      <c r="Y1">
        <v>0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I1" s="26" t="s">
        <v>10</v>
      </c>
      <c r="AJ1" s="6"/>
      <c r="AK1" s="26" t="s">
        <v>7</v>
      </c>
      <c r="AL1" s="6"/>
      <c r="AM1" s="26" t="s">
        <v>11</v>
      </c>
      <c r="AN1" s="6"/>
      <c r="AQ1">
        <v>0</v>
      </c>
      <c r="AR1">
        <v>1</v>
      </c>
      <c r="AS1">
        <v>2</v>
      </c>
      <c r="AT1">
        <v>3</v>
      </c>
      <c r="AU1">
        <v>4</v>
      </c>
      <c r="AV1">
        <v>5</v>
      </c>
      <c r="AW1">
        <v>6</v>
      </c>
      <c r="AX1">
        <v>7</v>
      </c>
      <c r="AY1">
        <v>8</v>
      </c>
      <c r="BA1" s="26" t="s">
        <v>10</v>
      </c>
      <c r="BB1" s="6"/>
      <c r="BC1" s="26" t="s">
        <v>7</v>
      </c>
      <c r="BD1" s="6"/>
      <c r="BE1" s="26" t="s">
        <v>11</v>
      </c>
      <c r="BF1" s="6"/>
      <c r="BI1">
        <v>0</v>
      </c>
      <c r="BJ1">
        <v>1</v>
      </c>
      <c r="BK1">
        <v>2</v>
      </c>
      <c r="BL1">
        <v>3</v>
      </c>
      <c r="BM1">
        <v>4</v>
      </c>
      <c r="BN1">
        <v>5</v>
      </c>
      <c r="BO1">
        <v>6</v>
      </c>
      <c r="BP1">
        <v>7</v>
      </c>
      <c r="BQ1">
        <v>8</v>
      </c>
      <c r="BS1" s="34" t="s">
        <v>1834</v>
      </c>
      <c r="BT1" s="6"/>
      <c r="BU1" s="34" t="s">
        <v>1835</v>
      </c>
      <c r="BV1" s="6"/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I1" s="34" t="s">
        <v>1834</v>
      </c>
      <c r="CJ1" s="6"/>
      <c r="CK1" s="34" t="s">
        <v>1835</v>
      </c>
      <c r="CL1" s="6"/>
      <c r="CO1">
        <v>0</v>
      </c>
      <c r="CP1">
        <v>1</v>
      </c>
      <c r="CQ1">
        <v>2</v>
      </c>
      <c r="CR1">
        <v>3</v>
      </c>
      <c r="CS1">
        <v>4</v>
      </c>
      <c r="CT1">
        <v>5</v>
      </c>
      <c r="CU1">
        <v>6</v>
      </c>
      <c r="CV1">
        <v>7</v>
      </c>
      <c r="CW1">
        <v>8</v>
      </c>
      <c r="CY1" s="34" t="s">
        <v>1834</v>
      </c>
      <c r="CZ1" s="6"/>
      <c r="DA1" s="34" t="s">
        <v>1835</v>
      </c>
      <c r="DB1" s="6"/>
      <c r="DE1">
        <v>0</v>
      </c>
      <c r="DF1">
        <v>1</v>
      </c>
      <c r="DG1">
        <v>2</v>
      </c>
      <c r="DH1">
        <v>3</v>
      </c>
      <c r="DI1">
        <v>4</v>
      </c>
      <c r="DJ1">
        <v>5</v>
      </c>
      <c r="DK1">
        <v>6</v>
      </c>
      <c r="DL1">
        <v>7</v>
      </c>
      <c r="DM1">
        <v>8</v>
      </c>
      <c r="DO1" s="34" t="s">
        <v>1834</v>
      </c>
      <c r="DP1" s="6"/>
      <c r="DQ1" s="34" t="s">
        <v>1835</v>
      </c>
      <c r="DR1" s="6"/>
      <c r="DU1">
        <v>0</v>
      </c>
      <c r="DV1">
        <v>1</v>
      </c>
      <c r="DW1">
        <v>2</v>
      </c>
      <c r="DX1">
        <v>3</v>
      </c>
      <c r="DY1">
        <v>4</v>
      </c>
      <c r="DZ1">
        <v>5</v>
      </c>
      <c r="EA1">
        <v>6</v>
      </c>
      <c r="EB1">
        <v>7</v>
      </c>
      <c r="EC1">
        <v>8</v>
      </c>
      <c r="EE1" s="34" t="s">
        <v>1834</v>
      </c>
      <c r="EF1" s="6"/>
      <c r="EG1" s="34" t="s">
        <v>1835</v>
      </c>
      <c r="EH1" s="6"/>
      <c r="EK1">
        <v>0</v>
      </c>
      <c r="EL1">
        <v>1</v>
      </c>
      <c r="EM1">
        <v>2</v>
      </c>
      <c r="EN1">
        <v>3</v>
      </c>
      <c r="EO1">
        <v>4</v>
      </c>
      <c r="EP1">
        <v>5</v>
      </c>
      <c r="EQ1">
        <v>6</v>
      </c>
      <c r="ER1">
        <v>7</v>
      </c>
      <c r="ES1">
        <v>8</v>
      </c>
      <c r="EU1" s="34" t="s">
        <v>1834</v>
      </c>
      <c r="EV1" s="6"/>
      <c r="EW1" s="34" t="s">
        <v>1835</v>
      </c>
      <c r="EX1" s="6"/>
      <c r="FA1">
        <v>0</v>
      </c>
      <c r="FB1">
        <v>1</v>
      </c>
      <c r="FC1">
        <v>2</v>
      </c>
      <c r="FD1">
        <v>3</v>
      </c>
      <c r="FE1">
        <v>4</v>
      </c>
      <c r="FF1">
        <v>5</v>
      </c>
      <c r="FG1">
        <v>6</v>
      </c>
      <c r="FH1">
        <v>7</v>
      </c>
      <c r="FI1">
        <v>8</v>
      </c>
      <c r="FK1" s="5" t="s">
        <v>1834</v>
      </c>
      <c r="FL1" s="6"/>
      <c r="FM1" s="5" t="s">
        <v>1835</v>
      </c>
      <c r="FN1" s="6"/>
      <c r="FQ1">
        <v>0</v>
      </c>
      <c r="FR1">
        <v>1</v>
      </c>
      <c r="FS1">
        <v>2</v>
      </c>
      <c r="FT1">
        <v>3</v>
      </c>
      <c r="FU1">
        <v>4</v>
      </c>
      <c r="FV1">
        <v>5</v>
      </c>
      <c r="FW1">
        <v>6</v>
      </c>
      <c r="FX1">
        <v>7</v>
      </c>
      <c r="FY1">
        <v>8</v>
      </c>
      <c r="GA1" s="5" t="s">
        <v>1834</v>
      </c>
      <c r="GB1" s="6"/>
      <c r="GC1" s="5" t="s">
        <v>1835</v>
      </c>
      <c r="GD1" s="6"/>
      <c r="GG1">
        <v>0</v>
      </c>
      <c r="GH1">
        <v>1</v>
      </c>
      <c r="GI1">
        <v>2</v>
      </c>
      <c r="GJ1">
        <v>3</v>
      </c>
      <c r="GK1">
        <v>4</v>
      </c>
      <c r="GL1">
        <v>5</v>
      </c>
      <c r="GM1">
        <v>6</v>
      </c>
      <c r="GN1">
        <v>7</v>
      </c>
      <c r="GO1">
        <v>8</v>
      </c>
      <c r="GQ1" s="5" t="s">
        <v>1834</v>
      </c>
      <c r="GS1" s="5" t="s">
        <v>1835</v>
      </c>
      <c r="GW1">
        <v>0</v>
      </c>
      <c r="GX1">
        <v>1</v>
      </c>
      <c r="GY1">
        <v>2</v>
      </c>
      <c r="GZ1">
        <v>3</v>
      </c>
      <c r="HA1">
        <v>4</v>
      </c>
      <c r="HB1">
        <v>5</v>
      </c>
      <c r="HC1">
        <v>6</v>
      </c>
      <c r="HD1">
        <v>7</v>
      </c>
      <c r="HE1">
        <v>8</v>
      </c>
      <c r="HG1" s="5" t="s">
        <v>1834</v>
      </c>
      <c r="HI1" s="5" t="s">
        <v>1835</v>
      </c>
      <c r="HM1">
        <v>0</v>
      </c>
      <c r="HN1">
        <v>1</v>
      </c>
      <c r="HO1">
        <v>2</v>
      </c>
      <c r="HP1">
        <v>3</v>
      </c>
      <c r="HQ1">
        <v>4</v>
      </c>
      <c r="HR1">
        <v>5</v>
      </c>
      <c r="HS1">
        <v>6</v>
      </c>
      <c r="HT1">
        <v>7</v>
      </c>
      <c r="HU1">
        <v>8</v>
      </c>
      <c r="HW1" s="5" t="s">
        <v>1834</v>
      </c>
      <c r="HY1" s="5" t="s">
        <v>1835</v>
      </c>
      <c r="IC1">
        <v>0</v>
      </c>
      <c r="ID1">
        <v>1</v>
      </c>
      <c r="IE1">
        <v>2</v>
      </c>
      <c r="IF1">
        <v>3</v>
      </c>
      <c r="IG1">
        <v>4</v>
      </c>
      <c r="IH1">
        <v>5</v>
      </c>
      <c r="II1">
        <v>6</v>
      </c>
      <c r="IJ1">
        <v>7</v>
      </c>
      <c r="IK1">
        <v>8</v>
      </c>
      <c r="IM1" s="5" t="s">
        <v>1834</v>
      </c>
      <c r="IO1" s="5" t="s">
        <v>1835</v>
      </c>
      <c r="IS1">
        <v>0</v>
      </c>
      <c r="IT1">
        <v>1</v>
      </c>
      <c r="IU1">
        <v>2</v>
      </c>
      <c r="IV1">
        <v>3</v>
      </c>
      <c r="IW1">
        <v>4</v>
      </c>
      <c r="IX1">
        <v>5</v>
      </c>
      <c r="IY1">
        <v>6</v>
      </c>
      <c r="IZ1">
        <v>7</v>
      </c>
      <c r="JA1">
        <v>8</v>
      </c>
      <c r="JC1" s="5" t="s">
        <v>1834</v>
      </c>
      <c r="JE1" s="5" t="s">
        <v>1835</v>
      </c>
      <c r="JI1">
        <v>0</v>
      </c>
      <c r="JJ1">
        <v>1</v>
      </c>
      <c r="JK1">
        <v>2</v>
      </c>
      <c r="JL1">
        <v>3</v>
      </c>
      <c r="JM1">
        <v>4</v>
      </c>
      <c r="JN1">
        <v>5</v>
      </c>
      <c r="JO1">
        <v>6</v>
      </c>
      <c r="JP1">
        <v>7</v>
      </c>
      <c r="JQ1">
        <v>8</v>
      </c>
      <c r="JS1" s="5" t="s">
        <v>1834</v>
      </c>
      <c r="JU1" s="5" t="s">
        <v>1835</v>
      </c>
      <c r="JY1">
        <v>0</v>
      </c>
      <c r="JZ1">
        <v>1</v>
      </c>
      <c r="KA1">
        <v>2</v>
      </c>
      <c r="KB1">
        <v>3</v>
      </c>
      <c r="KC1">
        <v>4</v>
      </c>
      <c r="KD1">
        <v>5</v>
      </c>
      <c r="KE1">
        <v>6</v>
      </c>
      <c r="KF1">
        <v>7</v>
      </c>
      <c r="KG1">
        <v>8</v>
      </c>
      <c r="KI1" s="5" t="s">
        <v>1834</v>
      </c>
      <c r="KK1" s="5" t="s">
        <v>1835</v>
      </c>
      <c r="KO1">
        <v>0</v>
      </c>
      <c r="KP1">
        <v>1</v>
      </c>
      <c r="KQ1">
        <v>2</v>
      </c>
      <c r="KR1">
        <v>3</v>
      </c>
      <c r="KS1">
        <v>4</v>
      </c>
      <c r="KT1">
        <v>5</v>
      </c>
      <c r="KU1">
        <v>6</v>
      </c>
      <c r="KV1">
        <v>7</v>
      </c>
      <c r="KW1">
        <v>8</v>
      </c>
      <c r="KY1" s="5" t="s">
        <v>1834</v>
      </c>
      <c r="LA1" s="5" t="s">
        <v>1835</v>
      </c>
      <c r="LE1">
        <v>0</v>
      </c>
      <c r="LF1">
        <v>1</v>
      </c>
      <c r="LG1">
        <v>2</v>
      </c>
      <c r="LH1">
        <v>3</v>
      </c>
      <c r="LI1">
        <v>4</v>
      </c>
      <c r="LJ1">
        <v>5</v>
      </c>
      <c r="LK1">
        <v>6</v>
      </c>
      <c r="LL1">
        <v>7</v>
      </c>
      <c r="LM1">
        <v>8</v>
      </c>
      <c r="LO1" s="5" t="s">
        <v>1834</v>
      </c>
      <c r="LQ1" s="5" t="s">
        <v>1835</v>
      </c>
      <c r="LU1">
        <v>0</v>
      </c>
      <c r="LV1">
        <v>1</v>
      </c>
      <c r="LW1">
        <v>2</v>
      </c>
      <c r="LX1">
        <v>3</v>
      </c>
      <c r="LY1">
        <v>4</v>
      </c>
      <c r="LZ1">
        <v>5</v>
      </c>
      <c r="MA1">
        <v>6</v>
      </c>
      <c r="MB1">
        <v>7</v>
      </c>
      <c r="MC1">
        <v>8</v>
      </c>
      <c r="ME1" s="5" t="s">
        <v>1834</v>
      </c>
      <c r="MG1" s="5" t="s">
        <v>1835</v>
      </c>
      <c r="MK1">
        <v>0</v>
      </c>
      <c r="ML1">
        <v>1</v>
      </c>
      <c r="MM1">
        <v>2</v>
      </c>
      <c r="MN1">
        <v>3</v>
      </c>
      <c r="MO1">
        <v>4</v>
      </c>
      <c r="MP1">
        <v>5</v>
      </c>
      <c r="MQ1">
        <v>6</v>
      </c>
      <c r="MR1">
        <v>7</v>
      </c>
      <c r="MS1">
        <v>8</v>
      </c>
      <c r="MU1" s="5" t="s">
        <v>1834</v>
      </c>
      <c r="MW1" s="5" t="s">
        <v>1835</v>
      </c>
      <c r="NA1">
        <v>0</v>
      </c>
      <c r="NB1">
        <v>1</v>
      </c>
      <c r="NC1">
        <v>2</v>
      </c>
      <c r="ND1">
        <v>3</v>
      </c>
      <c r="NE1">
        <v>4</v>
      </c>
      <c r="NF1">
        <v>5</v>
      </c>
      <c r="NG1">
        <v>6</v>
      </c>
      <c r="NH1">
        <v>7</v>
      </c>
      <c r="NI1">
        <v>8</v>
      </c>
      <c r="NK1" s="5" t="s">
        <v>1834</v>
      </c>
      <c r="NM1" s="5" t="s">
        <v>1835</v>
      </c>
      <c r="NQ1">
        <v>0</v>
      </c>
      <c r="NR1">
        <v>1</v>
      </c>
      <c r="NS1">
        <v>2</v>
      </c>
      <c r="NT1">
        <v>3</v>
      </c>
      <c r="NU1">
        <v>4</v>
      </c>
      <c r="NV1">
        <v>5</v>
      </c>
      <c r="NW1">
        <v>6</v>
      </c>
      <c r="NX1">
        <v>7</v>
      </c>
      <c r="NY1">
        <v>8</v>
      </c>
      <c r="OA1" s="5" t="s">
        <v>1834</v>
      </c>
      <c r="OC1" s="5" t="s">
        <v>1835</v>
      </c>
      <c r="OG1">
        <v>0</v>
      </c>
      <c r="OH1">
        <v>1</v>
      </c>
      <c r="OI1">
        <v>2</v>
      </c>
      <c r="OJ1">
        <v>3</v>
      </c>
      <c r="OK1">
        <v>4</v>
      </c>
      <c r="OL1">
        <v>5</v>
      </c>
      <c r="OM1">
        <v>6</v>
      </c>
      <c r="ON1">
        <v>7</v>
      </c>
      <c r="OO1">
        <v>8</v>
      </c>
      <c r="OQ1" s="5" t="s">
        <v>1834</v>
      </c>
      <c r="OS1" s="5" t="s">
        <v>1835</v>
      </c>
    </row>
    <row r="2" spans="1:517" x14ac:dyDescent="0.2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6" t="s">
        <v>1320</v>
      </c>
      <c r="V2" s="6" t="s">
        <v>1319</v>
      </c>
      <c r="AI2" s="6" t="s">
        <v>1320</v>
      </c>
      <c r="AJ2" s="6" t="s">
        <v>1319</v>
      </c>
      <c r="AK2" s="6" t="s">
        <v>1320</v>
      </c>
      <c r="AL2" s="6" t="s">
        <v>1319</v>
      </c>
      <c r="AM2" s="6" t="s">
        <v>1320</v>
      </c>
      <c r="AN2" s="6" t="s">
        <v>1319</v>
      </c>
      <c r="BA2" s="6" t="s">
        <v>1320</v>
      </c>
      <c r="BB2" s="6" t="s">
        <v>1319</v>
      </c>
      <c r="BC2" s="6" t="s">
        <v>1320</v>
      </c>
      <c r="BD2" s="6" t="s">
        <v>1319</v>
      </c>
      <c r="BE2" s="6" t="s">
        <v>1320</v>
      </c>
      <c r="BF2" s="6" t="s">
        <v>1319</v>
      </c>
      <c r="BS2" s="6" t="s">
        <v>1320</v>
      </c>
      <c r="BT2" s="6" t="s">
        <v>1319</v>
      </c>
      <c r="BU2" s="6" t="s">
        <v>1320</v>
      </c>
      <c r="BV2" s="6" t="s">
        <v>1319</v>
      </c>
      <c r="CI2" s="6" t="s">
        <v>1320</v>
      </c>
      <c r="CJ2" s="6" t="s">
        <v>1319</v>
      </c>
      <c r="CK2" s="6" t="s">
        <v>1320</v>
      </c>
      <c r="CL2" s="6" t="s">
        <v>1319</v>
      </c>
      <c r="CY2" s="6" t="s">
        <v>1320</v>
      </c>
      <c r="CZ2" s="6" t="s">
        <v>1319</v>
      </c>
      <c r="DA2" s="6" t="s">
        <v>1320</v>
      </c>
      <c r="DB2" s="6" t="s">
        <v>1319</v>
      </c>
      <c r="DO2" s="6" t="s">
        <v>1320</v>
      </c>
      <c r="DP2" s="6" t="s">
        <v>1319</v>
      </c>
      <c r="DQ2" s="6" t="s">
        <v>1320</v>
      </c>
      <c r="DR2" s="6" t="s">
        <v>1319</v>
      </c>
      <c r="EE2" s="6" t="s">
        <v>1320</v>
      </c>
      <c r="EF2" s="6" t="s">
        <v>1319</v>
      </c>
      <c r="EG2" s="6" t="s">
        <v>1320</v>
      </c>
      <c r="EH2" s="6" t="s">
        <v>1319</v>
      </c>
      <c r="EU2" s="6" t="s">
        <v>1320</v>
      </c>
      <c r="EV2" s="6" t="s">
        <v>1319</v>
      </c>
      <c r="EW2" s="6" t="s">
        <v>1320</v>
      </c>
      <c r="EX2" s="6" t="s">
        <v>1319</v>
      </c>
      <c r="FK2" t="s">
        <v>1320</v>
      </c>
      <c r="FL2" s="6" t="s">
        <v>1319</v>
      </c>
      <c r="FM2" t="s">
        <v>1320</v>
      </c>
      <c r="FN2" s="6" t="s">
        <v>1319</v>
      </c>
      <c r="GA2" t="s">
        <v>1320</v>
      </c>
      <c r="GB2" s="6" t="s">
        <v>1319</v>
      </c>
      <c r="GC2" t="s">
        <v>1320</v>
      </c>
      <c r="GD2" s="6" t="s">
        <v>1319</v>
      </c>
      <c r="GQ2" t="s">
        <v>1320</v>
      </c>
      <c r="GR2" t="s">
        <v>1319</v>
      </c>
      <c r="GS2" t="s">
        <v>1320</v>
      </c>
      <c r="GT2" t="s">
        <v>1319</v>
      </c>
      <c r="HG2" t="s">
        <v>1320</v>
      </c>
      <c r="HH2" t="s">
        <v>1319</v>
      </c>
      <c r="HI2" t="s">
        <v>1320</v>
      </c>
      <c r="HJ2" t="s">
        <v>1319</v>
      </c>
      <c r="HW2" t="s">
        <v>1320</v>
      </c>
      <c r="HX2" t="s">
        <v>1319</v>
      </c>
      <c r="HY2" t="s">
        <v>1320</v>
      </c>
      <c r="HZ2" t="s">
        <v>1319</v>
      </c>
      <c r="IM2" t="s">
        <v>1320</v>
      </c>
      <c r="IN2" t="s">
        <v>1319</v>
      </c>
      <c r="IO2" t="s">
        <v>1320</v>
      </c>
      <c r="IP2" t="s">
        <v>1319</v>
      </c>
      <c r="JC2" t="s">
        <v>1320</v>
      </c>
      <c r="JD2" t="s">
        <v>1319</v>
      </c>
      <c r="JE2" t="s">
        <v>1320</v>
      </c>
      <c r="JF2" t="s">
        <v>1319</v>
      </c>
      <c r="JS2" t="s">
        <v>1320</v>
      </c>
      <c r="JT2" t="s">
        <v>1319</v>
      </c>
      <c r="JU2" t="s">
        <v>1320</v>
      </c>
      <c r="JV2" t="s">
        <v>1319</v>
      </c>
      <c r="KI2" t="s">
        <v>1320</v>
      </c>
      <c r="KJ2" t="s">
        <v>1319</v>
      </c>
      <c r="KK2" t="s">
        <v>1320</v>
      </c>
      <c r="KL2" t="s">
        <v>1319</v>
      </c>
      <c r="KY2" t="s">
        <v>1320</v>
      </c>
      <c r="KZ2" t="s">
        <v>1319</v>
      </c>
      <c r="LA2" t="s">
        <v>1320</v>
      </c>
      <c r="LB2" t="s">
        <v>1319</v>
      </c>
      <c r="LO2" t="s">
        <v>1320</v>
      </c>
      <c r="LP2" t="s">
        <v>1319</v>
      </c>
      <c r="LQ2" t="s">
        <v>1320</v>
      </c>
      <c r="LR2" t="s">
        <v>1319</v>
      </c>
      <c r="ME2" t="s">
        <v>1320</v>
      </c>
      <c r="MF2" t="s">
        <v>1319</v>
      </c>
      <c r="MG2" t="s">
        <v>1320</v>
      </c>
      <c r="MH2" t="s">
        <v>1319</v>
      </c>
      <c r="MU2" t="s">
        <v>1320</v>
      </c>
      <c r="MV2" t="s">
        <v>1319</v>
      </c>
      <c r="MW2" t="s">
        <v>1320</v>
      </c>
      <c r="MX2" t="s">
        <v>1319</v>
      </c>
      <c r="NK2" t="s">
        <v>1320</v>
      </c>
      <c r="NL2" t="s">
        <v>1319</v>
      </c>
      <c r="NM2" t="s">
        <v>1320</v>
      </c>
      <c r="NN2" t="s">
        <v>1319</v>
      </c>
      <c r="OA2" t="s">
        <v>1320</v>
      </c>
      <c r="OB2" t="s">
        <v>1319</v>
      </c>
      <c r="OC2" t="s">
        <v>1320</v>
      </c>
      <c r="OD2" t="s">
        <v>1319</v>
      </c>
      <c r="OQ2" t="s">
        <v>1320</v>
      </c>
      <c r="OR2" t="s">
        <v>1319</v>
      </c>
      <c r="OS2" t="s">
        <v>1320</v>
      </c>
      <c r="OT2" t="s">
        <v>1319</v>
      </c>
    </row>
    <row r="3" spans="1:517" x14ac:dyDescent="0.2">
      <c r="L3" s="34" t="s">
        <v>1942</v>
      </c>
      <c r="X3" s="5" t="s">
        <v>334</v>
      </c>
      <c r="AP3" s="5" t="s">
        <v>333</v>
      </c>
      <c r="BH3" s="5" t="s">
        <v>1383</v>
      </c>
      <c r="BU3" s="9"/>
      <c r="BX3" s="5" t="s">
        <v>1384</v>
      </c>
      <c r="CK3" s="9"/>
      <c r="CN3" s="5" t="s">
        <v>1385</v>
      </c>
      <c r="DA3" s="9"/>
      <c r="DD3" s="5" t="s">
        <v>1386</v>
      </c>
      <c r="DQ3" s="9"/>
      <c r="DT3" s="5" t="s">
        <v>1387</v>
      </c>
      <c r="EG3" s="9"/>
      <c r="EJ3" s="5" t="s">
        <v>1388</v>
      </c>
      <c r="EW3" s="9"/>
      <c r="EZ3" s="5" t="s">
        <v>1389</v>
      </c>
      <c r="FM3" s="9"/>
      <c r="FP3" s="11" t="s">
        <v>1932</v>
      </c>
      <c r="GC3" s="9"/>
      <c r="GF3" s="11" t="s">
        <v>1937</v>
      </c>
      <c r="GS3" s="9"/>
      <c r="GV3" s="11" t="s">
        <v>1938</v>
      </c>
      <c r="HI3" s="9"/>
      <c r="HL3" s="11" t="s">
        <v>1962</v>
      </c>
      <c r="HY3" s="9"/>
      <c r="IB3" s="11" t="s">
        <v>1963</v>
      </c>
      <c r="IO3" s="9"/>
      <c r="IR3" s="11" t="s">
        <v>381</v>
      </c>
      <c r="JE3" s="9"/>
      <c r="JH3" s="11" t="s">
        <v>382</v>
      </c>
      <c r="JU3" s="9"/>
      <c r="JX3" s="11" t="s">
        <v>383</v>
      </c>
      <c r="KK3" s="9"/>
      <c r="KN3" s="5"/>
      <c r="LA3" s="9"/>
      <c r="LD3" s="5"/>
      <c r="LQ3" s="9"/>
      <c r="LT3" s="5"/>
      <c r="MG3" s="9"/>
      <c r="MJ3" s="5"/>
      <c r="MW3" s="9"/>
      <c r="MZ3" s="5"/>
      <c r="NM3" s="9"/>
      <c r="NP3" s="5"/>
      <c r="OC3" s="9"/>
      <c r="OF3" s="5"/>
      <c r="OS3" s="9"/>
      <c r="PH3" s="5"/>
      <c r="PV3" s="5"/>
      <c r="QJ3" s="5"/>
      <c r="QX3" s="5"/>
      <c r="RL3" s="5"/>
      <c r="RZ3" s="5"/>
      <c r="SN3" s="5"/>
    </row>
    <row r="4" spans="1:517" x14ac:dyDescent="0.2">
      <c r="A4" s="2" t="s">
        <v>990</v>
      </c>
      <c r="L4" t="s">
        <v>1949</v>
      </c>
      <c r="M4" s="12">
        <f>Y6</f>
        <v>0</v>
      </c>
      <c r="N4" s="12">
        <f>M4+Z6</f>
        <v>0</v>
      </c>
      <c r="O4" s="12">
        <f t="shared" ref="O4:S4" si="0">N4+AA6</f>
        <v>0</v>
      </c>
      <c r="P4" s="12">
        <f t="shared" si="0"/>
        <v>0</v>
      </c>
      <c r="Q4" s="12">
        <f t="shared" si="0"/>
        <v>0</v>
      </c>
      <c r="R4" s="12">
        <f>Q4+AD6</f>
        <v>0</v>
      </c>
      <c r="S4" s="12">
        <f t="shared" si="0"/>
        <v>0</v>
      </c>
      <c r="X4" s="2" t="s">
        <v>1647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/>
      <c r="AI4" s="1"/>
      <c r="AP4" s="2" t="s">
        <v>1650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H4" s="2" t="s">
        <v>991</v>
      </c>
      <c r="BI4" s="1">
        <v>0</v>
      </c>
      <c r="BJ4" s="1">
        <f>+BI4</f>
        <v>0</v>
      </c>
      <c r="BK4" s="1">
        <f t="shared" ref="BK4:BQ4" si="1">+BJ4</f>
        <v>0</v>
      </c>
      <c r="BL4" s="1">
        <f t="shared" si="1"/>
        <v>0</v>
      </c>
      <c r="BM4" s="1">
        <f t="shared" si="1"/>
        <v>0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/>
      <c r="BS4" s="1"/>
      <c r="BU4" s="36"/>
      <c r="BX4" s="2" t="s">
        <v>992</v>
      </c>
      <c r="BY4" s="1">
        <v>0</v>
      </c>
      <c r="BZ4" s="1">
        <f>+BY4</f>
        <v>0</v>
      </c>
      <c r="CA4" s="1">
        <f t="shared" ref="CA4:CG4" si="2">+BZ4</f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/>
      <c r="CI4" s="1"/>
      <c r="CK4" s="36"/>
      <c r="CN4" s="2" t="s">
        <v>993</v>
      </c>
      <c r="CO4" s="1">
        <v>0</v>
      </c>
      <c r="CP4" s="1">
        <f>+CO4</f>
        <v>0</v>
      </c>
      <c r="CQ4" s="1">
        <f t="shared" ref="CQ4:CW4" si="3">+CP4</f>
        <v>0</v>
      </c>
      <c r="CR4" s="1">
        <f t="shared" si="3"/>
        <v>0</v>
      </c>
      <c r="CS4" s="1">
        <f t="shared" si="3"/>
        <v>0</v>
      </c>
      <c r="CT4" s="1">
        <f t="shared" si="3"/>
        <v>0</v>
      </c>
      <c r="CU4" s="1">
        <f t="shared" si="3"/>
        <v>0</v>
      </c>
      <c r="CV4" s="1">
        <f t="shared" si="3"/>
        <v>0</v>
      </c>
      <c r="CW4" s="1">
        <f t="shared" si="3"/>
        <v>0</v>
      </c>
      <c r="CX4" s="1"/>
      <c r="CY4" s="1"/>
      <c r="DA4" s="36"/>
      <c r="DD4" s="2" t="s">
        <v>994</v>
      </c>
      <c r="DE4" s="1">
        <v>0</v>
      </c>
      <c r="DF4" s="1">
        <f>+DE4</f>
        <v>0</v>
      </c>
      <c r="DG4" s="1">
        <f t="shared" ref="DG4:DM4" si="4">+DF4</f>
        <v>0</v>
      </c>
      <c r="DH4" s="1">
        <f t="shared" si="4"/>
        <v>0</v>
      </c>
      <c r="DI4" s="1">
        <f t="shared" si="4"/>
        <v>0</v>
      </c>
      <c r="DJ4" s="1">
        <f t="shared" si="4"/>
        <v>0</v>
      </c>
      <c r="DK4" s="1">
        <f t="shared" si="4"/>
        <v>0</v>
      </c>
      <c r="DL4" s="1">
        <f t="shared" si="4"/>
        <v>0</v>
      </c>
      <c r="DM4" s="1">
        <f t="shared" si="4"/>
        <v>0</v>
      </c>
      <c r="DN4" s="1"/>
      <c r="DO4" s="1"/>
      <c r="DQ4" s="36"/>
      <c r="DT4" s="2" t="s">
        <v>995</v>
      </c>
      <c r="DU4" s="1">
        <v>0</v>
      </c>
      <c r="DV4" s="1">
        <f>+DU4</f>
        <v>0</v>
      </c>
      <c r="DW4" s="1">
        <f t="shared" ref="DW4:EC4" si="5">+DV4</f>
        <v>0</v>
      </c>
      <c r="DX4" s="1">
        <f t="shared" si="5"/>
        <v>0</v>
      </c>
      <c r="DY4" s="1">
        <f t="shared" si="5"/>
        <v>0</v>
      </c>
      <c r="DZ4" s="1">
        <f t="shared" si="5"/>
        <v>0</v>
      </c>
      <c r="EA4" s="1">
        <f t="shared" si="5"/>
        <v>0</v>
      </c>
      <c r="EB4" s="1">
        <f t="shared" si="5"/>
        <v>0</v>
      </c>
      <c r="EC4" s="1">
        <f t="shared" si="5"/>
        <v>0</v>
      </c>
      <c r="ED4" s="1"/>
      <c r="EE4" s="1"/>
      <c r="EG4" s="36"/>
      <c r="EJ4" s="2" t="s">
        <v>996</v>
      </c>
      <c r="EK4" s="1">
        <v>0</v>
      </c>
      <c r="EL4" s="1">
        <f>+EK4</f>
        <v>0</v>
      </c>
      <c r="EM4" s="1">
        <f t="shared" ref="EM4:ES4" si="6">+EL4</f>
        <v>0</v>
      </c>
      <c r="EN4" s="1">
        <f t="shared" si="6"/>
        <v>0</v>
      </c>
      <c r="EO4" s="1">
        <f t="shared" si="6"/>
        <v>0</v>
      </c>
      <c r="EP4" s="1">
        <f t="shared" si="6"/>
        <v>0</v>
      </c>
      <c r="EQ4" s="1">
        <f t="shared" si="6"/>
        <v>0</v>
      </c>
      <c r="ER4" s="1">
        <f t="shared" si="6"/>
        <v>0</v>
      </c>
      <c r="ES4" s="1">
        <f t="shared" si="6"/>
        <v>0</v>
      </c>
      <c r="ET4" s="1"/>
      <c r="EU4" s="1"/>
      <c r="EW4" s="36"/>
      <c r="EZ4" s="2" t="s">
        <v>997</v>
      </c>
      <c r="FA4" s="1">
        <v>0</v>
      </c>
      <c r="FB4" s="1">
        <f>+FA4</f>
        <v>0</v>
      </c>
      <c r="FC4" s="1">
        <f t="shared" ref="FC4:FI4" si="7">+FB4</f>
        <v>0</v>
      </c>
      <c r="FD4" s="1">
        <f t="shared" si="7"/>
        <v>0</v>
      </c>
      <c r="FE4" s="1">
        <f t="shared" si="7"/>
        <v>0</v>
      </c>
      <c r="FF4" s="1">
        <f t="shared" si="7"/>
        <v>0</v>
      </c>
      <c r="FG4" s="1">
        <f t="shared" si="7"/>
        <v>0</v>
      </c>
      <c r="FH4" s="1">
        <f t="shared" si="7"/>
        <v>0</v>
      </c>
      <c r="FI4" s="1">
        <f t="shared" si="7"/>
        <v>0</v>
      </c>
      <c r="FJ4" s="1"/>
      <c r="FK4" s="1"/>
      <c r="FM4" s="36"/>
      <c r="FP4" s="2" t="s">
        <v>998</v>
      </c>
      <c r="FQ4" s="1">
        <v>0</v>
      </c>
      <c r="FR4" s="1">
        <f>+FQ4</f>
        <v>0</v>
      </c>
      <c r="FS4" s="1">
        <f t="shared" ref="FS4:FY4" si="8">+FR4</f>
        <v>0</v>
      </c>
      <c r="FT4" s="1">
        <f t="shared" si="8"/>
        <v>0</v>
      </c>
      <c r="FU4" s="1">
        <f t="shared" si="8"/>
        <v>0</v>
      </c>
      <c r="FV4" s="1">
        <f t="shared" si="8"/>
        <v>0</v>
      </c>
      <c r="FW4" s="1">
        <f t="shared" si="8"/>
        <v>0</v>
      </c>
      <c r="FX4" s="1">
        <f t="shared" si="8"/>
        <v>0</v>
      </c>
      <c r="FY4" s="1">
        <f t="shared" si="8"/>
        <v>0</v>
      </c>
      <c r="FZ4" s="1"/>
      <c r="GA4" s="1"/>
      <c r="GC4" s="36"/>
      <c r="GF4" s="2" t="s">
        <v>999</v>
      </c>
      <c r="GG4" s="1">
        <v>0</v>
      </c>
      <c r="GH4" s="1">
        <f>+GG4</f>
        <v>0</v>
      </c>
      <c r="GI4" s="1">
        <f t="shared" ref="GI4:GO4" si="9">+GH4</f>
        <v>0</v>
      </c>
      <c r="GJ4" s="1">
        <f t="shared" si="9"/>
        <v>0</v>
      </c>
      <c r="GK4" s="1">
        <f t="shared" si="9"/>
        <v>0</v>
      </c>
      <c r="GL4" s="1">
        <f t="shared" si="9"/>
        <v>0</v>
      </c>
      <c r="GM4" s="1">
        <f t="shared" si="9"/>
        <v>0</v>
      </c>
      <c r="GN4" s="1">
        <f t="shared" si="9"/>
        <v>0</v>
      </c>
      <c r="GO4" s="1">
        <f t="shared" si="9"/>
        <v>0</v>
      </c>
      <c r="GP4" s="1"/>
      <c r="GQ4" s="1"/>
      <c r="GR4" s="1"/>
      <c r="GS4" s="36"/>
      <c r="GT4" s="1"/>
      <c r="GV4" s="2" t="s">
        <v>1000</v>
      </c>
      <c r="GW4" s="1">
        <v>0</v>
      </c>
      <c r="GX4" s="1">
        <f>+GW4</f>
        <v>0</v>
      </c>
      <c r="GY4" s="1">
        <f t="shared" ref="GY4:HE4" si="10">+GX4</f>
        <v>0</v>
      </c>
      <c r="GZ4" s="1">
        <f t="shared" si="10"/>
        <v>0</v>
      </c>
      <c r="HA4" s="1">
        <f t="shared" si="10"/>
        <v>0</v>
      </c>
      <c r="HB4" s="1">
        <f t="shared" si="10"/>
        <v>0</v>
      </c>
      <c r="HC4" s="1">
        <f t="shared" si="10"/>
        <v>0</v>
      </c>
      <c r="HD4" s="1">
        <f t="shared" si="10"/>
        <v>0</v>
      </c>
      <c r="HE4" s="1">
        <f t="shared" si="10"/>
        <v>0</v>
      </c>
      <c r="HF4" s="1"/>
      <c r="HG4" s="1"/>
      <c r="HH4" s="1"/>
      <c r="HI4" s="36"/>
      <c r="HJ4" s="1"/>
      <c r="HK4" s="1"/>
      <c r="HL4" s="2" t="s">
        <v>1001</v>
      </c>
      <c r="HM4" s="1">
        <v>0</v>
      </c>
      <c r="HN4" s="1">
        <f>+HM4</f>
        <v>0</v>
      </c>
      <c r="HO4" s="1">
        <f t="shared" ref="HO4:HU4" si="11">+HN4</f>
        <v>0</v>
      </c>
      <c r="HP4" s="1">
        <f t="shared" si="11"/>
        <v>0</v>
      </c>
      <c r="HQ4" s="1">
        <f t="shared" si="11"/>
        <v>0</v>
      </c>
      <c r="HR4" s="1">
        <f t="shared" si="11"/>
        <v>0</v>
      </c>
      <c r="HS4" s="1">
        <f t="shared" si="11"/>
        <v>0</v>
      </c>
      <c r="HT4" s="1">
        <f t="shared" si="11"/>
        <v>0</v>
      </c>
      <c r="HU4" s="1">
        <f t="shared" si="11"/>
        <v>0</v>
      </c>
      <c r="HV4" s="1"/>
      <c r="HW4" s="1"/>
      <c r="HX4" s="1"/>
      <c r="HY4" s="36"/>
      <c r="HZ4" s="1"/>
      <c r="IA4" s="1"/>
      <c r="IB4" s="2" t="s">
        <v>1002</v>
      </c>
      <c r="IC4" s="1">
        <v>0</v>
      </c>
      <c r="ID4" s="1">
        <f>+IC4</f>
        <v>0</v>
      </c>
      <c r="IE4" s="1">
        <f t="shared" ref="IE4:IK4" si="12">+ID4</f>
        <v>0</v>
      </c>
      <c r="IF4" s="1">
        <f t="shared" si="12"/>
        <v>0</v>
      </c>
      <c r="IG4" s="1">
        <f t="shared" si="12"/>
        <v>0</v>
      </c>
      <c r="IH4" s="1">
        <f t="shared" si="12"/>
        <v>0</v>
      </c>
      <c r="II4" s="1">
        <f t="shared" si="12"/>
        <v>0</v>
      </c>
      <c r="IJ4" s="1">
        <f t="shared" si="12"/>
        <v>0</v>
      </c>
      <c r="IK4" s="1">
        <f t="shared" si="12"/>
        <v>0</v>
      </c>
      <c r="IL4" s="1"/>
      <c r="IM4" s="1"/>
      <c r="IN4" s="1"/>
      <c r="IO4" s="36"/>
      <c r="IP4" s="1"/>
      <c r="IR4" s="2" t="s">
        <v>1003</v>
      </c>
      <c r="IS4" s="1">
        <v>0</v>
      </c>
      <c r="IT4" s="1">
        <f>+IS4</f>
        <v>0</v>
      </c>
      <c r="IU4" s="1">
        <f t="shared" ref="IU4:JA4" si="13">+IT4</f>
        <v>0</v>
      </c>
      <c r="IV4" s="1">
        <f t="shared" si="13"/>
        <v>0</v>
      </c>
      <c r="IW4" s="1">
        <f t="shared" si="13"/>
        <v>0</v>
      </c>
      <c r="IX4" s="1">
        <f t="shared" si="13"/>
        <v>0</v>
      </c>
      <c r="IY4" s="1">
        <f t="shared" si="13"/>
        <v>0</v>
      </c>
      <c r="IZ4" s="1">
        <f t="shared" si="13"/>
        <v>0</v>
      </c>
      <c r="JA4" s="1">
        <f t="shared" si="13"/>
        <v>0</v>
      </c>
      <c r="JB4" s="1"/>
      <c r="JC4" s="1"/>
      <c r="JD4" s="1"/>
      <c r="JE4" s="36"/>
      <c r="JF4" s="1"/>
      <c r="JH4" s="2" t="s">
        <v>1004</v>
      </c>
      <c r="JI4" s="1">
        <v>0</v>
      </c>
      <c r="JJ4" s="1">
        <f>+JI4</f>
        <v>0</v>
      </c>
      <c r="JK4" s="1">
        <f t="shared" ref="JK4:JQ4" si="14">+JJ4</f>
        <v>0</v>
      </c>
      <c r="JL4" s="1">
        <f t="shared" si="14"/>
        <v>0</v>
      </c>
      <c r="JM4" s="1">
        <f t="shared" si="14"/>
        <v>0</v>
      </c>
      <c r="JN4" s="1">
        <f t="shared" si="14"/>
        <v>0</v>
      </c>
      <c r="JO4" s="1">
        <f t="shared" si="14"/>
        <v>0</v>
      </c>
      <c r="JP4" s="1">
        <f t="shared" si="14"/>
        <v>0</v>
      </c>
      <c r="JQ4" s="1">
        <f t="shared" si="14"/>
        <v>0</v>
      </c>
      <c r="JR4" s="1"/>
      <c r="JS4" s="1"/>
      <c r="JT4" s="1"/>
      <c r="JU4" s="36"/>
      <c r="JV4" s="1"/>
      <c r="JX4" s="2" t="s">
        <v>1005</v>
      </c>
      <c r="JY4" s="1">
        <v>0</v>
      </c>
      <c r="JZ4" s="1">
        <f>+JY4</f>
        <v>0</v>
      </c>
      <c r="KA4" s="1">
        <f t="shared" ref="KA4:KG4" si="15">+JZ4</f>
        <v>0</v>
      </c>
      <c r="KB4" s="1">
        <f t="shared" si="15"/>
        <v>0</v>
      </c>
      <c r="KC4" s="1">
        <f t="shared" si="15"/>
        <v>0</v>
      </c>
      <c r="KD4" s="1">
        <f t="shared" si="15"/>
        <v>0</v>
      </c>
      <c r="KE4" s="1">
        <f t="shared" si="15"/>
        <v>0</v>
      </c>
      <c r="KF4" s="1">
        <f t="shared" si="15"/>
        <v>0</v>
      </c>
      <c r="KG4" s="1">
        <f t="shared" si="15"/>
        <v>0</v>
      </c>
      <c r="KH4" s="1"/>
      <c r="KI4" s="1"/>
      <c r="KJ4" s="1"/>
      <c r="KK4" s="36"/>
      <c r="KL4" s="1"/>
      <c r="KN4" s="2" t="s">
        <v>1006</v>
      </c>
      <c r="KO4" s="1">
        <v>0</v>
      </c>
      <c r="KP4" s="1">
        <f>+KO4</f>
        <v>0</v>
      </c>
      <c r="KQ4" s="1">
        <f t="shared" ref="KQ4:KW4" si="16">+KP4</f>
        <v>0</v>
      </c>
      <c r="KR4" s="1">
        <f t="shared" si="16"/>
        <v>0</v>
      </c>
      <c r="KS4" s="1">
        <f t="shared" si="16"/>
        <v>0</v>
      </c>
      <c r="KT4" s="1">
        <f t="shared" si="16"/>
        <v>0</v>
      </c>
      <c r="KU4" s="1">
        <f t="shared" si="16"/>
        <v>0</v>
      </c>
      <c r="KV4" s="1">
        <f t="shared" si="16"/>
        <v>0</v>
      </c>
      <c r="KW4" s="1">
        <f t="shared" si="16"/>
        <v>0</v>
      </c>
      <c r="KX4" s="1"/>
      <c r="KY4" s="1"/>
      <c r="KZ4" s="1"/>
      <c r="LA4" s="36"/>
      <c r="LB4" s="1"/>
      <c r="LD4" s="2" t="s">
        <v>1007</v>
      </c>
      <c r="LE4" s="1">
        <v>0</v>
      </c>
      <c r="LF4" s="1">
        <f>+LE4</f>
        <v>0</v>
      </c>
      <c r="LG4" s="1">
        <f t="shared" ref="LG4:LM4" si="17">+LF4</f>
        <v>0</v>
      </c>
      <c r="LH4" s="1">
        <f t="shared" si="17"/>
        <v>0</v>
      </c>
      <c r="LI4" s="1">
        <f t="shared" si="17"/>
        <v>0</v>
      </c>
      <c r="LJ4" s="1">
        <f t="shared" si="17"/>
        <v>0</v>
      </c>
      <c r="LK4" s="1">
        <f t="shared" si="17"/>
        <v>0</v>
      </c>
      <c r="LL4" s="1">
        <f t="shared" si="17"/>
        <v>0</v>
      </c>
      <c r="LM4" s="1">
        <f t="shared" si="17"/>
        <v>0</v>
      </c>
      <c r="LN4" s="1"/>
      <c r="LO4" s="1"/>
      <c r="LP4" s="1"/>
      <c r="LQ4" s="36"/>
      <c r="LR4" s="1"/>
      <c r="LT4" s="2" t="s">
        <v>1008</v>
      </c>
      <c r="LU4" s="1">
        <v>0</v>
      </c>
      <c r="LV4" s="1">
        <f>+LU4</f>
        <v>0</v>
      </c>
      <c r="LW4" s="1">
        <f t="shared" ref="LW4:MC4" si="18">+LV4</f>
        <v>0</v>
      </c>
      <c r="LX4" s="1">
        <f t="shared" si="18"/>
        <v>0</v>
      </c>
      <c r="LY4" s="1">
        <f t="shared" si="18"/>
        <v>0</v>
      </c>
      <c r="LZ4" s="1">
        <f t="shared" si="18"/>
        <v>0</v>
      </c>
      <c r="MA4" s="1">
        <f t="shared" si="18"/>
        <v>0</v>
      </c>
      <c r="MB4" s="1">
        <f t="shared" si="18"/>
        <v>0</v>
      </c>
      <c r="MC4" s="1">
        <f t="shared" si="18"/>
        <v>0</v>
      </c>
      <c r="MD4" s="1"/>
      <c r="ME4" s="1"/>
      <c r="MF4" s="1"/>
      <c r="MG4" s="36"/>
      <c r="MH4" s="1"/>
      <c r="MJ4" s="2" t="s">
        <v>1009</v>
      </c>
      <c r="MK4" s="1">
        <v>0</v>
      </c>
      <c r="ML4" s="1">
        <f>+MK4</f>
        <v>0</v>
      </c>
      <c r="MM4" s="1">
        <f t="shared" ref="MM4:MS4" si="19">+ML4</f>
        <v>0</v>
      </c>
      <c r="MN4" s="1">
        <f t="shared" si="19"/>
        <v>0</v>
      </c>
      <c r="MO4" s="1">
        <f t="shared" si="19"/>
        <v>0</v>
      </c>
      <c r="MP4" s="1">
        <f t="shared" si="19"/>
        <v>0</v>
      </c>
      <c r="MQ4" s="1">
        <f t="shared" si="19"/>
        <v>0</v>
      </c>
      <c r="MR4" s="1">
        <f t="shared" si="19"/>
        <v>0</v>
      </c>
      <c r="MS4" s="1">
        <f t="shared" si="19"/>
        <v>0</v>
      </c>
      <c r="MT4" s="1"/>
      <c r="MU4" s="1"/>
      <c r="MV4" s="1"/>
      <c r="MW4" s="36"/>
      <c r="MX4" s="1"/>
      <c r="MZ4" s="2" t="s">
        <v>1010</v>
      </c>
      <c r="NA4" s="1">
        <v>0</v>
      </c>
      <c r="NB4" s="1">
        <f>+NA4</f>
        <v>0</v>
      </c>
      <c r="NC4" s="1">
        <f t="shared" ref="NC4:NI4" si="20">+NB4</f>
        <v>0</v>
      </c>
      <c r="ND4" s="1">
        <f t="shared" si="20"/>
        <v>0</v>
      </c>
      <c r="NE4" s="1">
        <f t="shared" si="20"/>
        <v>0</v>
      </c>
      <c r="NF4" s="1">
        <f t="shared" si="20"/>
        <v>0</v>
      </c>
      <c r="NG4" s="1">
        <f t="shared" si="20"/>
        <v>0</v>
      </c>
      <c r="NH4" s="1">
        <f t="shared" si="20"/>
        <v>0</v>
      </c>
      <c r="NI4" s="1">
        <f t="shared" si="20"/>
        <v>0</v>
      </c>
      <c r="NJ4" s="1"/>
      <c r="NK4" s="1"/>
      <c r="NL4" s="1"/>
      <c r="NM4" s="36"/>
      <c r="NN4" s="1"/>
      <c r="NP4" s="2" t="s">
        <v>1011</v>
      </c>
      <c r="NQ4" s="1">
        <v>0</v>
      </c>
      <c r="NR4" s="1">
        <f>+NQ4</f>
        <v>0</v>
      </c>
      <c r="NS4" s="1">
        <f t="shared" ref="NS4:NY4" si="21">+NR4</f>
        <v>0</v>
      </c>
      <c r="NT4" s="1">
        <f t="shared" si="21"/>
        <v>0</v>
      </c>
      <c r="NU4" s="1">
        <f t="shared" si="21"/>
        <v>0</v>
      </c>
      <c r="NV4" s="1">
        <f t="shared" si="21"/>
        <v>0</v>
      </c>
      <c r="NW4" s="1">
        <f t="shared" si="21"/>
        <v>0</v>
      </c>
      <c r="NX4" s="1">
        <f t="shared" si="21"/>
        <v>0</v>
      </c>
      <c r="NY4" s="1">
        <f t="shared" si="21"/>
        <v>0</v>
      </c>
      <c r="NZ4" s="1"/>
      <c r="OA4" s="1"/>
      <c r="OB4" s="1"/>
      <c r="OC4" s="36"/>
      <c r="OD4" s="1"/>
      <c r="OF4" s="2" t="s">
        <v>1012</v>
      </c>
      <c r="OG4" s="1">
        <v>0</v>
      </c>
      <c r="OH4" s="1">
        <f>+OG4</f>
        <v>0</v>
      </c>
      <c r="OI4" s="1">
        <f t="shared" ref="OI4:OO4" si="22">+OH4</f>
        <v>0</v>
      </c>
      <c r="OJ4" s="1">
        <f t="shared" si="22"/>
        <v>0</v>
      </c>
      <c r="OK4" s="1">
        <f t="shared" si="22"/>
        <v>0</v>
      </c>
      <c r="OL4" s="1">
        <f t="shared" si="22"/>
        <v>0</v>
      </c>
      <c r="OM4" s="1">
        <f t="shared" si="22"/>
        <v>0</v>
      </c>
      <c r="ON4" s="1">
        <f t="shared" si="22"/>
        <v>0</v>
      </c>
      <c r="OO4" s="1">
        <f t="shared" si="22"/>
        <v>0</v>
      </c>
      <c r="OP4" s="1"/>
      <c r="OQ4" s="1"/>
      <c r="OS4" s="36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H4" s="2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V4" s="2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J4" s="2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X4" s="2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L4" s="2"/>
      <c r="RM4" s="1"/>
      <c r="RN4" s="1"/>
      <c r="RO4" s="1"/>
      <c r="RP4" s="1"/>
      <c r="RQ4" s="1"/>
      <c r="RR4" s="1"/>
      <c r="RS4" s="1"/>
      <c r="RT4" s="1"/>
      <c r="RU4" s="1"/>
      <c r="RZ4" s="2"/>
      <c r="SA4" s="1"/>
      <c r="SB4" s="1"/>
      <c r="SC4" s="1"/>
      <c r="SD4" s="1"/>
      <c r="SE4" s="1"/>
      <c r="SF4" s="1"/>
      <c r="SG4" s="1"/>
      <c r="SH4" s="1"/>
      <c r="SI4" s="1"/>
      <c r="SN4" s="2"/>
      <c r="SO4" s="1"/>
      <c r="SP4" s="1"/>
      <c r="SQ4" s="1"/>
      <c r="SR4" s="1"/>
      <c r="SS4" s="1"/>
      <c r="ST4" s="1"/>
      <c r="SU4" s="1"/>
      <c r="SV4" s="1"/>
      <c r="SW4" s="1"/>
    </row>
    <row r="5" spans="1:517" x14ac:dyDescent="0.2">
      <c r="A5" s="3" t="s">
        <v>1013</v>
      </c>
      <c r="L5" t="s">
        <v>1950</v>
      </c>
      <c r="M5">
        <f t="shared" ref="M5:S5" si="23">IF(M4&gt;=100000000, 1, 0)</f>
        <v>0</v>
      </c>
      <c r="N5">
        <f t="shared" si="23"/>
        <v>0</v>
      </c>
      <c r="O5">
        <f t="shared" si="23"/>
        <v>0</v>
      </c>
      <c r="P5">
        <f t="shared" si="23"/>
        <v>0</v>
      </c>
      <c r="Q5">
        <f t="shared" si="23"/>
        <v>0</v>
      </c>
      <c r="R5">
        <f t="shared" si="23"/>
        <v>0</v>
      </c>
      <c r="S5">
        <f t="shared" si="23"/>
        <v>0</v>
      </c>
      <c r="X5" s="3" t="s">
        <v>1648</v>
      </c>
      <c r="Y5" s="6">
        <v>0</v>
      </c>
      <c r="Z5" s="6">
        <f t="shared" ref="Z5:AG5" si="24">Y4</f>
        <v>0</v>
      </c>
      <c r="AA5" s="6">
        <f t="shared" si="24"/>
        <v>0</v>
      </c>
      <c r="AB5" s="6">
        <f t="shared" si="24"/>
        <v>0</v>
      </c>
      <c r="AC5" s="6">
        <f t="shared" si="24"/>
        <v>0</v>
      </c>
      <c r="AD5" s="6">
        <f t="shared" si="24"/>
        <v>0</v>
      </c>
      <c r="AE5" s="6">
        <f t="shared" si="24"/>
        <v>0</v>
      </c>
      <c r="AF5" s="6">
        <f t="shared" si="24"/>
        <v>0</v>
      </c>
      <c r="AG5" s="6">
        <f t="shared" si="24"/>
        <v>0</v>
      </c>
      <c r="AH5" s="1"/>
      <c r="AI5" s="1"/>
      <c r="AP5" s="3" t="s">
        <v>1651</v>
      </c>
      <c r="AQ5" s="6">
        <v>0</v>
      </c>
      <c r="AR5" s="6">
        <f t="shared" ref="AR5:AY5" si="25">AQ4</f>
        <v>0</v>
      </c>
      <c r="AS5" s="6">
        <f t="shared" si="25"/>
        <v>0</v>
      </c>
      <c r="AT5" s="6">
        <f t="shared" si="25"/>
        <v>0</v>
      </c>
      <c r="AU5" s="6">
        <f t="shared" si="25"/>
        <v>0</v>
      </c>
      <c r="AV5" s="6">
        <f t="shared" si="25"/>
        <v>0</v>
      </c>
      <c r="AW5" s="6">
        <f t="shared" si="25"/>
        <v>0</v>
      </c>
      <c r="AX5" s="6">
        <f t="shared" si="25"/>
        <v>0</v>
      </c>
      <c r="AY5" s="6">
        <f t="shared" si="25"/>
        <v>0</v>
      </c>
      <c r="AZ5" s="1"/>
      <c r="BA5" s="1"/>
      <c r="BH5" s="3" t="s">
        <v>1014</v>
      </c>
      <c r="BI5" s="1">
        <f>BI4</f>
        <v>0</v>
      </c>
      <c r="BJ5" s="1">
        <f>IF(BI5=1,1,BJ4)</f>
        <v>0</v>
      </c>
      <c r="BK5" s="1">
        <f t="shared" ref="BK5:BQ5" si="26">IF(BJ5=1,1,BK4)</f>
        <v>0</v>
      </c>
      <c r="BL5" s="1">
        <f t="shared" si="26"/>
        <v>0</v>
      </c>
      <c r="BM5" s="1">
        <f t="shared" si="26"/>
        <v>0</v>
      </c>
      <c r="BN5" s="1">
        <f t="shared" si="26"/>
        <v>0</v>
      </c>
      <c r="BO5" s="1">
        <f t="shared" si="26"/>
        <v>0</v>
      </c>
      <c r="BP5" s="1">
        <f t="shared" si="26"/>
        <v>0</v>
      </c>
      <c r="BQ5" s="1">
        <f t="shared" si="26"/>
        <v>0</v>
      </c>
      <c r="BR5" s="1"/>
      <c r="BS5" s="1"/>
      <c r="BU5" s="36"/>
      <c r="BX5" s="3" t="s">
        <v>1015</v>
      </c>
      <c r="BY5" s="1">
        <f>BY4</f>
        <v>0</v>
      </c>
      <c r="BZ5" s="1">
        <f>IF(BY5=1,1,BZ4)</f>
        <v>0</v>
      </c>
      <c r="CA5" s="1">
        <f t="shared" ref="CA5" si="27">IF(BZ5=1,1,CA4)</f>
        <v>0</v>
      </c>
      <c r="CB5" s="1">
        <f t="shared" ref="CB5" si="28">IF(CA5=1,1,CB4)</f>
        <v>0</v>
      </c>
      <c r="CC5" s="1">
        <f t="shared" ref="CC5" si="29">IF(CB5=1,1,CC4)</f>
        <v>0</v>
      </c>
      <c r="CD5" s="1">
        <f t="shared" ref="CD5" si="30">IF(CC5=1,1,CD4)</f>
        <v>0</v>
      </c>
      <c r="CE5" s="1">
        <f t="shared" ref="CE5" si="31">IF(CD5=1,1,CE4)</f>
        <v>0</v>
      </c>
      <c r="CF5" s="1">
        <f t="shared" ref="CF5" si="32">IF(CE5=1,1,CF4)</f>
        <v>0</v>
      </c>
      <c r="CG5" s="1">
        <f t="shared" ref="CG5" si="33">IF(CF5=1,1,CG4)</f>
        <v>0</v>
      </c>
      <c r="CH5" s="1"/>
      <c r="CI5" s="1"/>
      <c r="CK5" s="36"/>
      <c r="CN5" s="3" t="s">
        <v>1016</v>
      </c>
      <c r="CO5" s="1">
        <f>CO4</f>
        <v>0</v>
      </c>
      <c r="CP5" s="1">
        <f>IF(CO5=1,1,CP4)</f>
        <v>0</v>
      </c>
      <c r="CQ5" s="1">
        <f t="shared" ref="CQ5" si="34">IF(CP5=1,1,CQ4)</f>
        <v>0</v>
      </c>
      <c r="CR5" s="1">
        <f t="shared" ref="CR5" si="35">IF(CQ5=1,1,CR4)</f>
        <v>0</v>
      </c>
      <c r="CS5" s="1">
        <f t="shared" ref="CS5" si="36">IF(CR5=1,1,CS4)</f>
        <v>0</v>
      </c>
      <c r="CT5" s="1">
        <f t="shared" ref="CT5" si="37">IF(CS5=1,1,CT4)</f>
        <v>0</v>
      </c>
      <c r="CU5" s="1">
        <f t="shared" ref="CU5" si="38">IF(CT5=1,1,CU4)</f>
        <v>0</v>
      </c>
      <c r="CV5" s="1">
        <f t="shared" ref="CV5" si="39">IF(CU5=1,1,CV4)</f>
        <v>0</v>
      </c>
      <c r="CW5" s="1">
        <f t="shared" ref="CW5" si="40">IF(CV5=1,1,CW4)</f>
        <v>0</v>
      </c>
      <c r="CX5" s="1"/>
      <c r="CY5" s="1"/>
      <c r="DA5" s="36"/>
      <c r="DD5" s="3" t="s">
        <v>1017</v>
      </c>
      <c r="DE5" s="1">
        <f>DE4</f>
        <v>0</v>
      </c>
      <c r="DF5" s="1">
        <f>IF(DE5=1,1,DF4)</f>
        <v>0</v>
      </c>
      <c r="DG5" s="1">
        <f t="shared" ref="DG5" si="41">IF(DF5=1,1,DG4)</f>
        <v>0</v>
      </c>
      <c r="DH5" s="1">
        <f t="shared" ref="DH5" si="42">IF(DG5=1,1,DH4)</f>
        <v>0</v>
      </c>
      <c r="DI5" s="1">
        <f t="shared" ref="DI5" si="43">IF(DH5=1,1,DI4)</f>
        <v>0</v>
      </c>
      <c r="DJ5" s="1">
        <f t="shared" ref="DJ5" si="44">IF(DI5=1,1,DJ4)</f>
        <v>0</v>
      </c>
      <c r="DK5" s="1">
        <f t="shared" ref="DK5" si="45">IF(DJ5=1,1,DK4)</f>
        <v>0</v>
      </c>
      <c r="DL5" s="1">
        <f t="shared" ref="DL5" si="46">IF(DK5=1,1,DL4)</f>
        <v>0</v>
      </c>
      <c r="DM5" s="1">
        <f t="shared" ref="DM5" si="47">IF(DL5=1,1,DM4)</f>
        <v>0</v>
      </c>
      <c r="DN5" s="1"/>
      <c r="DO5" s="1"/>
      <c r="DQ5" s="36"/>
      <c r="DT5" s="3" t="s">
        <v>1018</v>
      </c>
      <c r="DU5" s="1">
        <f>DU4</f>
        <v>0</v>
      </c>
      <c r="DV5" s="1">
        <f>IF(DU5=1,1,DV4)</f>
        <v>0</v>
      </c>
      <c r="DW5" s="1">
        <f t="shared" ref="DW5" si="48">IF(DV5=1,1,DW4)</f>
        <v>0</v>
      </c>
      <c r="DX5" s="1">
        <f t="shared" ref="DX5" si="49">IF(DW5=1,1,DX4)</f>
        <v>0</v>
      </c>
      <c r="DY5" s="1">
        <f t="shared" ref="DY5" si="50">IF(DX5=1,1,DY4)</f>
        <v>0</v>
      </c>
      <c r="DZ5" s="1">
        <f t="shared" ref="DZ5" si="51">IF(DY5=1,1,DZ4)</f>
        <v>0</v>
      </c>
      <c r="EA5" s="1">
        <f t="shared" ref="EA5" si="52">IF(DZ5=1,1,EA4)</f>
        <v>0</v>
      </c>
      <c r="EB5" s="1">
        <f t="shared" ref="EB5" si="53">IF(EA5=1,1,EB4)</f>
        <v>0</v>
      </c>
      <c r="EC5" s="1">
        <f t="shared" ref="EC5" si="54">IF(EB5=1,1,EC4)</f>
        <v>0</v>
      </c>
      <c r="ED5" s="1"/>
      <c r="EE5" s="1"/>
      <c r="EG5" s="36"/>
      <c r="EJ5" s="3" t="s">
        <v>1019</v>
      </c>
      <c r="EK5" s="1">
        <f>EK4</f>
        <v>0</v>
      </c>
      <c r="EL5" s="1">
        <f>IF(EK5=1,1,EL4)</f>
        <v>0</v>
      </c>
      <c r="EM5" s="1">
        <f t="shared" ref="EM5" si="55">IF(EL5=1,1,EM4)</f>
        <v>0</v>
      </c>
      <c r="EN5" s="1">
        <f t="shared" ref="EN5" si="56">IF(EM5=1,1,EN4)</f>
        <v>0</v>
      </c>
      <c r="EO5" s="1">
        <f t="shared" ref="EO5" si="57">IF(EN5=1,1,EO4)</f>
        <v>0</v>
      </c>
      <c r="EP5" s="1">
        <f t="shared" ref="EP5" si="58">IF(EO5=1,1,EP4)</f>
        <v>0</v>
      </c>
      <c r="EQ5" s="1">
        <f t="shared" ref="EQ5" si="59">IF(EP5=1,1,EQ4)</f>
        <v>0</v>
      </c>
      <c r="ER5" s="1">
        <f t="shared" ref="ER5" si="60">IF(EQ5=1,1,ER4)</f>
        <v>0</v>
      </c>
      <c r="ES5" s="1">
        <f t="shared" ref="ES5" si="61">IF(ER5=1,1,ES4)</f>
        <v>0</v>
      </c>
      <c r="ET5" s="1"/>
      <c r="EU5" s="1"/>
      <c r="EW5" s="36"/>
      <c r="EZ5" s="3" t="s">
        <v>1020</v>
      </c>
      <c r="FA5" s="1">
        <f>FA4</f>
        <v>0</v>
      </c>
      <c r="FB5" s="1">
        <f>IF(FA5=1,1,FB4)</f>
        <v>0</v>
      </c>
      <c r="FC5" s="1">
        <f t="shared" ref="FC5" si="62">IF(FB5=1,1,FC4)</f>
        <v>0</v>
      </c>
      <c r="FD5" s="1">
        <f t="shared" ref="FD5" si="63">IF(FC5=1,1,FD4)</f>
        <v>0</v>
      </c>
      <c r="FE5" s="1">
        <f t="shared" ref="FE5" si="64">IF(FD5=1,1,FE4)</f>
        <v>0</v>
      </c>
      <c r="FF5" s="1">
        <f t="shared" ref="FF5" si="65">IF(FE5=1,1,FF4)</f>
        <v>0</v>
      </c>
      <c r="FG5" s="1">
        <f t="shared" ref="FG5" si="66">IF(FF5=1,1,FG4)</f>
        <v>0</v>
      </c>
      <c r="FH5" s="1">
        <f t="shared" ref="FH5" si="67">IF(FG5=1,1,FH4)</f>
        <v>0</v>
      </c>
      <c r="FI5" s="1">
        <f t="shared" ref="FI5" si="68">IF(FH5=1,1,FI4)</f>
        <v>0</v>
      </c>
      <c r="FJ5" s="1"/>
      <c r="FK5" s="1"/>
      <c r="FM5" s="36"/>
      <c r="FP5" s="3" t="s">
        <v>1021</v>
      </c>
      <c r="FQ5" s="1">
        <f>FQ4</f>
        <v>0</v>
      </c>
      <c r="FR5" s="1">
        <f>IF(FQ5=1,1,FR4)</f>
        <v>0</v>
      </c>
      <c r="FS5" s="1">
        <f t="shared" ref="FS5" si="69">IF(FR5=1,1,FS4)</f>
        <v>0</v>
      </c>
      <c r="FT5" s="1">
        <f t="shared" ref="FT5" si="70">IF(FS5=1,1,FT4)</f>
        <v>0</v>
      </c>
      <c r="FU5" s="1">
        <f t="shared" ref="FU5" si="71">IF(FT5=1,1,FU4)</f>
        <v>0</v>
      </c>
      <c r="FV5" s="1">
        <f t="shared" ref="FV5" si="72">IF(FU5=1,1,FV4)</f>
        <v>0</v>
      </c>
      <c r="FW5" s="1">
        <f t="shared" ref="FW5" si="73">IF(FV5=1,1,FW4)</f>
        <v>0</v>
      </c>
      <c r="FX5" s="1">
        <f t="shared" ref="FX5" si="74">IF(FW5=1,1,FX4)</f>
        <v>0</v>
      </c>
      <c r="FY5" s="1">
        <f t="shared" ref="FY5" si="75">IF(FX5=1,1,FY4)</f>
        <v>0</v>
      </c>
      <c r="FZ5" s="1"/>
      <c r="GA5" s="1"/>
      <c r="GC5" s="36"/>
      <c r="GF5" s="3" t="s">
        <v>1022</v>
      </c>
      <c r="GG5" s="1">
        <f>GG4</f>
        <v>0</v>
      </c>
      <c r="GH5" s="1">
        <f>IF(GG5=1,1,GH4)</f>
        <v>0</v>
      </c>
      <c r="GI5" s="1">
        <f t="shared" ref="GI5" si="76">IF(GH5=1,1,GI4)</f>
        <v>0</v>
      </c>
      <c r="GJ5" s="1">
        <f t="shared" ref="GJ5" si="77">IF(GI5=1,1,GJ4)</f>
        <v>0</v>
      </c>
      <c r="GK5" s="1">
        <f t="shared" ref="GK5" si="78">IF(GJ5=1,1,GK4)</f>
        <v>0</v>
      </c>
      <c r="GL5" s="1">
        <f t="shared" ref="GL5" si="79">IF(GK5=1,1,GL4)</f>
        <v>0</v>
      </c>
      <c r="GM5" s="1">
        <f t="shared" ref="GM5" si="80">IF(GL5=1,1,GM4)</f>
        <v>0</v>
      </c>
      <c r="GN5" s="1">
        <f t="shared" ref="GN5" si="81">IF(GM5=1,1,GN4)</f>
        <v>0</v>
      </c>
      <c r="GO5" s="1">
        <f t="shared" ref="GO5" si="82">IF(GN5=1,1,GO4)</f>
        <v>0</v>
      </c>
      <c r="GP5" s="1"/>
      <c r="GQ5" s="1"/>
      <c r="GR5" s="1"/>
      <c r="GS5" s="36"/>
      <c r="GT5" s="1"/>
      <c r="GV5" s="3" t="s">
        <v>1023</v>
      </c>
      <c r="GW5" s="1">
        <f>GW4</f>
        <v>0</v>
      </c>
      <c r="GX5" s="1">
        <f>IF(GW5=1,1,GX4)</f>
        <v>0</v>
      </c>
      <c r="GY5" s="1">
        <f t="shared" ref="GY5" si="83">IF(GX5=1,1,GY4)</f>
        <v>0</v>
      </c>
      <c r="GZ5" s="1">
        <f t="shared" ref="GZ5" si="84">IF(GY5=1,1,GZ4)</f>
        <v>0</v>
      </c>
      <c r="HA5" s="1">
        <f t="shared" ref="HA5" si="85">IF(GZ5=1,1,HA4)</f>
        <v>0</v>
      </c>
      <c r="HB5" s="1">
        <f t="shared" ref="HB5" si="86">IF(HA5=1,1,HB4)</f>
        <v>0</v>
      </c>
      <c r="HC5" s="1">
        <f t="shared" ref="HC5" si="87">IF(HB5=1,1,HC4)</f>
        <v>0</v>
      </c>
      <c r="HD5" s="1">
        <f t="shared" ref="HD5" si="88">IF(HC5=1,1,HD4)</f>
        <v>0</v>
      </c>
      <c r="HE5" s="1">
        <f t="shared" ref="HE5" si="89">IF(HD5=1,1,HE4)</f>
        <v>0</v>
      </c>
      <c r="HF5" s="1"/>
      <c r="HG5" s="1"/>
      <c r="HH5" s="1"/>
      <c r="HI5" s="36"/>
      <c r="HJ5" s="1"/>
      <c r="HK5" s="1"/>
      <c r="HL5" s="3" t="s">
        <v>1024</v>
      </c>
      <c r="HM5" s="1">
        <f>HM4</f>
        <v>0</v>
      </c>
      <c r="HN5" s="1">
        <f>IF(HM5=1,1,HN4)</f>
        <v>0</v>
      </c>
      <c r="HO5" s="1">
        <f t="shared" ref="HO5" si="90">IF(HN5=1,1,HO4)</f>
        <v>0</v>
      </c>
      <c r="HP5" s="1">
        <f t="shared" ref="HP5" si="91">IF(HO5=1,1,HP4)</f>
        <v>0</v>
      </c>
      <c r="HQ5" s="1">
        <f t="shared" ref="HQ5" si="92">IF(HP5=1,1,HQ4)</f>
        <v>0</v>
      </c>
      <c r="HR5" s="1">
        <f t="shared" ref="HR5" si="93">IF(HQ5=1,1,HR4)</f>
        <v>0</v>
      </c>
      <c r="HS5" s="1">
        <f t="shared" ref="HS5" si="94">IF(HR5=1,1,HS4)</f>
        <v>0</v>
      </c>
      <c r="HT5" s="1">
        <f t="shared" ref="HT5" si="95">IF(HS5=1,1,HT4)</f>
        <v>0</v>
      </c>
      <c r="HU5" s="1">
        <f t="shared" ref="HU5" si="96">IF(HT5=1,1,HU4)</f>
        <v>0</v>
      </c>
      <c r="HV5" s="1"/>
      <c r="HW5" s="1"/>
      <c r="HX5" s="1"/>
      <c r="HY5" s="36"/>
      <c r="HZ5" s="1"/>
      <c r="IA5" s="1"/>
      <c r="IB5" s="3" t="s">
        <v>1025</v>
      </c>
      <c r="IC5" s="1">
        <f>IC4</f>
        <v>0</v>
      </c>
      <c r="ID5" s="1">
        <f>IF(IC5=1,1,ID4)</f>
        <v>0</v>
      </c>
      <c r="IE5" s="1">
        <f t="shared" ref="IE5" si="97">IF(ID5=1,1,IE4)</f>
        <v>0</v>
      </c>
      <c r="IF5" s="1">
        <f t="shared" ref="IF5" si="98">IF(IE5=1,1,IF4)</f>
        <v>0</v>
      </c>
      <c r="IG5" s="1">
        <f t="shared" ref="IG5" si="99">IF(IF5=1,1,IG4)</f>
        <v>0</v>
      </c>
      <c r="IH5" s="1">
        <f t="shared" ref="IH5" si="100">IF(IG5=1,1,IH4)</f>
        <v>0</v>
      </c>
      <c r="II5" s="1">
        <f t="shared" ref="II5" si="101">IF(IH5=1,1,II4)</f>
        <v>0</v>
      </c>
      <c r="IJ5" s="1">
        <f t="shared" ref="IJ5" si="102">IF(II5=1,1,IJ4)</f>
        <v>0</v>
      </c>
      <c r="IK5" s="1">
        <f t="shared" ref="IK5" si="103">IF(IJ5=1,1,IK4)</f>
        <v>0</v>
      </c>
      <c r="IL5" s="1"/>
      <c r="IM5" s="1"/>
      <c r="IN5" s="1"/>
      <c r="IO5" s="36"/>
      <c r="IP5" s="1"/>
      <c r="IR5" s="3" t="s">
        <v>1026</v>
      </c>
      <c r="IS5" s="1">
        <f>IS4</f>
        <v>0</v>
      </c>
      <c r="IT5" s="1">
        <f>IF(IS5=1,1,IT4)</f>
        <v>0</v>
      </c>
      <c r="IU5" s="1">
        <f t="shared" ref="IU5" si="104">IF(IT5=1,1,IU4)</f>
        <v>0</v>
      </c>
      <c r="IV5" s="1">
        <f t="shared" ref="IV5" si="105">IF(IU5=1,1,IV4)</f>
        <v>0</v>
      </c>
      <c r="IW5" s="1">
        <f t="shared" ref="IW5" si="106">IF(IV5=1,1,IW4)</f>
        <v>0</v>
      </c>
      <c r="IX5" s="1">
        <f t="shared" ref="IX5" si="107">IF(IW5=1,1,IX4)</f>
        <v>0</v>
      </c>
      <c r="IY5" s="1">
        <f t="shared" ref="IY5" si="108">IF(IX5=1,1,IY4)</f>
        <v>0</v>
      </c>
      <c r="IZ5" s="1">
        <f t="shared" ref="IZ5" si="109">IF(IY5=1,1,IZ4)</f>
        <v>0</v>
      </c>
      <c r="JA5" s="1">
        <f t="shared" ref="JA5" si="110">IF(IZ5=1,1,JA4)</f>
        <v>0</v>
      </c>
      <c r="JB5" s="1"/>
      <c r="JC5" s="1"/>
      <c r="JD5" s="1"/>
      <c r="JE5" s="36"/>
      <c r="JF5" s="1"/>
      <c r="JH5" s="3" t="s">
        <v>1027</v>
      </c>
      <c r="JI5" s="1">
        <f>JI4</f>
        <v>0</v>
      </c>
      <c r="JJ5" s="1">
        <f>IF(JI5=1,1,JJ4)</f>
        <v>0</v>
      </c>
      <c r="JK5" s="1">
        <f t="shared" ref="JK5" si="111">IF(JJ5=1,1,JK4)</f>
        <v>0</v>
      </c>
      <c r="JL5" s="1">
        <f t="shared" ref="JL5" si="112">IF(JK5=1,1,JL4)</f>
        <v>0</v>
      </c>
      <c r="JM5" s="1">
        <f t="shared" ref="JM5" si="113">IF(JL5=1,1,JM4)</f>
        <v>0</v>
      </c>
      <c r="JN5" s="1">
        <f t="shared" ref="JN5" si="114">IF(JM5=1,1,JN4)</f>
        <v>0</v>
      </c>
      <c r="JO5" s="1">
        <f t="shared" ref="JO5" si="115">IF(JN5=1,1,JO4)</f>
        <v>0</v>
      </c>
      <c r="JP5" s="1">
        <f t="shared" ref="JP5" si="116">IF(JO5=1,1,JP4)</f>
        <v>0</v>
      </c>
      <c r="JQ5" s="1">
        <f t="shared" ref="JQ5" si="117">IF(JP5=1,1,JQ4)</f>
        <v>0</v>
      </c>
      <c r="JR5" s="1"/>
      <c r="JS5" s="1"/>
      <c r="JT5" s="1"/>
      <c r="JU5" s="36"/>
      <c r="JV5" s="1"/>
      <c r="JX5" s="3" t="s">
        <v>1028</v>
      </c>
      <c r="JY5" s="1">
        <f>JY4</f>
        <v>0</v>
      </c>
      <c r="JZ5" s="1">
        <f>IF(JY5=1,1,JZ4)</f>
        <v>0</v>
      </c>
      <c r="KA5" s="1">
        <f t="shared" ref="KA5" si="118">IF(JZ5=1,1,KA4)</f>
        <v>0</v>
      </c>
      <c r="KB5" s="1">
        <f t="shared" ref="KB5" si="119">IF(KA5=1,1,KB4)</f>
        <v>0</v>
      </c>
      <c r="KC5" s="1">
        <f t="shared" ref="KC5" si="120">IF(KB5=1,1,KC4)</f>
        <v>0</v>
      </c>
      <c r="KD5" s="1">
        <f t="shared" ref="KD5" si="121">IF(KC5=1,1,KD4)</f>
        <v>0</v>
      </c>
      <c r="KE5" s="1">
        <f t="shared" ref="KE5" si="122">IF(KD5=1,1,KE4)</f>
        <v>0</v>
      </c>
      <c r="KF5" s="1">
        <f t="shared" ref="KF5" si="123">IF(KE5=1,1,KF4)</f>
        <v>0</v>
      </c>
      <c r="KG5" s="1">
        <f t="shared" ref="KG5" si="124">IF(KF5=1,1,KG4)</f>
        <v>0</v>
      </c>
      <c r="KH5" s="1"/>
      <c r="KI5" s="1"/>
      <c r="KJ5" s="1"/>
      <c r="KK5" s="36"/>
      <c r="KL5" s="1"/>
      <c r="KN5" s="27" t="s">
        <v>1613</v>
      </c>
      <c r="KO5" s="1">
        <f>KO4</f>
        <v>0</v>
      </c>
      <c r="KP5" s="1">
        <f>IF(KO5=1,1,KP4)</f>
        <v>0</v>
      </c>
      <c r="KQ5" s="1">
        <f t="shared" ref="KQ5" si="125">IF(KP5=1,1,KQ4)</f>
        <v>0</v>
      </c>
      <c r="KR5" s="1">
        <f t="shared" ref="KR5" si="126">IF(KQ5=1,1,KR4)</f>
        <v>0</v>
      </c>
      <c r="KS5" s="1">
        <f t="shared" ref="KS5" si="127">IF(KR5=1,1,KS4)</f>
        <v>0</v>
      </c>
      <c r="KT5" s="1">
        <f t="shared" ref="KT5" si="128">IF(KS5=1,1,KT4)</f>
        <v>0</v>
      </c>
      <c r="KU5" s="1">
        <f t="shared" ref="KU5" si="129">IF(KT5=1,1,KU4)</f>
        <v>0</v>
      </c>
      <c r="KV5" s="1">
        <f t="shared" ref="KV5" si="130">IF(KU5=1,1,KV4)</f>
        <v>0</v>
      </c>
      <c r="KW5" s="1">
        <f t="shared" ref="KW5" si="131">IF(KV5=1,1,KW4)</f>
        <v>0</v>
      </c>
      <c r="KX5" s="1"/>
      <c r="KY5" s="1"/>
      <c r="KZ5" s="1"/>
      <c r="LA5" s="36"/>
      <c r="LB5" s="1"/>
      <c r="LD5" s="27" t="s">
        <v>1612</v>
      </c>
      <c r="LE5" s="1">
        <f>LE4</f>
        <v>0</v>
      </c>
      <c r="LF5" s="1">
        <f>IF(LE5=1,1,LF4)</f>
        <v>0</v>
      </c>
      <c r="LG5" s="1">
        <f t="shared" ref="LG5" si="132">IF(LF5=1,1,LG4)</f>
        <v>0</v>
      </c>
      <c r="LH5" s="1">
        <f t="shared" ref="LH5" si="133">IF(LG5=1,1,LH4)</f>
        <v>0</v>
      </c>
      <c r="LI5" s="1">
        <f t="shared" ref="LI5" si="134">IF(LH5=1,1,LI4)</f>
        <v>0</v>
      </c>
      <c r="LJ5" s="1">
        <f t="shared" ref="LJ5" si="135">IF(LI5=1,1,LJ4)</f>
        <v>0</v>
      </c>
      <c r="LK5" s="1">
        <f t="shared" ref="LK5" si="136">IF(LJ5=1,1,LK4)</f>
        <v>0</v>
      </c>
      <c r="LL5" s="1">
        <f t="shared" ref="LL5" si="137">IF(LK5=1,1,LL4)</f>
        <v>0</v>
      </c>
      <c r="LM5" s="1">
        <f t="shared" ref="LM5" si="138">IF(LL5=1,1,LM4)</f>
        <v>0</v>
      </c>
      <c r="LN5" s="1"/>
      <c r="LO5" s="1"/>
      <c r="LP5" s="1"/>
      <c r="LQ5" s="36"/>
      <c r="LR5" s="1"/>
      <c r="LT5" s="27" t="s">
        <v>1611</v>
      </c>
      <c r="LU5" s="1">
        <f>LU4</f>
        <v>0</v>
      </c>
      <c r="LV5" s="1">
        <f>IF(LU5=1,1,LV4)</f>
        <v>0</v>
      </c>
      <c r="LW5" s="1">
        <f t="shared" ref="LW5" si="139">IF(LV5=1,1,LW4)</f>
        <v>0</v>
      </c>
      <c r="LX5" s="1">
        <f t="shared" ref="LX5" si="140">IF(LW5=1,1,LX4)</f>
        <v>0</v>
      </c>
      <c r="LY5" s="1">
        <f t="shared" ref="LY5" si="141">IF(LX5=1,1,LY4)</f>
        <v>0</v>
      </c>
      <c r="LZ5" s="1">
        <f t="shared" ref="LZ5" si="142">IF(LY5=1,1,LZ4)</f>
        <v>0</v>
      </c>
      <c r="MA5" s="1">
        <f t="shared" ref="MA5" si="143">IF(LZ5=1,1,MA4)</f>
        <v>0</v>
      </c>
      <c r="MB5" s="1">
        <f t="shared" ref="MB5" si="144">IF(MA5=1,1,MB4)</f>
        <v>0</v>
      </c>
      <c r="MC5" s="1">
        <f t="shared" ref="MC5" si="145">IF(MB5=1,1,MC4)</f>
        <v>0</v>
      </c>
      <c r="MD5" s="1"/>
      <c r="ME5" s="1"/>
      <c r="MF5" s="1"/>
      <c r="MG5" s="36"/>
      <c r="MH5" s="1"/>
      <c r="MJ5" s="27" t="s">
        <v>1610</v>
      </c>
      <c r="MK5" s="1">
        <f>MK4</f>
        <v>0</v>
      </c>
      <c r="ML5" s="1">
        <f>IF(MK5=1,1,ML4)</f>
        <v>0</v>
      </c>
      <c r="MM5" s="1">
        <f t="shared" ref="MM5" si="146">IF(ML5=1,1,MM4)</f>
        <v>0</v>
      </c>
      <c r="MN5" s="1">
        <f t="shared" ref="MN5" si="147">IF(MM5=1,1,MN4)</f>
        <v>0</v>
      </c>
      <c r="MO5" s="1">
        <f t="shared" ref="MO5" si="148">IF(MN5=1,1,MO4)</f>
        <v>0</v>
      </c>
      <c r="MP5" s="1">
        <f t="shared" ref="MP5" si="149">IF(MO5=1,1,MP4)</f>
        <v>0</v>
      </c>
      <c r="MQ5" s="1">
        <f t="shared" ref="MQ5" si="150">IF(MP5=1,1,MQ4)</f>
        <v>0</v>
      </c>
      <c r="MR5" s="1">
        <f t="shared" ref="MR5" si="151">IF(MQ5=1,1,MR4)</f>
        <v>0</v>
      </c>
      <c r="MS5" s="1">
        <f t="shared" ref="MS5" si="152">IF(MR5=1,1,MS4)</f>
        <v>0</v>
      </c>
      <c r="MT5" s="1"/>
      <c r="MU5" s="1"/>
      <c r="MV5" s="1"/>
      <c r="MW5" s="36"/>
      <c r="MX5" s="1"/>
      <c r="MZ5" s="27" t="s">
        <v>1609</v>
      </c>
      <c r="NA5" s="1">
        <f>NA4</f>
        <v>0</v>
      </c>
      <c r="NB5" s="1">
        <f>IF(NA5=1,1,NB4)</f>
        <v>0</v>
      </c>
      <c r="NC5" s="1">
        <f t="shared" ref="NC5" si="153">IF(NB5=1,1,NC4)</f>
        <v>0</v>
      </c>
      <c r="ND5" s="1">
        <f t="shared" ref="ND5" si="154">IF(NC5=1,1,ND4)</f>
        <v>0</v>
      </c>
      <c r="NE5" s="1">
        <f t="shared" ref="NE5" si="155">IF(ND5=1,1,NE4)</f>
        <v>0</v>
      </c>
      <c r="NF5" s="1">
        <f t="shared" ref="NF5" si="156">IF(NE5=1,1,NF4)</f>
        <v>0</v>
      </c>
      <c r="NG5" s="1">
        <f t="shared" ref="NG5" si="157">IF(NF5=1,1,NG4)</f>
        <v>0</v>
      </c>
      <c r="NH5" s="1">
        <f t="shared" ref="NH5" si="158">IF(NG5=1,1,NH4)</f>
        <v>0</v>
      </c>
      <c r="NI5" s="1">
        <f t="shared" ref="NI5" si="159">IF(NH5=1,1,NI4)</f>
        <v>0</v>
      </c>
      <c r="NJ5" s="1"/>
      <c r="NK5" s="1"/>
      <c r="NL5" s="1"/>
      <c r="NM5" s="36"/>
      <c r="NN5" s="1"/>
      <c r="NP5" s="3" t="s">
        <v>1608</v>
      </c>
      <c r="NQ5" s="1">
        <f>NQ4</f>
        <v>0</v>
      </c>
      <c r="NR5" s="1">
        <f>IF(NQ5=1,1,NR4)</f>
        <v>0</v>
      </c>
      <c r="NS5" s="1">
        <f t="shared" ref="NS5" si="160">IF(NR5=1,1,NS4)</f>
        <v>0</v>
      </c>
      <c r="NT5" s="1">
        <f t="shared" ref="NT5" si="161">IF(NS5=1,1,NT4)</f>
        <v>0</v>
      </c>
      <c r="NU5" s="1">
        <f t="shared" ref="NU5" si="162">IF(NT5=1,1,NU4)</f>
        <v>0</v>
      </c>
      <c r="NV5" s="1">
        <f t="shared" ref="NV5" si="163">IF(NU5=1,1,NV4)</f>
        <v>0</v>
      </c>
      <c r="NW5" s="1">
        <f t="shared" ref="NW5" si="164">IF(NV5=1,1,NW4)</f>
        <v>0</v>
      </c>
      <c r="NX5" s="1">
        <f t="shared" ref="NX5" si="165">IF(NW5=1,1,NX4)</f>
        <v>0</v>
      </c>
      <c r="NY5" s="1">
        <f t="shared" ref="NY5" si="166">IF(NX5=1,1,NY4)</f>
        <v>0</v>
      </c>
      <c r="NZ5" s="1"/>
      <c r="OA5" s="1"/>
      <c r="OB5" s="1"/>
      <c r="OC5" s="36"/>
      <c r="OD5" s="1"/>
      <c r="OF5" s="3" t="s">
        <v>1579</v>
      </c>
      <c r="OG5" s="1">
        <f>OG4</f>
        <v>0</v>
      </c>
      <c r="OH5" s="1">
        <f>IF(OG5=1,1,OH4)</f>
        <v>0</v>
      </c>
      <c r="OI5" s="1">
        <f t="shared" ref="OI5" si="167">IF(OH5=1,1,OI4)</f>
        <v>0</v>
      </c>
      <c r="OJ5" s="1">
        <f t="shared" ref="OJ5" si="168">IF(OI5=1,1,OJ4)</f>
        <v>0</v>
      </c>
      <c r="OK5" s="1">
        <f t="shared" ref="OK5" si="169">IF(OJ5=1,1,OK4)</f>
        <v>0</v>
      </c>
      <c r="OL5" s="1">
        <f t="shared" ref="OL5" si="170">IF(OK5=1,1,OL4)</f>
        <v>0</v>
      </c>
      <c r="OM5" s="1">
        <f t="shared" ref="OM5" si="171">IF(OL5=1,1,OM4)</f>
        <v>0</v>
      </c>
      <c r="ON5" s="1">
        <f t="shared" ref="ON5" si="172">IF(OM5=1,1,ON4)</f>
        <v>0</v>
      </c>
      <c r="OO5" s="1">
        <f t="shared" ref="OO5" si="173">IF(ON5=1,1,OO4)</f>
        <v>0</v>
      </c>
      <c r="OP5" s="1"/>
      <c r="OQ5" s="1"/>
      <c r="OS5" s="36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H5" s="2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V5" s="2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J5" s="2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X5" s="2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L5" s="2"/>
      <c r="RM5" s="1"/>
      <c r="RN5" s="1"/>
      <c r="RO5" s="1"/>
      <c r="RP5" s="1"/>
      <c r="RQ5" s="1"/>
      <c r="RR5" s="1"/>
      <c r="RS5" s="1"/>
      <c r="RT5" s="1"/>
      <c r="RU5" s="1"/>
      <c r="RZ5" s="2"/>
      <c r="SA5" s="1"/>
      <c r="SB5" s="1"/>
      <c r="SC5" s="1"/>
      <c r="SD5" s="1"/>
      <c r="SE5" s="1"/>
      <c r="SF5" s="1"/>
      <c r="SG5" s="1"/>
      <c r="SH5" s="1"/>
      <c r="SI5" s="1"/>
      <c r="SN5" s="2"/>
      <c r="SO5" s="1"/>
      <c r="SP5" s="1"/>
      <c r="SQ5" s="1"/>
      <c r="SR5" s="1"/>
      <c r="SS5" s="1"/>
      <c r="ST5" s="1"/>
      <c r="SU5" s="1"/>
      <c r="SV5" s="1"/>
      <c r="SW5" s="1"/>
    </row>
    <row r="6" spans="1:517" x14ac:dyDescent="0.2">
      <c r="A6" s="3" t="s">
        <v>1029</v>
      </c>
      <c r="L6" t="s">
        <v>1954</v>
      </c>
      <c r="M6">
        <f>M5</f>
        <v>0</v>
      </c>
      <c r="N6">
        <f t="shared" ref="N6:S6" si="174">IF(AND(N5=1, M5=0), 1, 0)</f>
        <v>0</v>
      </c>
      <c r="O6">
        <f t="shared" si="174"/>
        <v>0</v>
      </c>
      <c r="P6">
        <f t="shared" si="174"/>
        <v>0</v>
      </c>
      <c r="Q6">
        <f t="shared" si="174"/>
        <v>0</v>
      </c>
      <c r="R6">
        <f t="shared" si="174"/>
        <v>0</v>
      </c>
      <c r="S6">
        <f t="shared" si="174"/>
        <v>0</v>
      </c>
      <c r="X6" s="3" t="s">
        <v>1649</v>
      </c>
      <c r="Y6" s="1">
        <f>_xlfn.XLOOKUP(Y4,'KPI Impacts'!$T$2:$W$2,'KPI Impacts'!$T$63:$W$63)</f>
        <v>0</v>
      </c>
      <c r="Z6" s="1">
        <f>_xlfn.XLOOKUP(Z4,'KPI Impacts'!$T$2:$W$2,'KPI Impacts'!$T$63:$W$63)</f>
        <v>0</v>
      </c>
      <c r="AA6" s="1">
        <f>_xlfn.XLOOKUP(AA4,'KPI Impacts'!$T$2:$W$2,'KPI Impacts'!$T$63:$W$63)</f>
        <v>0</v>
      </c>
      <c r="AB6" s="1">
        <f>_xlfn.XLOOKUP(AB4,'KPI Impacts'!$T$2:$W$2,'KPI Impacts'!$T$63:$W$63)</f>
        <v>0</v>
      </c>
      <c r="AC6" s="1">
        <f>_xlfn.XLOOKUP(AC4,'KPI Impacts'!$T$2:$W$2,'KPI Impacts'!$T$63:$W$63)</f>
        <v>0</v>
      </c>
      <c r="AD6" s="1">
        <f>_xlfn.XLOOKUP(AD4,'KPI Impacts'!$T$2:$W$2,'KPI Impacts'!$T$63:$W$63)</f>
        <v>0</v>
      </c>
      <c r="AE6" s="1">
        <f>_xlfn.XLOOKUP(AE4,'KPI Impacts'!$T$2:$W$2,'KPI Impacts'!$T$63:$W$63)</f>
        <v>0</v>
      </c>
      <c r="AF6" s="1">
        <f>_xlfn.XLOOKUP(AF4,'KPI Impacts'!$T$2:$W$2,'KPI Impacts'!$T$63:$W$63)</f>
        <v>0</v>
      </c>
      <c r="AG6" s="1">
        <f>_xlfn.XLOOKUP(AG4,'KPI Impacts'!$T$2:$W$2,'KPI Impacts'!$T$63:$W$63)</f>
        <v>0</v>
      </c>
      <c r="AH6" s="1"/>
      <c r="AI6" s="1"/>
      <c r="AP6" s="3" t="s">
        <v>1652</v>
      </c>
      <c r="AQ6" s="1">
        <f>_xlfn.XLOOKUP(AQ4,'KPI Impacts'!$T$2:$W$2,'KPI Impacts'!$T$63:$W$63)</f>
        <v>0</v>
      </c>
      <c r="AR6" s="1">
        <f>_xlfn.XLOOKUP(AR4,'KPI Impacts'!$T$2:$W$2,'KPI Impacts'!$T$63:$W$63)</f>
        <v>0</v>
      </c>
      <c r="AS6" s="1">
        <f>_xlfn.XLOOKUP(AS4,'KPI Impacts'!$T$2:$W$2,'KPI Impacts'!$T$63:$W$63)</f>
        <v>0</v>
      </c>
      <c r="AT6" s="1">
        <f>_xlfn.XLOOKUP(AT4,'KPI Impacts'!$T$2:$W$2,'KPI Impacts'!$T$63:$W$63)</f>
        <v>0</v>
      </c>
      <c r="AU6" s="1">
        <f>_xlfn.XLOOKUP(AU4,'KPI Impacts'!$T$2:$W$2,'KPI Impacts'!$T$63:$W$63)</f>
        <v>0</v>
      </c>
      <c r="AV6" s="1">
        <f>_xlfn.XLOOKUP(AV4,'KPI Impacts'!$T$2:$W$2,'KPI Impacts'!$T$63:$W$63)</f>
        <v>0</v>
      </c>
      <c r="AW6" s="1">
        <f>_xlfn.XLOOKUP(AW4,'KPI Impacts'!$T$2:$W$2,'KPI Impacts'!$T$63:$W$63)</f>
        <v>0</v>
      </c>
      <c r="AX6" s="1">
        <f>_xlfn.XLOOKUP(AX4,'KPI Impacts'!$T$2:$W$2,'KPI Impacts'!$T$63:$W$63)</f>
        <v>0</v>
      </c>
      <c r="AY6" s="1">
        <f>_xlfn.XLOOKUP(AY4,'KPI Impacts'!$T$2:$W$2,'KPI Impacts'!$T$63:$W$63)</f>
        <v>0</v>
      </c>
      <c r="AZ6" s="1"/>
      <c r="BA6" s="1"/>
      <c r="BH6" s="3" t="s">
        <v>1030</v>
      </c>
      <c r="BI6" s="1">
        <v>0</v>
      </c>
      <c r="BJ6" s="1">
        <f>IF(AND(BI4=1,BI5=1),1,IF(AND(BI4=0,BI5=1),3,0))</f>
        <v>0</v>
      </c>
      <c r="BK6" s="1">
        <f t="shared" ref="BK6:BQ6" si="175">IF(AND(BJ4=1,BJ5=1),1,IF(AND(BJ4=0,BJ5=1),3,0))</f>
        <v>0</v>
      </c>
      <c r="BL6" s="1">
        <f t="shared" si="175"/>
        <v>0</v>
      </c>
      <c r="BM6" s="1">
        <f t="shared" si="175"/>
        <v>0</v>
      </c>
      <c r="BN6" s="1">
        <f t="shared" si="175"/>
        <v>0</v>
      </c>
      <c r="BO6" s="1">
        <f t="shared" si="175"/>
        <v>0</v>
      </c>
      <c r="BP6" s="1">
        <f t="shared" si="175"/>
        <v>0</v>
      </c>
      <c r="BQ6" s="1">
        <f t="shared" si="175"/>
        <v>0</v>
      </c>
      <c r="BR6" s="1"/>
      <c r="BS6" s="1"/>
      <c r="BU6" s="36"/>
      <c r="BX6" s="3" t="s">
        <v>1031</v>
      </c>
      <c r="BY6" s="1">
        <v>2</v>
      </c>
      <c r="BZ6" s="1">
        <v>2</v>
      </c>
      <c r="CA6" s="1">
        <f t="shared" ref="CA6" si="176">IF(AND(BZ4=1,BZ5=1),1,IF(AND(BZ4=0,BZ5=1),3,0))</f>
        <v>0</v>
      </c>
      <c r="CB6" s="1">
        <f t="shared" ref="CB6" si="177">IF(AND(CA4=1,CA5=1),1,IF(AND(CA4=0,CA5=1),3,0))</f>
        <v>0</v>
      </c>
      <c r="CC6" s="1">
        <f t="shared" ref="CC6" si="178">IF(AND(CB4=1,CB5=1),1,IF(AND(CB4=0,CB5=1),3,0))</f>
        <v>0</v>
      </c>
      <c r="CD6" s="1">
        <f t="shared" ref="CD6" si="179">IF(AND(CC4=1,CC5=1),1,IF(AND(CC4=0,CC5=1),3,0))</f>
        <v>0</v>
      </c>
      <c r="CE6" s="1">
        <f t="shared" ref="CE6" si="180">IF(AND(CD4=1,CD5=1),1,IF(AND(CD4=0,CD5=1),3,0))</f>
        <v>0</v>
      </c>
      <c r="CF6" s="1">
        <f t="shared" ref="CF6" si="181">IF(AND(CE4=1,CE5=1),1,IF(AND(CE4=0,CE5=1),3,0))</f>
        <v>0</v>
      </c>
      <c r="CG6" s="1">
        <f t="shared" ref="CG6" si="182">IF(AND(CF4=1,CF5=1),1,IF(AND(CF4=0,CF5=1),3,0))</f>
        <v>0</v>
      </c>
      <c r="CH6" s="1"/>
      <c r="CI6" s="1"/>
      <c r="CK6" s="36"/>
      <c r="CN6" s="3" t="s">
        <v>1032</v>
      </c>
      <c r="CO6" s="1">
        <v>0</v>
      </c>
      <c r="CP6" s="1">
        <f>IF(AND(CO4=1,CO5=1),1,IF(AND(CO4=0,CO5=1),3,0))</f>
        <v>0</v>
      </c>
      <c r="CQ6" s="1">
        <f t="shared" ref="CQ6:CW6" si="183">IF(AND(CP4=1,CP5=1),1,IF(AND(CP4=0,CP5=1),3,0))</f>
        <v>0</v>
      </c>
      <c r="CR6" s="1">
        <f t="shared" si="183"/>
        <v>0</v>
      </c>
      <c r="CS6" s="1">
        <f t="shared" si="183"/>
        <v>0</v>
      </c>
      <c r="CT6" s="1">
        <f t="shared" si="183"/>
        <v>0</v>
      </c>
      <c r="CU6" s="1">
        <f t="shared" si="183"/>
        <v>0</v>
      </c>
      <c r="CV6" s="1">
        <f t="shared" si="183"/>
        <v>0</v>
      </c>
      <c r="CW6" s="1">
        <f t="shared" si="183"/>
        <v>0</v>
      </c>
      <c r="CX6" s="1"/>
      <c r="CY6" s="1"/>
      <c r="DA6" s="36"/>
      <c r="DD6" s="3" t="s">
        <v>1033</v>
      </c>
      <c r="DE6" s="1">
        <v>0</v>
      </c>
      <c r="DF6" s="1">
        <f t="shared" ref="DF6:DM6" si="184">IF(AND(DE4=1,DE5=1),1,IF(AND(DE4=0,DE5=1),3,0))</f>
        <v>0</v>
      </c>
      <c r="DG6" s="1">
        <f t="shared" si="184"/>
        <v>0</v>
      </c>
      <c r="DH6" s="1">
        <f t="shared" si="184"/>
        <v>0</v>
      </c>
      <c r="DI6" s="1">
        <f t="shared" si="184"/>
        <v>0</v>
      </c>
      <c r="DJ6" s="1">
        <f t="shared" si="184"/>
        <v>0</v>
      </c>
      <c r="DK6" s="1">
        <f t="shared" si="184"/>
        <v>0</v>
      </c>
      <c r="DL6" s="1">
        <f t="shared" si="184"/>
        <v>0</v>
      </c>
      <c r="DM6" s="1">
        <f t="shared" si="184"/>
        <v>0</v>
      </c>
      <c r="DN6" s="1"/>
      <c r="DO6" s="1"/>
      <c r="DQ6" s="36"/>
      <c r="DT6" s="3" t="s">
        <v>1034</v>
      </c>
      <c r="DU6" s="1">
        <v>0</v>
      </c>
      <c r="DV6" s="1">
        <f t="shared" ref="DV6:EC6" si="185">IF(AND(DU4=1,DU5=1),1,IF(AND(DU4=0,DU5=1),3,0))</f>
        <v>0</v>
      </c>
      <c r="DW6" s="1">
        <f t="shared" si="185"/>
        <v>0</v>
      </c>
      <c r="DX6" s="1">
        <f t="shared" si="185"/>
        <v>0</v>
      </c>
      <c r="DY6" s="1">
        <f t="shared" si="185"/>
        <v>0</v>
      </c>
      <c r="DZ6" s="1">
        <f t="shared" si="185"/>
        <v>0</v>
      </c>
      <c r="EA6" s="1">
        <f t="shared" si="185"/>
        <v>0</v>
      </c>
      <c r="EB6" s="1">
        <f t="shared" si="185"/>
        <v>0</v>
      </c>
      <c r="EC6" s="1">
        <f t="shared" si="185"/>
        <v>0</v>
      </c>
      <c r="ED6" s="1"/>
      <c r="EE6" s="1"/>
      <c r="EG6" s="36"/>
      <c r="EJ6" s="3" t="s">
        <v>1035</v>
      </c>
      <c r="EK6" s="1">
        <v>2</v>
      </c>
      <c r="EL6" s="1">
        <v>2</v>
      </c>
      <c r="EM6" s="1">
        <f t="shared" ref="EM6:ES6" si="186">IF(AND(EL4=1,EL5=1),1,IF(AND(EL4=0,EL5=1),3,0))</f>
        <v>0</v>
      </c>
      <c r="EN6" s="1">
        <f t="shared" si="186"/>
        <v>0</v>
      </c>
      <c r="EO6" s="1">
        <f t="shared" si="186"/>
        <v>0</v>
      </c>
      <c r="EP6" s="1">
        <f t="shared" si="186"/>
        <v>0</v>
      </c>
      <c r="EQ6" s="1">
        <f t="shared" si="186"/>
        <v>0</v>
      </c>
      <c r="ER6" s="1">
        <f t="shared" si="186"/>
        <v>0</v>
      </c>
      <c r="ES6" s="1">
        <f t="shared" si="186"/>
        <v>0</v>
      </c>
      <c r="ET6" s="1"/>
      <c r="EU6" s="1"/>
      <c r="EW6" s="36"/>
      <c r="EZ6" s="3" t="s">
        <v>1036</v>
      </c>
      <c r="FA6" s="1">
        <v>2</v>
      </c>
      <c r="FB6" s="1">
        <v>2</v>
      </c>
      <c r="FC6" s="1">
        <v>2</v>
      </c>
      <c r="FD6" s="1">
        <f t="shared" ref="FD6:FI6" si="187">IF(AND(FC4=1,FC5=1),1,IF(AND(FC4=0,FC5=1),3,0))</f>
        <v>0</v>
      </c>
      <c r="FE6" s="1">
        <f t="shared" si="187"/>
        <v>0</v>
      </c>
      <c r="FF6" s="1">
        <f t="shared" si="187"/>
        <v>0</v>
      </c>
      <c r="FG6" s="1">
        <f t="shared" si="187"/>
        <v>0</v>
      </c>
      <c r="FH6" s="1">
        <f t="shared" si="187"/>
        <v>0</v>
      </c>
      <c r="FI6" s="1">
        <f t="shared" si="187"/>
        <v>0</v>
      </c>
      <c r="FJ6" s="1"/>
      <c r="FK6" s="1"/>
      <c r="FM6" s="36"/>
      <c r="FP6" s="3" t="s">
        <v>1037</v>
      </c>
      <c r="FQ6" s="1">
        <v>2</v>
      </c>
      <c r="FR6" s="1">
        <v>2</v>
      </c>
      <c r="FS6" s="1">
        <v>2</v>
      </c>
      <c r="FT6" s="1">
        <f t="shared" ref="FT6:FY6" si="188">IF(AND(FS4=1,FS5=1),1,IF(AND(FS4=0,FS5=1),3,0))</f>
        <v>0</v>
      </c>
      <c r="FU6" s="1">
        <f t="shared" si="188"/>
        <v>0</v>
      </c>
      <c r="FV6" s="1">
        <f t="shared" si="188"/>
        <v>0</v>
      </c>
      <c r="FW6" s="1">
        <f t="shared" si="188"/>
        <v>0</v>
      </c>
      <c r="FX6" s="1">
        <f t="shared" si="188"/>
        <v>0</v>
      </c>
      <c r="FY6" s="1">
        <f t="shared" si="188"/>
        <v>0</v>
      </c>
      <c r="FZ6" s="1"/>
      <c r="GA6" s="1"/>
      <c r="GC6" s="36"/>
      <c r="GF6" s="3" t="s">
        <v>1038</v>
      </c>
      <c r="GG6" s="1">
        <v>2</v>
      </c>
      <c r="GH6" s="1">
        <v>2</v>
      </c>
      <c r="GI6" s="1">
        <v>2</v>
      </c>
      <c r="GJ6" s="1">
        <v>2</v>
      </c>
      <c r="GK6" s="1">
        <f t="shared" ref="GK6:GO6" si="189">IF(AND(GJ4=1,GJ5=1),1,IF(AND(GJ4=0,GJ5=1),3,0))</f>
        <v>0</v>
      </c>
      <c r="GL6" s="1">
        <f t="shared" si="189"/>
        <v>0</v>
      </c>
      <c r="GM6" s="1">
        <f t="shared" si="189"/>
        <v>0</v>
      </c>
      <c r="GN6" s="1">
        <f t="shared" si="189"/>
        <v>0</v>
      </c>
      <c r="GO6" s="1">
        <f t="shared" si="189"/>
        <v>0</v>
      </c>
      <c r="GP6" s="1"/>
      <c r="GQ6" s="1"/>
      <c r="GR6" s="1"/>
      <c r="GS6" s="36"/>
      <c r="GT6" s="1"/>
      <c r="GV6" s="3" t="s">
        <v>1039</v>
      </c>
      <c r="GW6" s="1">
        <v>2</v>
      </c>
      <c r="GX6" s="1">
        <v>2</v>
      </c>
      <c r="GY6" s="1">
        <v>2</v>
      </c>
      <c r="GZ6" s="1">
        <v>2</v>
      </c>
      <c r="HA6" s="1">
        <f t="shared" ref="HA6:HE6" si="190">IF(AND(GZ4=1,GZ5=1),1,IF(AND(GZ4=0,GZ5=1),3,0))</f>
        <v>0</v>
      </c>
      <c r="HB6" s="1">
        <f t="shared" si="190"/>
        <v>0</v>
      </c>
      <c r="HC6" s="1">
        <f t="shared" si="190"/>
        <v>0</v>
      </c>
      <c r="HD6" s="1">
        <f t="shared" si="190"/>
        <v>0</v>
      </c>
      <c r="HE6" s="1">
        <f t="shared" si="190"/>
        <v>0</v>
      </c>
      <c r="HF6" s="1"/>
      <c r="HG6" s="1"/>
      <c r="HH6" s="1"/>
      <c r="HI6" s="36"/>
      <c r="HJ6" s="1"/>
      <c r="HK6" s="1"/>
      <c r="HL6" s="3" t="s">
        <v>1040</v>
      </c>
      <c r="HM6" s="1">
        <v>2</v>
      </c>
      <c r="HN6" s="1">
        <v>2</v>
      </c>
      <c r="HO6" s="1">
        <v>2</v>
      </c>
      <c r="HP6" s="1">
        <v>2</v>
      </c>
      <c r="HQ6" s="1">
        <v>2</v>
      </c>
      <c r="HR6" s="1">
        <f t="shared" ref="HR6:HU6" si="191">IF(AND(HQ4=1,HQ5=1),1,IF(AND(HQ4=0,HQ5=1),3,0))</f>
        <v>0</v>
      </c>
      <c r="HS6" s="1">
        <f t="shared" si="191"/>
        <v>0</v>
      </c>
      <c r="HT6" s="1">
        <f t="shared" si="191"/>
        <v>0</v>
      </c>
      <c r="HU6" s="1">
        <f t="shared" si="191"/>
        <v>0</v>
      </c>
      <c r="HV6" s="1"/>
      <c r="HW6" s="1"/>
      <c r="HX6" s="1"/>
      <c r="HY6" s="36"/>
      <c r="HZ6" s="1"/>
      <c r="IA6" s="1"/>
      <c r="IB6" s="3" t="s">
        <v>1041</v>
      </c>
      <c r="IC6" s="1">
        <v>2</v>
      </c>
      <c r="ID6" s="1">
        <v>2</v>
      </c>
      <c r="IE6" s="1">
        <v>2</v>
      </c>
      <c r="IF6" s="1">
        <v>2</v>
      </c>
      <c r="IG6" s="1">
        <v>2</v>
      </c>
      <c r="IH6" s="1">
        <f t="shared" ref="IH6:IK6" si="192">IF(AND(IG4=1,IG5=1),1,IF(AND(IG4=0,IG5=1),3,0))</f>
        <v>0</v>
      </c>
      <c r="II6" s="1">
        <f t="shared" si="192"/>
        <v>0</v>
      </c>
      <c r="IJ6" s="1">
        <f t="shared" si="192"/>
        <v>0</v>
      </c>
      <c r="IK6" s="1">
        <f t="shared" si="192"/>
        <v>0</v>
      </c>
      <c r="IL6" s="1"/>
      <c r="IM6" s="1"/>
      <c r="IN6" s="1"/>
      <c r="IO6" s="36"/>
      <c r="IP6" s="1"/>
      <c r="IR6" s="3" t="s">
        <v>1042</v>
      </c>
      <c r="IS6" s="1">
        <v>2</v>
      </c>
      <c r="IT6" s="1">
        <v>2</v>
      </c>
      <c r="IU6" s="1">
        <v>2</v>
      </c>
      <c r="IV6" s="1">
        <f t="shared" ref="IV6:JA6" si="193">IF(AND(IU4=1,IU5=1),1,IF(AND(IU4=0,IU5=1),3,0))</f>
        <v>0</v>
      </c>
      <c r="IW6" s="1">
        <f t="shared" si="193"/>
        <v>0</v>
      </c>
      <c r="IX6" s="1">
        <f t="shared" si="193"/>
        <v>0</v>
      </c>
      <c r="IY6" s="1">
        <f t="shared" si="193"/>
        <v>0</v>
      </c>
      <c r="IZ6" s="1">
        <f t="shared" si="193"/>
        <v>0</v>
      </c>
      <c r="JA6" s="1">
        <f t="shared" si="193"/>
        <v>0</v>
      </c>
      <c r="JB6" s="1"/>
      <c r="JC6" s="1"/>
      <c r="JD6" s="1"/>
      <c r="JE6" s="36"/>
      <c r="JF6" s="1"/>
      <c r="JH6" s="3" t="s">
        <v>1043</v>
      </c>
      <c r="JI6" s="1">
        <v>2</v>
      </c>
      <c r="JJ6" s="1">
        <v>2</v>
      </c>
      <c r="JK6" s="1">
        <v>2</v>
      </c>
      <c r="JL6" s="1">
        <v>2</v>
      </c>
      <c r="JM6" s="1">
        <f t="shared" ref="JM6:JQ6" si="194">IF(AND(JL4=1,JL5=1),1,IF(AND(JL4=0,JL5=1),3,0))</f>
        <v>0</v>
      </c>
      <c r="JN6" s="1">
        <f t="shared" si="194"/>
        <v>0</v>
      </c>
      <c r="JO6" s="1">
        <f t="shared" si="194"/>
        <v>0</v>
      </c>
      <c r="JP6" s="1">
        <f t="shared" si="194"/>
        <v>0</v>
      </c>
      <c r="JQ6" s="1">
        <f t="shared" si="194"/>
        <v>0</v>
      </c>
      <c r="JR6" s="1"/>
      <c r="JS6" s="1"/>
      <c r="JT6" s="1"/>
      <c r="JU6" s="36"/>
      <c r="JV6" s="1"/>
      <c r="JX6" s="3" t="s">
        <v>1044</v>
      </c>
      <c r="JY6" s="1">
        <v>2</v>
      </c>
      <c r="JZ6" s="1">
        <v>2</v>
      </c>
      <c r="KA6" s="1">
        <v>2</v>
      </c>
      <c r="KB6" s="1">
        <v>2</v>
      </c>
      <c r="KC6" s="1">
        <f t="shared" ref="KC6:KG6" si="195">IF(AND(KB4=1,KB5=1),1,IF(AND(KB4=0,KB5=1),3,0))</f>
        <v>0</v>
      </c>
      <c r="KD6" s="1">
        <f t="shared" si="195"/>
        <v>0</v>
      </c>
      <c r="KE6" s="1">
        <f t="shared" si="195"/>
        <v>0</v>
      </c>
      <c r="KF6" s="1">
        <f t="shared" si="195"/>
        <v>0</v>
      </c>
      <c r="KG6" s="1">
        <f t="shared" si="195"/>
        <v>0</v>
      </c>
      <c r="KH6" s="1"/>
      <c r="KI6" s="1"/>
      <c r="KJ6" s="1"/>
      <c r="KK6" s="36"/>
      <c r="KL6" s="1"/>
      <c r="KN6" s="3" t="s">
        <v>1045</v>
      </c>
      <c r="KO6" s="1">
        <v>0</v>
      </c>
      <c r="KP6" s="1">
        <f>IF(AND(KO4=1,KO5=1),1,IF(AND(KO4=0,KO5=1),3,0))</f>
        <v>0</v>
      </c>
      <c r="KQ6" s="1">
        <f t="shared" ref="KQ6" si="196">IF(AND(KP4=1,KP5=1),1,IF(AND(KP4=0,KP5=1),3,0))</f>
        <v>0</v>
      </c>
      <c r="KR6" s="1">
        <f t="shared" ref="KR6" si="197">IF(AND(KQ4=1,KQ5=1),1,IF(AND(KQ4=0,KQ5=1),3,0))</f>
        <v>0</v>
      </c>
      <c r="KS6" s="1">
        <f t="shared" ref="KS6" si="198">IF(AND(KR4=1,KR5=1),1,IF(AND(KR4=0,KR5=1),3,0))</f>
        <v>0</v>
      </c>
      <c r="KT6" s="1">
        <f t="shared" ref="KT6" si="199">IF(AND(KS4=1,KS5=1),1,IF(AND(KS4=0,KS5=1),3,0))</f>
        <v>0</v>
      </c>
      <c r="KU6" s="1">
        <f t="shared" ref="KU6" si="200">IF(AND(KT4=1,KT5=1),1,IF(AND(KT4=0,KT5=1),3,0))</f>
        <v>0</v>
      </c>
      <c r="KV6" s="1">
        <f t="shared" ref="KV6" si="201">IF(AND(KU4=1,KU5=1),1,IF(AND(KU4=0,KU5=1),3,0))</f>
        <v>0</v>
      </c>
      <c r="KW6" s="1">
        <f t="shared" ref="KW6" si="202">IF(AND(KV4=1,KV5=1),1,IF(AND(KV4=0,KV5=1),3,0))</f>
        <v>0</v>
      </c>
      <c r="KX6" s="1"/>
      <c r="KY6" s="1"/>
      <c r="KZ6" s="1"/>
      <c r="LA6" s="36"/>
      <c r="LB6" s="1"/>
      <c r="LD6" s="3" t="s">
        <v>1046</v>
      </c>
      <c r="LE6" s="1">
        <v>0</v>
      </c>
      <c r="LF6" s="1">
        <f>IF(AND(LE4=1,LE5=1),1,IF(AND(LE4=0,LE5=1),3,0))</f>
        <v>0</v>
      </c>
      <c r="LG6" s="1">
        <f t="shared" ref="LG6" si="203">IF(AND(LF4=1,LF5=1),1,IF(AND(LF4=0,LF5=1),3,0))</f>
        <v>0</v>
      </c>
      <c r="LH6" s="1">
        <f t="shared" ref="LH6" si="204">IF(AND(LG4=1,LG5=1),1,IF(AND(LG4=0,LG5=1),3,0))</f>
        <v>0</v>
      </c>
      <c r="LI6" s="1">
        <f t="shared" ref="LI6" si="205">IF(AND(LH4=1,LH5=1),1,IF(AND(LH4=0,LH5=1),3,0))</f>
        <v>0</v>
      </c>
      <c r="LJ6" s="1">
        <f t="shared" ref="LJ6" si="206">IF(AND(LI4=1,LI5=1),1,IF(AND(LI4=0,LI5=1),3,0))</f>
        <v>0</v>
      </c>
      <c r="LK6" s="1">
        <f t="shared" ref="LK6" si="207">IF(AND(LJ4=1,LJ5=1),1,IF(AND(LJ4=0,LJ5=1),3,0))</f>
        <v>0</v>
      </c>
      <c r="LL6" s="1">
        <f t="shared" ref="LL6" si="208">IF(AND(LK4=1,LK5=1),1,IF(AND(LK4=0,LK5=1),3,0))</f>
        <v>0</v>
      </c>
      <c r="LM6" s="1">
        <f t="shared" ref="LM6" si="209">IF(AND(LL4=1,LL5=1),1,IF(AND(LL4=0,LL5=1),3,0))</f>
        <v>0</v>
      </c>
      <c r="LN6" s="1"/>
      <c r="LO6" s="1"/>
      <c r="LP6" s="1"/>
      <c r="LQ6" s="36"/>
      <c r="LR6" s="1"/>
      <c r="LT6" s="3" t="s">
        <v>1047</v>
      </c>
      <c r="LU6" s="1">
        <v>0</v>
      </c>
      <c r="LV6" s="1">
        <f>IF(AND(LU4=1,LU5=1),1,IF(AND(LU4=0,LU5=1),3,0))</f>
        <v>0</v>
      </c>
      <c r="LW6" s="1">
        <f t="shared" ref="LW6" si="210">IF(AND(LV4=1,LV5=1),1,IF(AND(LV4=0,LV5=1),3,0))</f>
        <v>0</v>
      </c>
      <c r="LX6" s="1">
        <f t="shared" ref="LX6" si="211">IF(AND(LW4=1,LW5=1),1,IF(AND(LW4=0,LW5=1),3,0))</f>
        <v>0</v>
      </c>
      <c r="LY6" s="1">
        <f t="shared" ref="LY6" si="212">IF(AND(LX4=1,LX5=1),1,IF(AND(LX4=0,LX5=1),3,0))</f>
        <v>0</v>
      </c>
      <c r="LZ6" s="1">
        <f t="shared" ref="LZ6" si="213">IF(AND(LY4=1,LY5=1),1,IF(AND(LY4=0,LY5=1),3,0))</f>
        <v>0</v>
      </c>
      <c r="MA6" s="1">
        <f t="shared" ref="MA6" si="214">IF(AND(LZ4=1,LZ5=1),1,IF(AND(LZ4=0,LZ5=1),3,0))</f>
        <v>0</v>
      </c>
      <c r="MB6" s="1">
        <f t="shared" ref="MB6" si="215">IF(AND(MA4=1,MA5=1),1,IF(AND(MA4=0,MA5=1),3,0))</f>
        <v>0</v>
      </c>
      <c r="MC6" s="1">
        <f t="shared" ref="MC6" si="216">IF(AND(MB4=1,MB5=1),1,IF(AND(MB4=0,MB5=1),3,0))</f>
        <v>0</v>
      </c>
      <c r="MD6" s="1"/>
      <c r="ME6" s="1"/>
      <c r="MF6" s="1"/>
      <c r="MG6" s="36"/>
      <c r="MH6" s="1"/>
      <c r="MJ6" s="3" t="s">
        <v>1048</v>
      </c>
      <c r="MK6" s="1">
        <v>0</v>
      </c>
      <c r="ML6" s="1">
        <f>IF(AND(MK4=1,MK5=1),1,IF(AND(MK4=0,MK5=1),3,0))</f>
        <v>0</v>
      </c>
      <c r="MM6" s="1">
        <f t="shared" ref="MM6" si="217">IF(AND(ML4=1,ML5=1),1,IF(AND(ML4=0,ML5=1),3,0))</f>
        <v>0</v>
      </c>
      <c r="MN6" s="1">
        <f t="shared" ref="MN6" si="218">IF(AND(MM4=1,MM5=1),1,IF(AND(MM4=0,MM5=1),3,0))</f>
        <v>0</v>
      </c>
      <c r="MO6" s="1">
        <f t="shared" ref="MO6" si="219">IF(AND(MN4=1,MN5=1),1,IF(AND(MN4=0,MN5=1),3,0))</f>
        <v>0</v>
      </c>
      <c r="MP6" s="1">
        <f t="shared" ref="MP6" si="220">IF(AND(MO4=1,MO5=1),1,IF(AND(MO4=0,MO5=1),3,0))</f>
        <v>0</v>
      </c>
      <c r="MQ6" s="1">
        <f t="shared" ref="MQ6" si="221">IF(AND(MP4=1,MP5=1),1,IF(AND(MP4=0,MP5=1),3,0))</f>
        <v>0</v>
      </c>
      <c r="MR6" s="1">
        <f t="shared" ref="MR6" si="222">IF(AND(MQ4=1,MQ5=1),1,IF(AND(MQ4=0,MQ5=1),3,0))</f>
        <v>0</v>
      </c>
      <c r="MS6" s="1">
        <f t="shared" ref="MS6" si="223">IF(AND(MR4=1,MR5=1),1,IF(AND(MR4=0,MR5=1),3,0))</f>
        <v>0</v>
      </c>
      <c r="MT6" s="1"/>
      <c r="MU6" s="1"/>
      <c r="MV6" s="1"/>
      <c r="MW6" s="36"/>
      <c r="MX6" s="1"/>
      <c r="MZ6" s="3" t="s">
        <v>1049</v>
      </c>
      <c r="NA6" s="1">
        <v>0</v>
      </c>
      <c r="NB6" s="1">
        <f>IF(AND(NA4=1,NA5=1),1,IF(AND(NA4=0,NA5=1),3,0))</f>
        <v>0</v>
      </c>
      <c r="NC6" s="1">
        <f t="shared" ref="NC6" si="224">IF(AND(NB4=1,NB5=1),1,IF(AND(NB4=0,NB5=1),3,0))</f>
        <v>0</v>
      </c>
      <c r="ND6" s="1">
        <f t="shared" ref="ND6" si="225">IF(AND(NC4=1,NC5=1),1,IF(AND(NC4=0,NC5=1),3,0))</f>
        <v>0</v>
      </c>
      <c r="NE6" s="1">
        <f t="shared" ref="NE6" si="226">IF(AND(ND4=1,ND5=1),1,IF(AND(ND4=0,ND5=1),3,0))</f>
        <v>0</v>
      </c>
      <c r="NF6" s="1">
        <f t="shared" ref="NF6" si="227">IF(AND(NE4=1,NE5=1),1,IF(AND(NE4=0,NE5=1),3,0))</f>
        <v>0</v>
      </c>
      <c r="NG6" s="1">
        <f t="shared" ref="NG6" si="228">IF(AND(NF4=1,NF5=1),1,IF(AND(NF4=0,NF5=1),3,0))</f>
        <v>0</v>
      </c>
      <c r="NH6" s="1">
        <f t="shared" ref="NH6" si="229">IF(AND(NG4=1,NG5=1),1,IF(AND(NG4=0,NG5=1),3,0))</f>
        <v>0</v>
      </c>
      <c r="NI6" s="1">
        <f t="shared" ref="NI6" si="230">IF(AND(NH4=1,NH5=1),1,IF(AND(NH4=0,NH5=1),3,0))</f>
        <v>0</v>
      </c>
      <c r="NJ6" s="1"/>
      <c r="NK6" s="1"/>
      <c r="NL6" s="1"/>
      <c r="NM6" s="36"/>
      <c r="NN6" s="1"/>
      <c r="NP6" s="3" t="s">
        <v>1050</v>
      </c>
      <c r="NQ6" s="1">
        <v>0</v>
      </c>
      <c r="NR6" s="1">
        <f>IF(AND(NQ4=1,NQ5=1),1,IF(AND(NQ4=0,NQ5=1),3,0))</f>
        <v>0</v>
      </c>
      <c r="NS6" s="1">
        <f t="shared" ref="NS6" si="231">IF(AND(NR4=1,NR5=1),1,IF(AND(NR4=0,NR5=1),3,0))</f>
        <v>0</v>
      </c>
      <c r="NT6" s="1">
        <f t="shared" ref="NT6" si="232">IF(AND(NS4=1,NS5=1),1,IF(AND(NS4=0,NS5=1),3,0))</f>
        <v>0</v>
      </c>
      <c r="NU6" s="1">
        <f t="shared" ref="NU6" si="233">IF(AND(NT4=1,NT5=1),1,IF(AND(NT4=0,NT5=1),3,0))</f>
        <v>0</v>
      </c>
      <c r="NV6" s="1">
        <f t="shared" ref="NV6" si="234">IF(AND(NU4=1,NU5=1),1,IF(AND(NU4=0,NU5=1),3,0))</f>
        <v>0</v>
      </c>
      <c r="NW6" s="1">
        <f t="shared" ref="NW6" si="235">IF(AND(NV4=1,NV5=1),1,IF(AND(NV4=0,NV5=1),3,0))</f>
        <v>0</v>
      </c>
      <c r="NX6" s="1">
        <f t="shared" ref="NX6" si="236">IF(AND(NW4=1,NW5=1),1,IF(AND(NW4=0,NW5=1),3,0))</f>
        <v>0</v>
      </c>
      <c r="NY6" s="1">
        <f t="shared" ref="NY6" si="237">IF(AND(NX4=1,NX5=1),1,IF(AND(NX4=0,NX5=1),3,0))</f>
        <v>0</v>
      </c>
      <c r="NZ6" s="1"/>
      <c r="OA6" s="1"/>
      <c r="OB6" s="1"/>
      <c r="OC6" s="36"/>
      <c r="OD6" s="1"/>
      <c r="OF6" s="3" t="s">
        <v>1051</v>
      </c>
      <c r="OG6" s="1">
        <v>0</v>
      </c>
      <c r="OH6" s="1">
        <f>IF(AND(OG4=1,OG5=1),1,IF(AND(OG4=0,OG5=1),3,0))</f>
        <v>0</v>
      </c>
      <c r="OI6" s="1">
        <f t="shared" ref="OI6" si="238">IF(AND(OH4=1,OH5=1),1,IF(AND(OH4=0,OH5=1),3,0))</f>
        <v>0</v>
      </c>
      <c r="OJ6" s="1">
        <f t="shared" ref="OJ6" si="239">IF(AND(OI4=1,OI5=1),1,IF(AND(OI4=0,OI5=1),3,0))</f>
        <v>0</v>
      </c>
      <c r="OK6" s="1">
        <f t="shared" ref="OK6" si="240">IF(AND(OJ4=1,OJ5=1),1,IF(AND(OJ4=0,OJ5=1),3,0))</f>
        <v>0</v>
      </c>
      <c r="OL6" s="1">
        <f t="shared" ref="OL6" si="241">IF(AND(OK4=1,OK5=1),1,IF(AND(OK4=0,OK5=1),3,0))</f>
        <v>0</v>
      </c>
      <c r="OM6" s="1">
        <f t="shared" ref="OM6" si="242">IF(AND(OL4=1,OL5=1),1,IF(AND(OL4=0,OL5=1),3,0))</f>
        <v>0</v>
      </c>
      <c r="ON6" s="1">
        <f t="shared" ref="ON6" si="243">IF(AND(OM4=1,OM5=1),1,IF(AND(OM4=0,OM5=1),3,0))</f>
        <v>0</v>
      </c>
      <c r="OO6" s="1">
        <f t="shared" ref="OO6" si="244">IF(AND(ON4=1,ON5=1),1,IF(AND(ON4=0,ON5=1),3,0))</f>
        <v>0</v>
      </c>
      <c r="OP6" s="1"/>
      <c r="OQ6" s="1"/>
      <c r="OS6" s="36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H6" s="3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V6" s="3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J6" s="3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X6" s="3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L6" s="3"/>
      <c r="RM6" s="1"/>
      <c r="RN6" s="1"/>
      <c r="RO6" s="1"/>
      <c r="RP6" s="1"/>
      <c r="RQ6" s="1"/>
      <c r="RR6" s="1"/>
      <c r="RS6" s="1"/>
      <c r="RT6" s="1"/>
      <c r="RU6" s="1"/>
      <c r="RZ6" s="3"/>
      <c r="SA6" s="1"/>
      <c r="SB6" s="1"/>
      <c r="SC6" s="1"/>
      <c r="SD6" s="1"/>
      <c r="SE6" s="1"/>
      <c r="SF6" s="1"/>
      <c r="SG6" s="1"/>
      <c r="SH6" s="1"/>
      <c r="SI6" s="1"/>
      <c r="SN6" s="3"/>
      <c r="SO6" s="1"/>
      <c r="SP6" s="1"/>
      <c r="SQ6" s="1"/>
      <c r="SR6" s="1"/>
      <c r="SS6" s="1"/>
      <c r="ST6" s="1"/>
      <c r="SU6" s="1"/>
      <c r="SV6" s="1"/>
      <c r="SW6" s="1"/>
    </row>
    <row r="7" spans="1:517" x14ac:dyDescent="0.2">
      <c r="A7" s="3" t="s">
        <v>1052</v>
      </c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H7" s="3" t="s">
        <v>1053</v>
      </c>
      <c r="BI7" s="1">
        <v>0</v>
      </c>
      <c r="BJ7" s="1">
        <f>IF(AND(BI6=2,BJ6&lt;&gt;2),1,0)</f>
        <v>0</v>
      </c>
      <c r="BK7" s="1">
        <f t="shared" ref="BK7:BQ7" si="245">IF(AND(BJ6=2,BK6&lt;&gt;2),1,0)</f>
        <v>0</v>
      </c>
      <c r="BL7" s="1">
        <f t="shared" si="245"/>
        <v>0</v>
      </c>
      <c r="BM7" s="1">
        <f t="shared" si="245"/>
        <v>0</v>
      </c>
      <c r="BN7" s="1">
        <f t="shared" si="245"/>
        <v>0</v>
      </c>
      <c r="BO7" s="1">
        <f t="shared" si="245"/>
        <v>0</v>
      </c>
      <c r="BP7" s="1">
        <f t="shared" si="245"/>
        <v>0</v>
      </c>
      <c r="BQ7" s="1">
        <f t="shared" si="245"/>
        <v>0</v>
      </c>
      <c r="BR7" s="1"/>
      <c r="BS7" s="1"/>
      <c r="BU7" s="36"/>
      <c r="BX7" s="3" t="s">
        <v>1054</v>
      </c>
      <c r="BY7" s="1">
        <v>0</v>
      </c>
      <c r="BZ7" s="1">
        <f>IF(AND(BY6=2,BZ6&lt;&gt;2),1,0)</f>
        <v>0</v>
      </c>
      <c r="CA7" s="1">
        <f t="shared" ref="CA7:CG7" si="246">IF(AND(BZ6=2,CA6&lt;&gt;2),1,0)</f>
        <v>1</v>
      </c>
      <c r="CB7" s="1">
        <f t="shared" si="246"/>
        <v>0</v>
      </c>
      <c r="CC7" s="1">
        <f t="shared" si="246"/>
        <v>0</v>
      </c>
      <c r="CD7" s="1">
        <f t="shared" si="246"/>
        <v>0</v>
      </c>
      <c r="CE7" s="1">
        <f t="shared" si="246"/>
        <v>0</v>
      </c>
      <c r="CF7" s="1">
        <f t="shared" si="246"/>
        <v>0</v>
      </c>
      <c r="CG7" s="1">
        <f t="shared" si="246"/>
        <v>0</v>
      </c>
      <c r="CH7" s="1"/>
      <c r="CI7" s="1"/>
      <c r="CK7" s="36"/>
      <c r="CN7" s="3" t="s">
        <v>1055</v>
      </c>
      <c r="CO7" s="1">
        <v>0</v>
      </c>
      <c r="CP7" s="1">
        <f>IF(AND(CO6=2,CP6&lt;&gt;2),1,0)</f>
        <v>0</v>
      </c>
      <c r="CQ7" s="1">
        <f t="shared" ref="CQ7:CW7" si="247">IF(AND(CP6=2,CQ6&lt;&gt;2),1,0)</f>
        <v>0</v>
      </c>
      <c r="CR7" s="1">
        <f t="shared" si="247"/>
        <v>0</v>
      </c>
      <c r="CS7" s="1">
        <f t="shared" si="247"/>
        <v>0</v>
      </c>
      <c r="CT7" s="1">
        <f t="shared" si="247"/>
        <v>0</v>
      </c>
      <c r="CU7" s="1">
        <f t="shared" si="247"/>
        <v>0</v>
      </c>
      <c r="CV7" s="1">
        <f t="shared" si="247"/>
        <v>0</v>
      </c>
      <c r="CW7" s="1">
        <f t="shared" si="247"/>
        <v>0</v>
      </c>
      <c r="CX7" s="1"/>
      <c r="CY7" s="1"/>
      <c r="DA7" s="36"/>
      <c r="DD7" s="3" t="s">
        <v>1056</v>
      </c>
      <c r="DE7" s="1">
        <v>0</v>
      </c>
      <c r="DF7" s="1">
        <f>IF(AND(DE6=2,DF6&lt;&gt;2),1,0)</f>
        <v>0</v>
      </c>
      <c r="DG7" s="1">
        <f>IF(AND(DF6=2,DG6&lt;&gt;2),1,0)</f>
        <v>0</v>
      </c>
      <c r="DH7" s="1">
        <f t="shared" ref="DH7:DM7" si="248">IF(AND(DG6=2,DH6&lt;&gt;2),1,0)</f>
        <v>0</v>
      </c>
      <c r="DI7" s="1">
        <f t="shared" si="248"/>
        <v>0</v>
      </c>
      <c r="DJ7" s="1">
        <f t="shared" si="248"/>
        <v>0</v>
      </c>
      <c r="DK7" s="1">
        <f t="shared" si="248"/>
        <v>0</v>
      </c>
      <c r="DL7" s="1">
        <f t="shared" si="248"/>
        <v>0</v>
      </c>
      <c r="DM7" s="1">
        <f t="shared" si="248"/>
        <v>0</v>
      </c>
      <c r="DN7" s="1"/>
      <c r="DO7" s="1"/>
      <c r="DQ7" s="36"/>
      <c r="DT7" s="3" t="s">
        <v>1057</v>
      </c>
      <c r="DU7" s="1">
        <v>0</v>
      </c>
      <c r="DV7" s="1">
        <f>IF(AND(DU6=2,DV6&lt;&gt;2),1,0)</f>
        <v>0</v>
      </c>
      <c r="DW7" s="1">
        <f t="shared" ref="DW7:EC7" si="249">IF(AND(DV6=2,DW6&lt;&gt;2),1,0)</f>
        <v>0</v>
      </c>
      <c r="DX7" s="1">
        <f t="shared" si="249"/>
        <v>0</v>
      </c>
      <c r="DY7" s="1">
        <f t="shared" si="249"/>
        <v>0</v>
      </c>
      <c r="DZ7" s="1">
        <f t="shared" si="249"/>
        <v>0</v>
      </c>
      <c r="EA7" s="1">
        <f t="shared" si="249"/>
        <v>0</v>
      </c>
      <c r="EB7" s="1">
        <f t="shared" si="249"/>
        <v>0</v>
      </c>
      <c r="EC7" s="1">
        <f t="shared" si="249"/>
        <v>0</v>
      </c>
      <c r="ED7" s="1"/>
      <c r="EE7" s="1"/>
      <c r="EG7" s="36"/>
      <c r="EJ7" s="3" t="s">
        <v>1058</v>
      </c>
      <c r="EK7" s="1">
        <v>0</v>
      </c>
      <c r="EL7" s="1">
        <f>IF(AND(EK6=2,EL6&lt;&gt;2),1,0)</f>
        <v>0</v>
      </c>
      <c r="EM7" s="1">
        <f t="shared" ref="EM7:ES7" si="250">IF(AND(EL6=2,EM6&lt;&gt;2),1,0)</f>
        <v>1</v>
      </c>
      <c r="EN7" s="1">
        <f t="shared" si="250"/>
        <v>0</v>
      </c>
      <c r="EO7" s="1">
        <f t="shared" si="250"/>
        <v>0</v>
      </c>
      <c r="EP7" s="1">
        <f t="shared" si="250"/>
        <v>0</v>
      </c>
      <c r="EQ7" s="1">
        <f t="shared" si="250"/>
        <v>0</v>
      </c>
      <c r="ER7" s="1">
        <f t="shared" si="250"/>
        <v>0</v>
      </c>
      <c r="ES7" s="1">
        <f t="shared" si="250"/>
        <v>0</v>
      </c>
      <c r="ET7" s="1"/>
      <c r="EU7" s="1"/>
      <c r="EW7" s="36"/>
      <c r="EZ7" s="3" t="s">
        <v>1059</v>
      </c>
      <c r="FA7" s="1">
        <v>0</v>
      </c>
      <c r="FB7" s="1">
        <f>IF(AND(FA6=2,FB6&lt;&gt;2),1,0)</f>
        <v>0</v>
      </c>
      <c r="FC7" s="1">
        <f t="shared" ref="FC7:FI7" si="251">IF(AND(FB6=2,FC6&lt;&gt;2),1,0)</f>
        <v>0</v>
      </c>
      <c r="FD7" s="1">
        <f t="shared" si="251"/>
        <v>1</v>
      </c>
      <c r="FE7" s="1">
        <f t="shared" si="251"/>
        <v>0</v>
      </c>
      <c r="FF7" s="1">
        <f t="shared" si="251"/>
        <v>0</v>
      </c>
      <c r="FG7" s="1">
        <f t="shared" si="251"/>
        <v>0</v>
      </c>
      <c r="FH7" s="1">
        <f t="shared" si="251"/>
        <v>0</v>
      </c>
      <c r="FI7" s="1">
        <f t="shared" si="251"/>
        <v>0</v>
      </c>
      <c r="FJ7" s="1"/>
      <c r="FK7" s="1"/>
      <c r="FM7" s="36"/>
      <c r="FP7" s="3" t="s">
        <v>1060</v>
      </c>
      <c r="FQ7" s="1">
        <v>0</v>
      </c>
      <c r="FR7" s="1">
        <f>IF(AND(FQ6=2,FR6&lt;&gt;2),1,0)</f>
        <v>0</v>
      </c>
      <c r="FS7" s="1">
        <f t="shared" ref="FS7:FY7" si="252">IF(AND(FR6=2,FS6&lt;&gt;2),1,0)</f>
        <v>0</v>
      </c>
      <c r="FT7" s="1">
        <f t="shared" si="252"/>
        <v>1</v>
      </c>
      <c r="FU7" s="1">
        <f t="shared" si="252"/>
        <v>0</v>
      </c>
      <c r="FV7" s="1">
        <f t="shared" si="252"/>
        <v>0</v>
      </c>
      <c r="FW7" s="1">
        <f t="shared" si="252"/>
        <v>0</v>
      </c>
      <c r="FX7" s="1">
        <f t="shared" si="252"/>
        <v>0</v>
      </c>
      <c r="FY7" s="1">
        <f t="shared" si="252"/>
        <v>0</v>
      </c>
      <c r="FZ7" s="1"/>
      <c r="GA7" s="1"/>
      <c r="GC7" s="36"/>
      <c r="GF7" s="3" t="s">
        <v>1061</v>
      </c>
      <c r="GG7" s="1">
        <v>0</v>
      </c>
      <c r="GH7" s="1">
        <f>IF(AND(GG6=2,GH6&lt;&gt;2),1,0)</f>
        <v>0</v>
      </c>
      <c r="GI7" s="1">
        <f t="shared" ref="GI7:GO7" si="253">IF(AND(GH6=2,GI6&lt;&gt;2),1,0)</f>
        <v>0</v>
      </c>
      <c r="GJ7" s="1">
        <f t="shared" si="253"/>
        <v>0</v>
      </c>
      <c r="GK7" s="1">
        <f t="shared" si="253"/>
        <v>1</v>
      </c>
      <c r="GL7" s="1">
        <f t="shared" si="253"/>
        <v>0</v>
      </c>
      <c r="GM7" s="1">
        <f t="shared" si="253"/>
        <v>0</v>
      </c>
      <c r="GN7" s="1">
        <f t="shared" si="253"/>
        <v>0</v>
      </c>
      <c r="GO7" s="1">
        <f t="shared" si="253"/>
        <v>0</v>
      </c>
      <c r="GP7" s="1"/>
      <c r="GQ7" s="1"/>
      <c r="GR7" s="1"/>
      <c r="GS7" s="36"/>
      <c r="GT7" s="1"/>
      <c r="GV7" s="3" t="s">
        <v>1062</v>
      </c>
      <c r="GW7" s="1">
        <v>0</v>
      </c>
      <c r="GX7" s="1">
        <f>IF(AND(GW6=2,GX6&lt;&gt;2),1,0)</f>
        <v>0</v>
      </c>
      <c r="GY7" s="1">
        <f t="shared" ref="GY7:HE7" si="254">IF(AND(GX6=2,GY6&lt;&gt;2),1,0)</f>
        <v>0</v>
      </c>
      <c r="GZ7" s="1">
        <f t="shared" si="254"/>
        <v>0</v>
      </c>
      <c r="HA7" s="1">
        <f t="shared" si="254"/>
        <v>1</v>
      </c>
      <c r="HB7" s="1">
        <f t="shared" si="254"/>
        <v>0</v>
      </c>
      <c r="HC7" s="1">
        <f t="shared" si="254"/>
        <v>0</v>
      </c>
      <c r="HD7" s="1">
        <f t="shared" si="254"/>
        <v>0</v>
      </c>
      <c r="HE7" s="1">
        <f t="shared" si="254"/>
        <v>0</v>
      </c>
      <c r="HF7" s="1"/>
      <c r="HG7" s="1"/>
      <c r="HH7" s="1"/>
      <c r="HI7" s="36"/>
      <c r="HJ7" s="1"/>
      <c r="HK7" s="1"/>
      <c r="HL7" s="3" t="s">
        <v>1063</v>
      </c>
      <c r="HM7" s="1">
        <v>0</v>
      </c>
      <c r="HN7" s="1">
        <f>IF(AND(HM6=2,HN6&lt;&gt;2),1,0)</f>
        <v>0</v>
      </c>
      <c r="HO7" s="1">
        <f t="shared" ref="HO7:HU7" si="255">IF(AND(HN6=2,HO6&lt;&gt;2),1,0)</f>
        <v>0</v>
      </c>
      <c r="HP7" s="1">
        <f t="shared" si="255"/>
        <v>0</v>
      </c>
      <c r="HQ7" s="1">
        <f t="shared" si="255"/>
        <v>0</v>
      </c>
      <c r="HR7" s="1">
        <f t="shared" si="255"/>
        <v>1</v>
      </c>
      <c r="HS7" s="1">
        <f t="shared" si="255"/>
        <v>0</v>
      </c>
      <c r="HT7" s="1">
        <f t="shared" si="255"/>
        <v>0</v>
      </c>
      <c r="HU7" s="1">
        <f t="shared" si="255"/>
        <v>0</v>
      </c>
      <c r="HV7" s="1"/>
      <c r="HW7" s="1"/>
      <c r="HX7" s="1"/>
      <c r="HY7" s="36"/>
      <c r="HZ7" s="1"/>
      <c r="IA7" s="1"/>
      <c r="IB7" s="3" t="s">
        <v>1064</v>
      </c>
      <c r="IC7" s="1">
        <v>0</v>
      </c>
      <c r="ID7" s="1">
        <f>IF(AND(IC6=2,ID6&lt;&gt;2),1,0)</f>
        <v>0</v>
      </c>
      <c r="IE7" s="1">
        <f t="shared" ref="IE7:IK7" si="256">IF(AND(ID6=2,IE6&lt;&gt;2),1,0)</f>
        <v>0</v>
      </c>
      <c r="IF7" s="1">
        <f t="shared" si="256"/>
        <v>0</v>
      </c>
      <c r="IG7" s="1">
        <f t="shared" si="256"/>
        <v>0</v>
      </c>
      <c r="IH7" s="1">
        <f t="shared" si="256"/>
        <v>1</v>
      </c>
      <c r="II7" s="1">
        <f t="shared" si="256"/>
        <v>0</v>
      </c>
      <c r="IJ7" s="1">
        <f t="shared" si="256"/>
        <v>0</v>
      </c>
      <c r="IK7" s="1">
        <f t="shared" si="256"/>
        <v>0</v>
      </c>
      <c r="IL7" s="1"/>
      <c r="IM7" s="1"/>
      <c r="IN7" s="1"/>
      <c r="IO7" s="36"/>
      <c r="IP7" s="1"/>
      <c r="IR7" s="3" t="s">
        <v>1065</v>
      </c>
      <c r="IS7" s="1">
        <v>0</v>
      </c>
      <c r="IT7" s="1">
        <f>IF(AND(IS6=2,IT6&lt;&gt;2),1,0)</f>
        <v>0</v>
      </c>
      <c r="IU7" s="1">
        <f t="shared" ref="IU7:JA7" si="257">IF(AND(IT6=2,IU6&lt;&gt;2),1,0)</f>
        <v>0</v>
      </c>
      <c r="IV7" s="1">
        <f t="shared" si="257"/>
        <v>1</v>
      </c>
      <c r="IW7" s="1">
        <f t="shared" si="257"/>
        <v>0</v>
      </c>
      <c r="IX7" s="1">
        <f t="shared" si="257"/>
        <v>0</v>
      </c>
      <c r="IY7" s="1">
        <f t="shared" si="257"/>
        <v>0</v>
      </c>
      <c r="IZ7" s="1">
        <f t="shared" si="257"/>
        <v>0</v>
      </c>
      <c r="JA7" s="1">
        <f t="shared" si="257"/>
        <v>0</v>
      </c>
      <c r="JB7" s="1"/>
      <c r="JC7" s="1"/>
      <c r="JD7" s="1"/>
      <c r="JE7" s="36"/>
      <c r="JF7" s="1"/>
      <c r="JH7" s="3" t="s">
        <v>1066</v>
      </c>
      <c r="JI7" s="1">
        <v>0</v>
      </c>
      <c r="JJ7" s="1">
        <f>IF(AND(JI6=2,JJ6&lt;&gt;2),1,0)</f>
        <v>0</v>
      </c>
      <c r="JK7" s="1">
        <f t="shared" ref="JK7:JQ7" si="258">IF(AND(JJ6=2,JK6&lt;&gt;2),1,0)</f>
        <v>0</v>
      </c>
      <c r="JL7" s="1">
        <f t="shared" si="258"/>
        <v>0</v>
      </c>
      <c r="JM7" s="1">
        <f t="shared" si="258"/>
        <v>1</v>
      </c>
      <c r="JN7" s="1">
        <f t="shared" si="258"/>
        <v>0</v>
      </c>
      <c r="JO7" s="1">
        <f t="shared" si="258"/>
        <v>0</v>
      </c>
      <c r="JP7" s="1">
        <f t="shared" si="258"/>
        <v>0</v>
      </c>
      <c r="JQ7" s="1">
        <f t="shared" si="258"/>
        <v>0</v>
      </c>
      <c r="JR7" s="1"/>
      <c r="JS7" s="1"/>
      <c r="JT7" s="1"/>
      <c r="JU7" s="36"/>
      <c r="JV7" s="1"/>
      <c r="JX7" s="3" t="s">
        <v>1067</v>
      </c>
      <c r="JY7" s="1">
        <v>0</v>
      </c>
      <c r="JZ7" s="1">
        <f>IF(AND(JY6=2,JZ6&lt;&gt;2),1,0)</f>
        <v>0</v>
      </c>
      <c r="KA7" s="1">
        <f t="shared" ref="KA7:KG7" si="259">IF(AND(JZ6=2,KA6&lt;&gt;2),1,0)</f>
        <v>0</v>
      </c>
      <c r="KB7" s="1">
        <f t="shared" si="259"/>
        <v>0</v>
      </c>
      <c r="KC7" s="1">
        <f t="shared" si="259"/>
        <v>1</v>
      </c>
      <c r="KD7" s="1">
        <f t="shared" si="259"/>
        <v>0</v>
      </c>
      <c r="KE7" s="1">
        <f t="shared" si="259"/>
        <v>0</v>
      </c>
      <c r="KF7" s="1">
        <f t="shared" si="259"/>
        <v>0</v>
      </c>
      <c r="KG7" s="1">
        <f t="shared" si="259"/>
        <v>0</v>
      </c>
      <c r="KH7" s="1"/>
      <c r="KI7" s="1"/>
      <c r="KJ7" s="1"/>
      <c r="KK7" s="36"/>
      <c r="KL7" s="1"/>
      <c r="KN7" s="3" t="s">
        <v>1068</v>
      </c>
      <c r="KO7" s="1">
        <v>0</v>
      </c>
      <c r="KP7" s="1">
        <f>IF(AND(KO6=2,KP6&lt;&gt;2),1,0)</f>
        <v>0</v>
      </c>
      <c r="KQ7" s="1">
        <f t="shared" ref="KQ7:KW7" si="260">IF(AND(KP6=2,KQ6&lt;&gt;2),1,0)</f>
        <v>0</v>
      </c>
      <c r="KR7" s="1">
        <f t="shared" si="260"/>
        <v>0</v>
      </c>
      <c r="KS7" s="1">
        <f t="shared" si="260"/>
        <v>0</v>
      </c>
      <c r="KT7" s="1">
        <f t="shared" si="260"/>
        <v>0</v>
      </c>
      <c r="KU7" s="1">
        <f t="shared" si="260"/>
        <v>0</v>
      </c>
      <c r="KV7" s="1">
        <f t="shared" si="260"/>
        <v>0</v>
      </c>
      <c r="KW7" s="1">
        <f t="shared" si="260"/>
        <v>0</v>
      </c>
      <c r="KX7" s="1"/>
      <c r="KY7" s="1"/>
      <c r="KZ7" s="1"/>
      <c r="LA7" s="36"/>
      <c r="LB7" s="1"/>
      <c r="LD7" s="3" t="s">
        <v>1069</v>
      </c>
      <c r="LE7" s="1">
        <v>0</v>
      </c>
      <c r="LF7" s="1">
        <f>IF(AND(LE6=2,LF6&lt;&gt;2),1,0)</f>
        <v>0</v>
      </c>
      <c r="LG7" s="1">
        <f t="shared" ref="LG7:LM7" si="261">IF(AND(LF6=2,LG6&lt;&gt;2),1,0)</f>
        <v>0</v>
      </c>
      <c r="LH7" s="1">
        <f t="shared" si="261"/>
        <v>0</v>
      </c>
      <c r="LI7" s="1">
        <f t="shared" si="261"/>
        <v>0</v>
      </c>
      <c r="LJ7" s="1">
        <f t="shared" si="261"/>
        <v>0</v>
      </c>
      <c r="LK7" s="1">
        <f t="shared" si="261"/>
        <v>0</v>
      </c>
      <c r="LL7" s="1">
        <f t="shared" si="261"/>
        <v>0</v>
      </c>
      <c r="LM7" s="1">
        <f t="shared" si="261"/>
        <v>0</v>
      </c>
      <c r="LN7" s="1"/>
      <c r="LO7" s="1"/>
      <c r="LP7" s="1"/>
      <c r="LQ7" s="36"/>
      <c r="LR7" s="1"/>
      <c r="LT7" s="3" t="s">
        <v>1070</v>
      </c>
      <c r="LU7" s="1">
        <v>0</v>
      </c>
      <c r="LV7" s="1">
        <f>IF(AND(LU6=2,LV6&lt;&gt;2),1,0)</f>
        <v>0</v>
      </c>
      <c r="LW7" s="1">
        <f t="shared" ref="LW7:MC7" si="262">IF(AND(LV6=2,LW6&lt;&gt;2),1,0)</f>
        <v>0</v>
      </c>
      <c r="LX7" s="1">
        <f t="shared" si="262"/>
        <v>0</v>
      </c>
      <c r="LY7" s="1">
        <f t="shared" si="262"/>
        <v>0</v>
      </c>
      <c r="LZ7" s="1">
        <f t="shared" si="262"/>
        <v>0</v>
      </c>
      <c r="MA7" s="1">
        <f t="shared" si="262"/>
        <v>0</v>
      </c>
      <c r="MB7" s="1">
        <f t="shared" si="262"/>
        <v>0</v>
      </c>
      <c r="MC7" s="1">
        <f t="shared" si="262"/>
        <v>0</v>
      </c>
      <c r="MD7" s="1"/>
      <c r="ME7" s="1"/>
      <c r="MF7" s="1"/>
      <c r="MG7" s="36"/>
      <c r="MH7" s="1"/>
      <c r="MJ7" s="3" t="s">
        <v>1071</v>
      </c>
      <c r="MK7" s="1">
        <v>0</v>
      </c>
      <c r="ML7" s="1">
        <f>IF(AND(MK6=2,ML6&lt;&gt;2),1,0)</f>
        <v>0</v>
      </c>
      <c r="MM7" s="1">
        <f t="shared" ref="MM7:MS7" si="263">IF(AND(ML6=2,MM6&lt;&gt;2),1,0)</f>
        <v>0</v>
      </c>
      <c r="MN7" s="1">
        <f t="shared" si="263"/>
        <v>0</v>
      </c>
      <c r="MO7" s="1">
        <f t="shared" si="263"/>
        <v>0</v>
      </c>
      <c r="MP7" s="1">
        <f t="shared" si="263"/>
        <v>0</v>
      </c>
      <c r="MQ7" s="1">
        <f t="shared" si="263"/>
        <v>0</v>
      </c>
      <c r="MR7" s="1">
        <f t="shared" si="263"/>
        <v>0</v>
      </c>
      <c r="MS7" s="1">
        <f t="shared" si="263"/>
        <v>0</v>
      </c>
      <c r="MT7" s="1"/>
      <c r="MU7" s="1"/>
      <c r="MV7" s="1"/>
      <c r="MW7" s="36"/>
      <c r="MX7" s="1"/>
      <c r="MZ7" s="3" t="s">
        <v>1072</v>
      </c>
      <c r="NA7" s="1">
        <v>0</v>
      </c>
      <c r="NB7" s="1">
        <f>IF(AND(NA6=2,NB6&lt;&gt;2),1,0)</f>
        <v>0</v>
      </c>
      <c r="NC7" s="1">
        <f t="shared" ref="NC7:NI7" si="264">IF(AND(NB6=2,NC6&lt;&gt;2),1,0)</f>
        <v>0</v>
      </c>
      <c r="ND7" s="1">
        <f t="shared" si="264"/>
        <v>0</v>
      </c>
      <c r="NE7" s="1">
        <f t="shared" si="264"/>
        <v>0</v>
      </c>
      <c r="NF7" s="1">
        <f t="shared" si="264"/>
        <v>0</v>
      </c>
      <c r="NG7" s="1">
        <f t="shared" si="264"/>
        <v>0</v>
      </c>
      <c r="NH7" s="1">
        <f t="shared" si="264"/>
        <v>0</v>
      </c>
      <c r="NI7" s="1">
        <f t="shared" si="264"/>
        <v>0</v>
      </c>
      <c r="NJ7" s="1"/>
      <c r="NK7" s="1"/>
      <c r="NL7" s="1"/>
      <c r="NM7" s="36"/>
      <c r="NN7" s="1"/>
      <c r="NP7" s="3" t="s">
        <v>1073</v>
      </c>
      <c r="NQ7" s="1">
        <v>0</v>
      </c>
      <c r="NR7" s="1">
        <f>IF(AND(NQ6=2,NR6&lt;&gt;2),1,0)</f>
        <v>0</v>
      </c>
      <c r="NS7" s="1">
        <f t="shared" ref="NS7:NY7" si="265">IF(AND(NR6=2,NS6&lt;&gt;2),1,0)</f>
        <v>0</v>
      </c>
      <c r="NT7" s="1">
        <f t="shared" si="265"/>
        <v>0</v>
      </c>
      <c r="NU7" s="1">
        <f t="shared" si="265"/>
        <v>0</v>
      </c>
      <c r="NV7" s="1">
        <f t="shared" si="265"/>
        <v>0</v>
      </c>
      <c r="NW7" s="1">
        <f t="shared" si="265"/>
        <v>0</v>
      </c>
      <c r="NX7" s="1">
        <f t="shared" si="265"/>
        <v>0</v>
      </c>
      <c r="NY7" s="1">
        <f t="shared" si="265"/>
        <v>0</v>
      </c>
      <c r="NZ7" s="1"/>
      <c r="OA7" s="1"/>
      <c r="OB7" s="1"/>
      <c r="OC7" s="36"/>
      <c r="OD7" s="1"/>
      <c r="OF7" s="3" t="s">
        <v>1074</v>
      </c>
      <c r="OG7" s="1">
        <v>0</v>
      </c>
      <c r="OH7" s="1">
        <f>IF(AND(OG6=2,OH6&lt;&gt;2),1,0)</f>
        <v>0</v>
      </c>
      <c r="OI7" s="1">
        <f t="shared" ref="OI7:OO7" si="266">IF(AND(OH6=2,OI6&lt;&gt;2),1,0)</f>
        <v>0</v>
      </c>
      <c r="OJ7" s="1">
        <f t="shared" si="266"/>
        <v>0</v>
      </c>
      <c r="OK7" s="1">
        <f t="shared" si="266"/>
        <v>0</v>
      </c>
      <c r="OL7" s="1">
        <f t="shared" si="266"/>
        <v>0</v>
      </c>
      <c r="OM7" s="1">
        <f t="shared" si="266"/>
        <v>0</v>
      </c>
      <c r="ON7" s="1">
        <f t="shared" si="266"/>
        <v>0</v>
      </c>
      <c r="OO7" s="1">
        <f t="shared" si="266"/>
        <v>0</v>
      </c>
      <c r="OP7" s="1"/>
      <c r="OQ7" s="1"/>
      <c r="OS7" s="36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H7" s="3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V7" s="3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J7" s="3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X7" s="3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L7" s="3"/>
      <c r="RM7" s="1"/>
      <c r="RN7" s="1"/>
      <c r="RO7" s="1"/>
      <c r="RP7" s="1"/>
      <c r="RQ7" s="1"/>
      <c r="RR7" s="1"/>
      <c r="RS7" s="1"/>
      <c r="RT7" s="1"/>
      <c r="RU7" s="1"/>
      <c r="RZ7" s="3"/>
      <c r="SA7" s="1"/>
      <c r="SB7" s="1"/>
      <c r="SC7" s="1"/>
      <c r="SD7" s="1"/>
      <c r="SE7" s="1"/>
      <c r="SF7" s="1"/>
      <c r="SG7" s="1"/>
      <c r="SH7" s="1"/>
      <c r="SI7" s="1"/>
      <c r="SN7" s="3"/>
      <c r="SO7" s="1"/>
      <c r="SP7" s="1"/>
      <c r="SQ7" s="1"/>
      <c r="SR7" s="1"/>
      <c r="SS7" s="1"/>
      <c r="ST7" s="1"/>
      <c r="SU7" s="1"/>
      <c r="SV7" s="1"/>
      <c r="SW7" s="1"/>
    </row>
    <row r="8" spans="1:517" x14ac:dyDescent="0.2">
      <c r="A8" s="3" t="s">
        <v>1075</v>
      </c>
      <c r="X8" s="3"/>
      <c r="Y8" s="1"/>
      <c r="Z8" s="4"/>
      <c r="AA8" s="4"/>
      <c r="AB8" s="4"/>
      <c r="AC8" s="4"/>
      <c r="AD8" s="4"/>
      <c r="AE8" s="4"/>
      <c r="AF8" s="4"/>
      <c r="AG8" s="4"/>
      <c r="AH8" s="4"/>
      <c r="AI8" s="4"/>
      <c r="AP8" s="3"/>
      <c r="AQ8" s="1"/>
      <c r="AR8" s="1"/>
      <c r="AS8" s="1"/>
      <c r="AT8" s="1"/>
      <c r="AU8" s="1"/>
      <c r="AV8" s="1"/>
      <c r="AW8" s="1"/>
      <c r="AX8" s="1"/>
      <c r="AY8" s="1"/>
      <c r="AZ8" s="4"/>
      <c r="BA8" s="4"/>
      <c r="BH8" s="3" t="s">
        <v>1076</v>
      </c>
      <c r="BI8" s="1">
        <v>0</v>
      </c>
      <c r="BJ8" s="1">
        <f>IF(BJ7=1,Results!C5+1,BI8)</f>
        <v>0</v>
      </c>
      <c r="BK8" s="1">
        <f>IF(BK7=1,Results!D5+1,BJ8)</f>
        <v>0</v>
      </c>
      <c r="BL8" s="1">
        <f>IF(BL7=1,Results!E5+1,BK8)</f>
        <v>0</v>
      </c>
      <c r="BM8" s="1">
        <f>IF(BM7=1,Results!F5+1,BL8)</f>
        <v>0</v>
      </c>
      <c r="BN8" s="1">
        <f>IF(BN7=1,Results!G5+1,BM8)</f>
        <v>0</v>
      </c>
      <c r="BO8" s="1">
        <f>IF(BO7=1,Results!H5+1,BN8)</f>
        <v>0</v>
      </c>
      <c r="BP8" s="1">
        <f>IF(BP7=1,Results!I5+1,BO8)</f>
        <v>0</v>
      </c>
      <c r="BQ8" s="1">
        <f>IF(BQ7=1,Results!J5+1,BP8)</f>
        <v>0</v>
      </c>
      <c r="BR8" s="4"/>
      <c r="BS8" s="4"/>
      <c r="BU8" s="36"/>
      <c r="BX8" s="3" t="s">
        <v>1077</v>
      </c>
      <c r="BY8" s="1">
        <v>0</v>
      </c>
      <c r="BZ8" s="4">
        <f>IF(BZ7=1,Results!C5+1,BY8)</f>
        <v>0</v>
      </c>
      <c r="CA8" s="4">
        <f>IF(CA7=1,Results!D5+1,BZ8)</f>
        <v>3</v>
      </c>
      <c r="CB8" s="4">
        <f>IF(CB7=1,Results!E5+1,CA8)</f>
        <v>3</v>
      </c>
      <c r="CC8" s="4">
        <f>IF(CC7=1,Results!F5+1,CB8)</f>
        <v>3</v>
      </c>
      <c r="CD8" s="4">
        <f>IF(CD7=1,Results!G5+1,CC8)</f>
        <v>3</v>
      </c>
      <c r="CE8" s="4">
        <f>IF(CE7=1,Results!H5+1,CD8)</f>
        <v>3</v>
      </c>
      <c r="CF8" s="4">
        <f>IF(CF7=1,Results!I5+1,CE8)</f>
        <v>3</v>
      </c>
      <c r="CG8" s="4">
        <f>IF(CG7=1,Results!J5+1,CF8)</f>
        <v>3</v>
      </c>
      <c r="CH8" s="4"/>
      <c r="CI8" s="4"/>
      <c r="CK8" s="36"/>
      <c r="CN8" s="3" t="s">
        <v>1078</v>
      </c>
      <c r="CO8" s="1">
        <v>0</v>
      </c>
      <c r="CP8" s="4">
        <f>IF(CP7=1,Results!C5+1,CO8)</f>
        <v>0</v>
      </c>
      <c r="CQ8" s="4">
        <f>IF(CQ7=1,Results!D5+1,CP8)</f>
        <v>0</v>
      </c>
      <c r="CR8" s="4">
        <f>IF(CR7=1,Results!E5+1,CQ8)</f>
        <v>0</v>
      </c>
      <c r="CS8" s="4">
        <f>IF(CS7=1,Results!F5+1,CR8)</f>
        <v>0</v>
      </c>
      <c r="CT8" s="4">
        <f>IF(CT7=1,Results!G5+1,CS8)</f>
        <v>0</v>
      </c>
      <c r="CU8" s="4">
        <f>IF(CU7=1,Results!H5+1,CT8)</f>
        <v>0</v>
      </c>
      <c r="CV8" s="4">
        <f>IF(CV7=1,Results!I5+1,CU8)</f>
        <v>0</v>
      </c>
      <c r="CW8" s="4">
        <f>IF(CW7=1,Results!J5+1,CV8)</f>
        <v>0</v>
      </c>
      <c r="CX8" s="4"/>
      <c r="CY8" s="4"/>
      <c r="DA8" s="36"/>
      <c r="DD8" s="3" t="s">
        <v>1079</v>
      </c>
      <c r="DE8" s="1">
        <v>0</v>
      </c>
      <c r="DF8" s="4">
        <f>IF(DF7=1,Results!C5+1,DE8)</f>
        <v>0</v>
      </c>
      <c r="DG8" s="4">
        <f>IF(DG7=1,Results!D5+1,DF8)</f>
        <v>0</v>
      </c>
      <c r="DH8" s="4">
        <f>IF(DH7=1,Results!E5+1,DG8)</f>
        <v>0</v>
      </c>
      <c r="DI8" s="4">
        <f>IF(DI7=1,Results!F5+1,DH8)</f>
        <v>0</v>
      </c>
      <c r="DJ8" s="4">
        <f>IF(DJ7=1,Results!G5+1,DI8)</f>
        <v>0</v>
      </c>
      <c r="DK8" s="4">
        <f>IF(DK7=1,Results!H5+1,DJ8)</f>
        <v>0</v>
      </c>
      <c r="DL8" s="4">
        <f>IF(DL7=1,Results!I5+1,DK8)</f>
        <v>0</v>
      </c>
      <c r="DM8" s="4">
        <f>IF(DM7=1,Results!J5+1,DL8)</f>
        <v>0</v>
      </c>
      <c r="DN8" s="4"/>
      <c r="DO8" s="4"/>
      <c r="DQ8" s="36"/>
      <c r="DT8" s="3" t="s">
        <v>1080</v>
      </c>
      <c r="DU8" s="1">
        <v>0</v>
      </c>
      <c r="DV8" s="4">
        <f>IF(DV7=1,Results!C5+1,DU8)</f>
        <v>0</v>
      </c>
      <c r="DW8" s="4">
        <f>IF(DW7=1,Results!D5+1,DV8)</f>
        <v>0</v>
      </c>
      <c r="DX8" s="4">
        <f>IF(DX7=1,Results!E5+1,DW8)</f>
        <v>0</v>
      </c>
      <c r="DY8" s="4">
        <f>IF(DY7=1,Results!F5+1,DX8)</f>
        <v>0</v>
      </c>
      <c r="DZ8" s="4">
        <f>IF(DZ7=1,Results!G5+1,DY8)</f>
        <v>0</v>
      </c>
      <c r="EA8" s="4">
        <f>IF(EA7=1,Results!H5+1,DZ8)</f>
        <v>0</v>
      </c>
      <c r="EB8" s="4">
        <f>IF(EB7=1,Results!I5+1,EA8)</f>
        <v>0</v>
      </c>
      <c r="EC8" s="4">
        <f>IF(EC7=1,Results!J5+1,EB8)</f>
        <v>0</v>
      </c>
      <c r="ED8" s="4"/>
      <c r="EE8" s="4"/>
      <c r="EG8" s="36"/>
      <c r="EJ8" s="3" t="s">
        <v>1081</v>
      </c>
      <c r="EK8" s="1">
        <v>0</v>
      </c>
      <c r="EL8" s="4">
        <f>IF(EL7=1,Results!C5+1,EK8)</f>
        <v>0</v>
      </c>
      <c r="EM8" s="4">
        <f>IF(EM7=1,Results!D5+1,EL8)</f>
        <v>3</v>
      </c>
      <c r="EN8" s="4">
        <f>IF(EN7=1,Results!E5+1,EM8)</f>
        <v>3</v>
      </c>
      <c r="EO8" s="4">
        <f>IF(EO7=1,Results!F5+1,EN8)</f>
        <v>3</v>
      </c>
      <c r="EP8" s="4">
        <f>IF(EP7=1,Results!G5+1,EO8)</f>
        <v>3</v>
      </c>
      <c r="EQ8" s="4">
        <f>IF(EQ7=1,Results!H5+1,EP8)</f>
        <v>3</v>
      </c>
      <c r="ER8" s="4">
        <f>IF(ER7=1,Results!I5+1,EQ8)</f>
        <v>3</v>
      </c>
      <c r="ES8" s="4">
        <f>IF(ES7=1,Results!J5+1,ER8)</f>
        <v>3</v>
      </c>
      <c r="ET8" s="4"/>
      <c r="EU8" s="4"/>
      <c r="EW8" s="36"/>
      <c r="EZ8" s="3" t="s">
        <v>1082</v>
      </c>
      <c r="FA8" s="1">
        <v>0</v>
      </c>
      <c r="FB8" s="4">
        <f>IF(FB7=1,Results!C5+1,FA8)</f>
        <v>0</v>
      </c>
      <c r="FC8" s="4">
        <f>IF(FC7=1,Results!D5+1,FB8)</f>
        <v>0</v>
      </c>
      <c r="FD8" s="4">
        <f>IF(FD7=1,Results!E5+1,FC8)</f>
        <v>4</v>
      </c>
      <c r="FE8" s="4">
        <f>IF(FE7=1,Results!F5+1,FD8)</f>
        <v>4</v>
      </c>
      <c r="FF8" s="4">
        <f>IF(FF7=1,Results!G5+1,FE8)</f>
        <v>4</v>
      </c>
      <c r="FG8" s="4">
        <f>IF(FG7=1,Results!H5+1,FF8)</f>
        <v>4</v>
      </c>
      <c r="FH8" s="4">
        <f>IF(FH7=1,Results!I5+1,FG8)</f>
        <v>4</v>
      </c>
      <c r="FI8" s="1">
        <f>IF(FI7=1,Results!J5+1,FH8)</f>
        <v>4</v>
      </c>
      <c r="FJ8" s="4"/>
      <c r="FK8" s="1"/>
      <c r="FM8" s="36"/>
      <c r="FP8" s="3" t="s">
        <v>1083</v>
      </c>
      <c r="FQ8" s="1">
        <v>0</v>
      </c>
      <c r="FR8" s="4">
        <f>IF(FR7=1,Results!C5+1,FQ8)</f>
        <v>0</v>
      </c>
      <c r="FS8" s="4">
        <f>IF(FS7=1,Results!D5+1,FR8)</f>
        <v>0</v>
      </c>
      <c r="FT8" s="4">
        <f>IF(FT7=1,Results!E5+1,FS8)</f>
        <v>4</v>
      </c>
      <c r="FU8" s="4">
        <f>IF(FU7=1,Results!F5+1,FT8)</f>
        <v>4</v>
      </c>
      <c r="FV8" s="4">
        <f>IF(FV7=1,Results!G5+1,FU8)</f>
        <v>4</v>
      </c>
      <c r="FW8" s="4">
        <f>IF(FW7=1,Results!H5+1,FV8)</f>
        <v>4</v>
      </c>
      <c r="FX8" s="4">
        <f>IF(FX7=1,Results!I5+1,FW8)</f>
        <v>4</v>
      </c>
      <c r="FY8" s="1">
        <f>IF(FY7=1,Results!J5+1,FX8)</f>
        <v>4</v>
      </c>
      <c r="FZ8" s="4"/>
      <c r="GA8" s="1"/>
      <c r="GC8" s="36"/>
      <c r="GF8" s="3" t="s">
        <v>1084</v>
      </c>
      <c r="GG8" s="1">
        <v>0</v>
      </c>
      <c r="GH8" s="4">
        <f>IF(GH7=1,Results!C5+1,GG8)</f>
        <v>0</v>
      </c>
      <c r="GI8" s="4">
        <f>IF(GI7=1,Results!D5+1,GH8)</f>
        <v>0</v>
      </c>
      <c r="GJ8" s="4">
        <f>IF(GJ7=1,Results!E5+1,GI8)</f>
        <v>0</v>
      </c>
      <c r="GK8" s="4">
        <f>IF(GK7=1,Results!F5+1,GJ8)</f>
        <v>5</v>
      </c>
      <c r="GL8" s="4">
        <f>IF(GL7=1,Results!G5+1,GK8)</f>
        <v>5</v>
      </c>
      <c r="GM8" s="4">
        <f>IF(GM7=1,Results!H5+1,GL8)</f>
        <v>5</v>
      </c>
      <c r="GN8" s="4">
        <f>IF(GN7=1,Results!I5+1,GM8)</f>
        <v>5</v>
      </c>
      <c r="GO8" s="1">
        <f>IF(GO7=1,Results!J5+1,GN8)</f>
        <v>5</v>
      </c>
      <c r="GP8" s="4"/>
      <c r="GQ8" s="4"/>
      <c r="GR8" s="4"/>
      <c r="GS8" s="36"/>
      <c r="GT8" s="4"/>
      <c r="GV8" s="3" t="s">
        <v>1085</v>
      </c>
      <c r="GW8" s="1">
        <v>0</v>
      </c>
      <c r="GX8" s="4">
        <f>IF(GX7=1,Results!C5+1,GW8)</f>
        <v>0</v>
      </c>
      <c r="GY8" s="1">
        <f>IF(GY7=1,Results!D5+1,GX8)</f>
        <v>0</v>
      </c>
      <c r="GZ8" s="1">
        <f>IF(GZ7=1,Results!E5+1,GY8)</f>
        <v>0</v>
      </c>
      <c r="HA8" s="1">
        <f>IF(HA7=1,Results!F5+1,GZ8)</f>
        <v>5</v>
      </c>
      <c r="HB8" s="1">
        <f>IF(HB7=1,Results!G5+1,HA8)</f>
        <v>5</v>
      </c>
      <c r="HC8" s="1">
        <f>IF(HC7=1,Results!H5+1,HB8)</f>
        <v>5</v>
      </c>
      <c r="HD8" s="1">
        <f>IF(HD7=1,Results!I5+1,HC8)</f>
        <v>5</v>
      </c>
      <c r="HE8" s="1">
        <f>IF(HE7=1,Results!J5+1,HD8)</f>
        <v>5</v>
      </c>
      <c r="HF8" s="1"/>
      <c r="HG8" s="1"/>
      <c r="HH8" s="1"/>
      <c r="HI8" s="36"/>
      <c r="HJ8" s="1"/>
      <c r="HK8" s="1"/>
      <c r="HL8" s="3" t="s">
        <v>1086</v>
      </c>
      <c r="HM8" s="1">
        <v>0</v>
      </c>
      <c r="HN8" s="1">
        <f>IF(HN7=1,Results!C5+1,HM8)</f>
        <v>0</v>
      </c>
      <c r="HO8" s="1">
        <f>IF(HO7=1,Results!D5+1,HN8)</f>
        <v>0</v>
      </c>
      <c r="HP8" s="1">
        <f>IF(HP7=1,Results!E5+1,HO8)</f>
        <v>0</v>
      </c>
      <c r="HQ8" s="1">
        <f>IF(HQ7=1,Results!F5+1,HP8)</f>
        <v>0</v>
      </c>
      <c r="HR8" s="1">
        <f>IF(HR7=1,Results!G5+1,HQ8)</f>
        <v>6</v>
      </c>
      <c r="HS8" s="1">
        <f>IF(HS7=1,Results!H5+1,HR8)</f>
        <v>6</v>
      </c>
      <c r="HT8" s="1">
        <f>IF(HT7=1,Results!I5+1,HS8)</f>
        <v>6</v>
      </c>
      <c r="HU8" s="1">
        <f>IF(HU7=1,Results!J5+1,HT8)</f>
        <v>6</v>
      </c>
      <c r="HV8" s="1"/>
      <c r="HW8" s="1"/>
      <c r="HX8" s="1"/>
      <c r="HY8" s="36"/>
      <c r="HZ8" s="1"/>
      <c r="IA8" s="1"/>
      <c r="IB8" s="3" t="s">
        <v>1087</v>
      </c>
      <c r="IC8" s="1">
        <v>0</v>
      </c>
      <c r="ID8" s="1">
        <f>IF(ID7=1,Results!C5+1,IC8)</f>
        <v>0</v>
      </c>
      <c r="IE8" s="1">
        <f>IF(IE7=1,Results!D5+1,ID8)</f>
        <v>0</v>
      </c>
      <c r="IF8" s="4">
        <f>IF(IF7=1,Results!E5+1,IE8)</f>
        <v>0</v>
      </c>
      <c r="IG8" s="4">
        <f>IF(IG7=1,Results!F5+1,IF8)</f>
        <v>0</v>
      </c>
      <c r="IH8" s="4">
        <f>IF(IH7=1,Results!G5+1,IG8)</f>
        <v>6</v>
      </c>
      <c r="II8" s="4">
        <f>IF(II7=1,Results!H5+1,IH8)</f>
        <v>6</v>
      </c>
      <c r="IJ8" s="4">
        <f>IF(IJ7=1,Results!I5+1,II8)</f>
        <v>6</v>
      </c>
      <c r="IK8" s="4">
        <f>IF(IK7=1,Results!J5+1,IJ8)</f>
        <v>6</v>
      </c>
      <c r="IL8" s="4"/>
      <c r="IM8" s="4"/>
      <c r="IN8" s="4"/>
      <c r="IO8" s="36"/>
      <c r="IP8" s="4"/>
      <c r="IR8" s="3" t="s">
        <v>1088</v>
      </c>
      <c r="IS8" s="1">
        <v>0</v>
      </c>
      <c r="IT8" s="4">
        <f>IF(IT7=1,Results!$C5+1,IS8)</f>
        <v>0</v>
      </c>
      <c r="IU8" s="4">
        <f>IF(IU7=1,Results!$D5+1,IT8)</f>
        <v>0</v>
      </c>
      <c r="IV8" s="4">
        <f>IF(IV7=1,Results!$E5+1,IU8)</f>
        <v>4</v>
      </c>
      <c r="IW8" s="4">
        <f>IF(IW7=1,Results!$F5+1,IV8)</f>
        <v>4</v>
      </c>
      <c r="IX8" s="4">
        <f>IF(IX7=1,Results!$G5+1,IW8)</f>
        <v>4</v>
      </c>
      <c r="IY8" s="4">
        <f>IF(IY7=1,Results!$H5+1,IX8)</f>
        <v>4</v>
      </c>
      <c r="IZ8" s="4">
        <f>IF(IZ7=1,Results!$I5+1,IY8)</f>
        <v>4</v>
      </c>
      <c r="JA8" s="4">
        <f>IF(JA7=1,Results!$J5+1,IZ8)</f>
        <v>4</v>
      </c>
      <c r="JB8" s="4"/>
      <c r="JC8" s="4"/>
      <c r="JD8" s="4"/>
      <c r="JE8" s="36"/>
      <c r="JF8" s="4"/>
      <c r="JH8" s="3" t="s">
        <v>1089</v>
      </c>
      <c r="JI8" s="1">
        <v>0</v>
      </c>
      <c r="JJ8" s="4">
        <f>IF(JJ7=1,Results!$C5+1,JI8)</f>
        <v>0</v>
      </c>
      <c r="JK8" s="4">
        <f>IF(JK7=1,Results!$D5+1,JJ8)</f>
        <v>0</v>
      </c>
      <c r="JL8" s="4">
        <f>IF(JL7=1,Results!$E5+1,JK8)</f>
        <v>0</v>
      </c>
      <c r="JM8" s="4">
        <f>IF(JM7=1,Results!$F5+1,JL8)</f>
        <v>5</v>
      </c>
      <c r="JN8" s="4">
        <f>IF(JN7=1,Results!$G5+1,JM8)</f>
        <v>5</v>
      </c>
      <c r="JO8" s="4">
        <f>IF(JO7=1,Results!$H5+1,JN8)</f>
        <v>5</v>
      </c>
      <c r="JP8" s="4">
        <f>IF(JP7=1,Results!$I5+1,JO8)</f>
        <v>5</v>
      </c>
      <c r="JQ8" s="4">
        <f>IF(JQ7=1,Results!$J5+1,JP8)</f>
        <v>5</v>
      </c>
      <c r="JR8" s="4"/>
      <c r="JS8" s="4"/>
      <c r="JT8" s="4"/>
      <c r="JU8" s="36"/>
      <c r="JV8" s="4"/>
      <c r="JX8" s="3" t="s">
        <v>1090</v>
      </c>
      <c r="JY8" s="1">
        <v>0</v>
      </c>
      <c r="JZ8" s="4">
        <f>IF(JZ7=1,Results!$C5+1,JY8)</f>
        <v>0</v>
      </c>
      <c r="KA8" s="4">
        <f>IF(KA7=1,Results!$D5+1,JZ8)</f>
        <v>0</v>
      </c>
      <c r="KB8" s="4">
        <f>IF(KB7=1,Results!$E5+1,KA8)</f>
        <v>0</v>
      </c>
      <c r="KC8" s="4">
        <f>IF(KC7=1,Results!$F5+1,KB8)</f>
        <v>5</v>
      </c>
      <c r="KD8" s="4">
        <f>IF(KD7=1,Results!$G5+1,KC8)</f>
        <v>5</v>
      </c>
      <c r="KE8" s="4">
        <f>IF(KE7=1,Results!$H5+1,KD8)</f>
        <v>5</v>
      </c>
      <c r="KF8" s="4">
        <f>IF(KF7=1,Results!$I5+1,KE8)</f>
        <v>5</v>
      </c>
      <c r="KG8" s="4">
        <f>IF(KG7=1,Results!$J5+1,KF8)</f>
        <v>5</v>
      </c>
      <c r="KH8" s="4"/>
      <c r="KI8" s="4"/>
      <c r="KJ8" s="4"/>
      <c r="KK8" s="36"/>
      <c r="KL8" s="4"/>
      <c r="KN8" s="3" t="s">
        <v>1091</v>
      </c>
      <c r="KO8" s="1">
        <v>0</v>
      </c>
      <c r="KP8" s="4">
        <f>IF(KP7=1,Results!C5+1,KO8)</f>
        <v>0</v>
      </c>
      <c r="KQ8" s="4">
        <f>IF(KQ7=1,Results!D5+1,KP8)</f>
        <v>0</v>
      </c>
      <c r="KR8" s="4">
        <f>IF(KR7=1,Results!E5+1,KQ8)</f>
        <v>0</v>
      </c>
      <c r="KS8" s="4">
        <f>IF(KS7=1,Results!F5+1,KR8)</f>
        <v>0</v>
      </c>
      <c r="KT8" s="4">
        <f>IF(KT7=1,Results!G5+1,KS8)</f>
        <v>0</v>
      </c>
      <c r="KU8" s="4">
        <f>IF(KU7=1,Results!H5+1,KT8)</f>
        <v>0</v>
      </c>
      <c r="KV8" s="4">
        <f>IF(KV7=1,Results!I5+1,KU8)</f>
        <v>0</v>
      </c>
      <c r="KW8" s="4">
        <f>IF(KW7=1,Results!J5+1,KV8)</f>
        <v>0</v>
      </c>
      <c r="KX8" s="4"/>
      <c r="KY8" s="4"/>
      <c r="KZ8" s="4"/>
      <c r="LA8" s="36"/>
      <c r="LB8" s="4"/>
      <c r="LD8" s="3" t="s">
        <v>1092</v>
      </c>
      <c r="LE8" s="1">
        <v>0</v>
      </c>
      <c r="LF8" s="4">
        <f>IF(LF7=1,Results!C5+1,LE8)</f>
        <v>0</v>
      </c>
      <c r="LG8" s="4">
        <f>IF(LG7=1,Results!D5+1,LF8)</f>
        <v>0</v>
      </c>
      <c r="LH8" s="4">
        <f>IF(LH7=1,Results!E5+1,LG8)</f>
        <v>0</v>
      </c>
      <c r="LI8" s="4">
        <f>IF(LI7=1,Results!F5+1,LH8)</f>
        <v>0</v>
      </c>
      <c r="LJ8" s="4">
        <f>IF(LJ7=1,Results!G5+1,LI8)</f>
        <v>0</v>
      </c>
      <c r="LK8" s="4">
        <f>IF(LK7=1,Results!H5+1,LJ8)</f>
        <v>0</v>
      </c>
      <c r="LL8" s="4">
        <f>IF(LL7=1,Results!I5+1,LK8)</f>
        <v>0</v>
      </c>
      <c r="LM8" s="4">
        <f>IF(LM7=1,Results!J5+1,LL8)</f>
        <v>0</v>
      </c>
      <c r="LN8" s="4"/>
      <c r="LO8" s="4"/>
      <c r="LP8" s="4"/>
      <c r="LQ8" s="36"/>
      <c r="LR8" s="4"/>
      <c r="LT8" s="3" t="s">
        <v>1093</v>
      </c>
      <c r="LU8" s="1">
        <v>0</v>
      </c>
      <c r="LV8" s="4">
        <f>IF(LV7=1,Results!C5+1,LU8)</f>
        <v>0</v>
      </c>
      <c r="LW8" s="4">
        <f>IF(LW7=1,Results!D5+1,LV8)</f>
        <v>0</v>
      </c>
      <c r="LX8" s="4">
        <f>IF(LX7=1,Results!E5+1,LW8)</f>
        <v>0</v>
      </c>
      <c r="LY8" s="4">
        <f>IF(LY7=1,Results!F5+1,LX8)</f>
        <v>0</v>
      </c>
      <c r="LZ8" s="4">
        <f>IF(LZ7=1,Results!G5+1,LY8)</f>
        <v>0</v>
      </c>
      <c r="MA8" s="4">
        <f>IF(MA7=1,Results!H5+1,LZ8)</f>
        <v>0</v>
      </c>
      <c r="MB8" s="4">
        <f>IF(MB7=1,Results!I5+1,MA8)</f>
        <v>0</v>
      </c>
      <c r="MC8" s="4">
        <f>IF(MC7=1,Results!J5+1,MB8)</f>
        <v>0</v>
      </c>
      <c r="MD8" s="4"/>
      <c r="ME8" s="4"/>
      <c r="MF8" s="4"/>
      <c r="MG8" s="36"/>
      <c r="MH8" s="4"/>
      <c r="MJ8" s="3" t="s">
        <v>1094</v>
      </c>
      <c r="MK8" s="1">
        <v>0</v>
      </c>
      <c r="ML8" s="4">
        <f>IF(ML7=1,Results!C5+1,MK8)</f>
        <v>0</v>
      </c>
      <c r="MM8" s="4">
        <f>IF(MM7=1,Results!D5+1,ML8)</f>
        <v>0</v>
      </c>
      <c r="MN8" s="4">
        <f>IF(MN7=1,Results!E5+1,MM8)</f>
        <v>0</v>
      </c>
      <c r="MO8" s="4">
        <f>IF(MO7=1,Results!F5+1,MN8)</f>
        <v>0</v>
      </c>
      <c r="MP8" s="4">
        <f>IF(MP7=1,Results!G5+1,MO8)</f>
        <v>0</v>
      </c>
      <c r="MQ8" s="4">
        <f>IF(MQ7=1,Results!H5+1,MP8)</f>
        <v>0</v>
      </c>
      <c r="MR8" s="4">
        <f>IF(MR7=1,Results!I5+1,MQ8)</f>
        <v>0</v>
      </c>
      <c r="MS8" s="4">
        <f>IF(MS7=1,Results!J5+1,MR8)</f>
        <v>0</v>
      </c>
      <c r="MT8" s="4"/>
      <c r="MU8" s="4"/>
      <c r="MV8" s="4"/>
      <c r="MW8" s="36"/>
      <c r="MX8" s="4"/>
      <c r="MZ8" s="3" t="s">
        <v>1095</v>
      </c>
      <c r="NA8" s="1">
        <v>0</v>
      </c>
      <c r="NB8" s="4">
        <f>IF(NB7=1,Results!C5+1,NA8)</f>
        <v>0</v>
      </c>
      <c r="NC8" s="4">
        <f>IF(NC7=1,Results!D5+1,NB8)</f>
        <v>0</v>
      </c>
      <c r="ND8" s="4">
        <f>IF(ND7=1,Results!E5+1,NC8)</f>
        <v>0</v>
      </c>
      <c r="NE8" s="4">
        <f>IF(NE7=1,Results!F5+1,ND8)</f>
        <v>0</v>
      </c>
      <c r="NF8" s="4">
        <f>IF(NF7=1,Results!G5+1,NE8)</f>
        <v>0</v>
      </c>
      <c r="NG8" s="4">
        <f>IF(NG7=1,Results!H5+1,NF8)</f>
        <v>0</v>
      </c>
      <c r="NH8" s="4">
        <f>IF(NH7=1,Results!I5+1,NG8)</f>
        <v>0</v>
      </c>
      <c r="NI8" s="4">
        <f>IF(NI7=1,Results!J5+1,NH8)</f>
        <v>0</v>
      </c>
      <c r="NJ8" s="4"/>
      <c r="NK8" s="4"/>
      <c r="NL8" s="4"/>
      <c r="NM8" s="36"/>
      <c r="NN8" s="4"/>
      <c r="NP8" s="3" t="s">
        <v>1096</v>
      </c>
      <c r="NQ8" s="1">
        <v>0</v>
      </c>
      <c r="NR8" s="4">
        <f>IF(NR7=1,Results!C5+1,NQ8)</f>
        <v>0</v>
      </c>
      <c r="NS8" s="4">
        <f>IF(NS7=1,Results!D5+1,NR8)</f>
        <v>0</v>
      </c>
      <c r="NT8" s="4">
        <f>IF(NT7=1,Results!E5+1,NS8)</f>
        <v>0</v>
      </c>
      <c r="NU8" s="4">
        <f>IF(NU7=1,Results!F5+1,NT8)</f>
        <v>0</v>
      </c>
      <c r="NV8" s="4">
        <f>IF(NV7=1,Results!G5+1,NU8)</f>
        <v>0</v>
      </c>
      <c r="NW8" s="4">
        <f>IF(NW7=1,Results!H5+1,NV8)</f>
        <v>0</v>
      </c>
      <c r="NX8" s="4">
        <f>IF(NX7=1,Results!I5+1,NW8)</f>
        <v>0</v>
      </c>
      <c r="NY8" s="4">
        <f>IF(NY7=1,Results!J5+1,NX8)</f>
        <v>0</v>
      </c>
      <c r="NZ8" s="4"/>
      <c r="OA8" s="4"/>
      <c r="OB8" s="4"/>
      <c r="OC8" s="36"/>
      <c r="OD8" s="4"/>
      <c r="OF8" s="3" t="s">
        <v>1097</v>
      </c>
      <c r="OG8" s="1">
        <v>0</v>
      </c>
      <c r="OH8" s="4">
        <f>IF(OH7=1,Results!C5+1,OG8)</f>
        <v>0</v>
      </c>
      <c r="OI8" s="4">
        <f>IF(OI7=1,Results!D5+1,OH8)</f>
        <v>0</v>
      </c>
      <c r="OJ8" s="4">
        <f>IF(OJ7=1,Results!E5+1,OI8)</f>
        <v>0</v>
      </c>
      <c r="OK8" s="4">
        <f>IF(OK7=1,Results!F5+1,OJ8)</f>
        <v>0</v>
      </c>
      <c r="OL8" s="4">
        <f>IF(OL7=1,Results!G5+1,OK8)</f>
        <v>0</v>
      </c>
      <c r="OM8" s="4">
        <f>IF(OM7=1,Results!H5+1,OL8)</f>
        <v>0</v>
      </c>
      <c r="ON8" s="4">
        <f>IF(ON7=1,Results!I5+1,OM8)</f>
        <v>0</v>
      </c>
      <c r="OO8" s="4">
        <f>IF(OO7=1,Results!J5+1,ON8)</f>
        <v>0</v>
      </c>
      <c r="OP8" s="4"/>
      <c r="OQ8" s="4"/>
      <c r="OS8" s="36"/>
      <c r="OU8" s="1"/>
      <c r="OV8" s="4"/>
      <c r="OW8" s="4"/>
      <c r="OX8" s="4"/>
      <c r="OY8" s="4"/>
      <c r="OZ8" s="4"/>
      <c r="PA8" s="4"/>
      <c r="PB8" s="4"/>
      <c r="PC8" s="4"/>
      <c r="PD8" s="4"/>
      <c r="PE8" s="4"/>
      <c r="PH8" s="3"/>
      <c r="PI8" s="1"/>
      <c r="PJ8" s="4"/>
      <c r="PK8" s="4"/>
      <c r="PL8" s="4"/>
      <c r="PM8" s="4"/>
      <c r="PN8" s="4"/>
      <c r="PO8" s="4"/>
      <c r="PP8" s="4"/>
      <c r="PQ8" s="4"/>
      <c r="PR8" s="4"/>
      <c r="PS8" s="4"/>
      <c r="PV8" s="3"/>
      <c r="PW8" s="1"/>
      <c r="PX8" s="4"/>
      <c r="PY8" s="4"/>
      <c r="PZ8" s="4"/>
      <c r="QA8" s="4"/>
      <c r="QB8" s="4"/>
      <c r="QC8" s="4"/>
      <c r="QD8" s="4"/>
      <c r="QE8" s="4"/>
      <c r="QF8" s="4"/>
      <c r="QG8" s="4"/>
      <c r="QJ8" s="3"/>
      <c r="QK8" s="1"/>
      <c r="QL8" s="4"/>
      <c r="QM8" s="4"/>
      <c r="QN8" s="4"/>
      <c r="QO8" s="4"/>
      <c r="QP8" s="4"/>
      <c r="QQ8" s="4"/>
      <c r="QR8" s="4"/>
      <c r="QS8" s="4"/>
      <c r="QT8" s="4"/>
      <c r="QU8" s="4"/>
      <c r="QX8" s="3"/>
      <c r="QY8" s="1"/>
      <c r="QZ8" s="4"/>
      <c r="RA8" s="4"/>
      <c r="RB8" s="4"/>
      <c r="RC8" s="4"/>
      <c r="RD8" s="4"/>
      <c r="RE8" s="4"/>
      <c r="RF8" s="4"/>
      <c r="RG8" s="4"/>
      <c r="RH8" s="4"/>
      <c r="RI8" s="4"/>
      <c r="RL8" s="3"/>
      <c r="RM8" s="1"/>
      <c r="RN8" s="4"/>
      <c r="RO8" s="4"/>
      <c r="RP8" s="4"/>
      <c r="RQ8" s="4"/>
      <c r="RR8" s="4"/>
      <c r="RS8" s="4"/>
      <c r="RT8" s="4"/>
      <c r="RU8" s="4"/>
      <c r="RZ8" s="3"/>
      <c r="SA8" s="1"/>
      <c r="SB8" s="4"/>
      <c r="SC8" s="4"/>
      <c r="SD8" s="4"/>
      <c r="SE8" s="4"/>
      <c r="SF8" s="4"/>
      <c r="SG8" s="4"/>
      <c r="SH8" s="4"/>
      <c r="SI8" s="4"/>
      <c r="SN8" s="3"/>
      <c r="SO8" s="1"/>
      <c r="SP8" s="4"/>
      <c r="SQ8" s="4"/>
      <c r="SR8" s="4"/>
      <c r="SS8" s="4"/>
      <c r="ST8" s="4"/>
      <c r="SU8" s="4"/>
      <c r="SV8" s="4"/>
      <c r="SW8" s="4"/>
    </row>
    <row r="9" spans="1:517" x14ac:dyDescent="0.2">
      <c r="A9" s="3" t="s">
        <v>1098</v>
      </c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P9" s="3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H9" s="3" t="s">
        <v>1099</v>
      </c>
      <c r="BI9" s="4">
        <v>0</v>
      </c>
      <c r="BJ9" s="4">
        <f>+BI4</f>
        <v>0</v>
      </c>
      <c r="BK9" s="4">
        <f t="shared" ref="BK9:BQ9" si="267">+BJ4-BI4</f>
        <v>0</v>
      </c>
      <c r="BL9" s="4">
        <f t="shared" si="267"/>
        <v>0</v>
      </c>
      <c r="BM9" s="4">
        <f t="shared" si="267"/>
        <v>0</v>
      </c>
      <c r="BN9" s="4">
        <f t="shared" si="267"/>
        <v>0</v>
      </c>
      <c r="BO9" s="4">
        <f t="shared" si="267"/>
        <v>0</v>
      </c>
      <c r="BP9" s="4">
        <f t="shared" si="267"/>
        <v>0</v>
      </c>
      <c r="BQ9" s="4">
        <f t="shared" si="267"/>
        <v>0</v>
      </c>
      <c r="BR9" s="4"/>
      <c r="BS9" s="4"/>
      <c r="BU9" s="36"/>
      <c r="BX9" s="3" t="s">
        <v>1100</v>
      </c>
      <c r="BY9" s="4">
        <v>0</v>
      </c>
      <c r="BZ9" s="4">
        <f>+BY4</f>
        <v>0</v>
      </c>
      <c r="CA9" s="4">
        <f t="shared" ref="CA9:CG9" si="268">+BZ4-BY4</f>
        <v>0</v>
      </c>
      <c r="CB9" s="4">
        <f t="shared" si="268"/>
        <v>0</v>
      </c>
      <c r="CC9" s="4">
        <f t="shared" si="268"/>
        <v>0</v>
      </c>
      <c r="CD9" s="4">
        <f t="shared" si="268"/>
        <v>0</v>
      </c>
      <c r="CE9" s="4">
        <f t="shared" si="268"/>
        <v>0</v>
      </c>
      <c r="CF9" s="4">
        <f t="shared" si="268"/>
        <v>0</v>
      </c>
      <c r="CG9" s="4">
        <f t="shared" si="268"/>
        <v>0</v>
      </c>
      <c r="CH9" s="4"/>
      <c r="CI9" s="4"/>
      <c r="CK9" s="36"/>
      <c r="CN9" s="3" t="s">
        <v>1101</v>
      </c>
      <c r="CO9" s="4">
        <v>0</v>
      </c>
      <c r="CP9" s="4">
        <f>+CO4</f>
        <v>0</v>
      </c>
      <c r="CQ9" s="4">
        <f t="shared" ref="CQ9:CW9" si="269">+CP4-CO4</f>
        <v>0</v>
      </c>
      <c r="CR9" s="4">
        <f t="shared" si="269"/>
        <v>0</v>
      </c>
      <c r="CS9" s="4">
        <f t="shared" si="269"/>
        <v>0</v>
      </c>
      <c r="CT9" s="4">
        <f t="shared" si="269"/>
        <v>0</v>
      </c>
      <c r="CU9" s="4">
        <f t="shared" si="269"/>
        <v>0</v>
      </c>
      <c r="CV9" s="4">
        <f t="shared" si="269"/>
        <v>0</v>
      </c>
      <c r="CW9" s="4">
        <f t="shared" si="269"/>
        <v>0</v>
      </c>
      <c r="CX9" s="4"/>
      <c r="CY9" s="4"/>
      <c r="DA9" s="36"/>
      <c r="DD9" s="3" t="s">
        <v>1102</v>
      </c>
      <c r="DE9" s="4">
        <v>0</v>
      </c>
      <c r="DF9" s="4">
        <f>+DE4</f>
        <v>0</v>
      </c>
      <c r="DG9" s="4">
        <f t="shared" ref="DG9:DM9" si="270">+DF4-DE4</f>
        <v>0</v>
      </c>
      <c r="DH9" s="4">
        <f t="shared" si="270"/>
        <v>0</v>
      </c>
      <c r="DI9" s="4">
        <f t="shared" si="270"/>
        <v>0</v>
      </c>
      <c r="DJ9" s="4">
        <f t="shared" si="270"/>
        <v>0</v>
      </c>
      <c r="DK9" s="4">
        <f t="shared" si="270"/>
        <v>0</v>
      </c>
      <c r="DL9" s="4">
        <f t="shared" si="270"/>
        <v>0</v>
      </c>
      <c r="DM9" s="4">
        <f t="shared" si="270"/>
        <v>0</v>
      </c>
      <c r="DN9" s="4"/>
      <c r="DO9" s="4"/>
      <c r="DQ9" s="36"/>
      <c r="DT9" s="3" t="s">
        <v>1103</v>
      </c>
      <c r="DU9" s="4">
        <v>0</v>
      </c>
      <c r="DV9" s="4">
        <f>+DU4</f>
        <v>0</v>
      </c>
      <c r="DW9" s="4">
        <f t="shared" ref="DW9:EC9" si="271">+DV4-DU4</f>
        <v>0</v>
      </c>
      <c r="DX9" s="4">
        <f t="shared" si="271"/>
        <v>0</v>
      </c>
      <c r="DY9" s="4">
        <f t="shared" si="271"/>
        <v>0</v>
      </c>
      <c r="DZ9" s="4">
        <f t="shared" si="271"/>
        <v>0</v>
      </c>
      <c r="EA9" s="4">
        <f t="shared" si="271"/>
        <v>0</v>
      </c>
      <c r="EB9" s="4">
        <f t="shared" si="271"/>
        <v>0</v>
      </c>
      <c r="EC9" s="4">
        <f t="shared" si="271"/>
        <v>0</v>
      </c>
      <c r="ED9" s="4"/>
      <c r="EE9" s="4"/>
      <c r="EG9" s="36"/>
      <c r="EJ9" s="3" t="s">
        <v>1104</v>
      </c>
      <c r="EK9" s="4">
        <v>0</v>
      </c>
      <c r="EL9" s="4">
        <f>+EK4</f>
        <v>0</v>
      </c>
      <c r="EM9" s="4">
        <f t="shared" ref="EM9:ES9" si="272">+EL4-EK4</f>
        <v>0</v>
      </c>
      <c r="EN9" s="4">
        <f t="shared" si="272"/>
        <v>0</v>
      </c>
      <c r="EO9" s="4">
        <f t="shared" si="272"/>
        <v>0</v>
      </c>
      <c r="EP9" s="4">
        <f t="shared" si="272"/>
        <v>0</v>
      </c>
      <c r="EQ9" s="4">
        <f t="shared" si="272"/>
        <v>0</v>
      </c>
      <c r="ER9" s="4">
        <f t="shared" si="272"/>
        <v>0</v>
      </c>
      <c r="ES9" s="4">
        <f t="shared" si="272"/>
        <v>0</v>
      </c>
      <c r="ET9" s="4"/>
      <c r="EU9" s="4"/>
      <c r="EW9" s="36"/>
      <c r="EZ9" s="3" t="s">
        <v>1105</v>
      </c>
      <c r="FA9" s="4">
        <v>0</v>
      </c>
      <c r="FB9" s="4">
        <f>+FA4</f>
        <v>0</v>
      </c>
      <c r="FC9" s="4">
        <f t="shared" ref="FC9:FI9" si="273">+FB4-FA4</f>
        <v>0</v>
      </c>
      <c r="FD9" s="4">
        <f t="shared" si="273"/>
        <v>0</v>
      </c>
      <c r="FE9" s="4">
        <f t="shared" si="273"/>
        <v>0</v>
      </c>
      <c r="FF9" s="4">
        <f t="shared" si="273"/>
        <v>0</v>
      </c>
      <c r="FG9" s="4">
        <f t="shared" si="273"/>
        <v>0</v>
      </c>
      <c r="FH9" s="4">
        <f t="shared" si="273"/>
        <v>0</v>
      </c>
      <c r="FI9" s="4">
        <f t="shared" si="273"/>
        <v>0</v>
      </c>
      <c r="FJ9" s="4"/>
      <c r="FK9" s="4"/>
      <c r="FM9" s="36"/>
      <c r="FP9" s="3" t="s">
        <v>1106</v>
      </c>
      <c r="FQ9" s="4">
        <v>0</v>
      </c>
      <c r="FR9" s="4">
        <f>+FQ4</f>
        <v>0</v>
      </c>
      <c r="FS9" s="4">
        <f t="shared" ref="FS9:FY9" si="274">+FR4-FQ4</f>
        <v>0</v>
      </c>
      <c r="FT9" s="4">
        <f t="shared" si="274"/>
        <v>0</v>
      </c>
      <c r="FU9" s="4">
        <f t="shared" si="274"/>
        <v>0</v>
      </c>
      <c r="FV9" s="4">
        <f t="shared" si="274"/>
        <v>0</v>
      </c>
      <c r="FW9" s="4">
        <f t="shared" si="274"/>
        <v>0</v>
      </c>
      <c r="FX9" s="4">
        <f t="shared" si="274"/>
        <v>0</v>
      </c>
      <c r="FY9" s="4">
        <f t="shared" si="274"/>
        <v>0</v>
      </c>
      <c r="FZ9" s="4"/>
      <c r="GA9" s="4"/>
      <c r="GC9" s="36"/>
      <c r="GF9" s="3" t="s">
        <v>1107</v>
      </c>
      <c r="GG9" s="4">
        <v>0</v>
      </c>
      <c r="GH9" s="4">
        <f>+GG4</f>
        <v>0</v>
      </c>
      <c r="GI9" s="4">
        <f t="shared" ref="GI9:GO9" si="275">+GH4-GG4</f>
        <v>0</v>
      </c>
      <c r="GJ9" s="4">
        <f t="shared" si="275"/>
        <v>0</v>
      </c>
      <c r="GK9" s="4">
        <f t="shared" si="275"/>
        <v>0</v>
      </c>
      <c r="GL9" s="4">
        <f t="shared" si="275"/>
        <v>0</v>
      </c>
      <c r="GM9" s="4">
        <f t="shared" si="275"/>
        <v>0</v>
      </c>
      <c r="GN9" s="4">
        <f t="shared" si="275"/>
        <v>0</v>
      </c>
      <c r="GO9" s="4">
        <f t="shared" si="275"/>
        <v>0</v>
      </c>
      <c r="GP9" s="4"/>
      <c r="GQ9" s="4"/>
      <c r="GR9" s="4"/>
      <c r="GS9" s="36"/>
      <c r="GT9" s="4"/>
      <c r="GV9" s="3" t="s">
        <v>1108</v>
      </c>
      <c r="GW9" s="4">
        <v>0</v>
      </c>
      <c r="GX9" s="4">
        <f>+GW4</f>
        <v>0</v>
      </c>
      <c r="GY9" s="4">
        <f t="shared" ref="GY9:HE9" si="276">+GX4-GW4</f>
        <v>0</v>
      </c>
      <c r="GZ9" s="4">
        <f t="shared" si="276"/>
        <v>0</v>
      </c>
      <c r="HA9" s="4">
        <f t="shared" si="276"/>
        <v>0</v>
      </c>
      <c r="HB9" s="4">
        <f t="shared" si="276"/>
        <v>0</v>
      </c>
      <c r="HC9" s="4">
        <f t="shared" si="276"/>
        <v>0</v>
      </c>
      <c r="HD9" s="4">
        <f t="shared" si="276"/>
        <v>0</v>
      </c>
      <c r="HE9" s="4">
        <f t="shared" si="276"/>
        <v>0</v>
      </c>
      <c r="HF9" s="4"/>
      <c r="HG9" s="4"/>
      <c r="HH9" s="4"/>
      <c r="HI9" s="36"/>
      <c r="HJ9" s="4"/>
      <c r="HK9" s="4"/>
      <c r="HL9" s="3" t="s">
        <v>1109</v>
      </c>
      <c r="HM9" s="4">
        <v>0</v>
      </c>
      <c r="HN9" s="4">
        <f>+HM4</f>
        <v>0</v>
      </c>
      <c r="HO9" s="4">
        <f t="shared" ref="HO9:HU9" si="277">+HN4-HM4</f>
        <v>0</v>
      </c>
      <c r="HP9" s="4">
        <f t="shared" si="277"/>
        <v>0</v>
      </c>
      <c r="HQ9" s="4">
        <f t="shared" si="277"/>
        <v>0</v>
      </c>
      <c r="HR9" s="4">
        <f t="shared" si="277"/>
        <v>0</v>
      </c>
      <c r="HS9" s="4">
        <f t="shared" si="277"/>
        <v>0</v>
      </c>
      <c r="HT9" s="4">
        <f t="shared" si="277"/>
        <v>0</v>
      </c>
      <c r="HU9" s="4">
        <f t="shared" si="277"/>
        <v>0</v>
      </c>
      <c r="HV9" s="4"/>
      <c r="HW9" s="4"/>
      <c r="HX9" s="4"/>
      <c r="HY9" s="36"/>
      <c r="HZ9" s="4"/>
      <c r="IA9" s="4"/>
      <c r="IB9" s="3" t="s">
        <v>1110</v>
      </c>
      <c r="IC9" s="4">
        <v>0</v>
      </c>
      <c r="ID9" s="4">
        <f>+IC4</f>
        <v>0</v>
      </c>
      <c r="IE9" s="4">
        <f t="shared" ref="IE9:IK9" si="278">+ID4-IC4</f>
        <v>0</v>
      </c>
      <c r="IF9" s="4">
        <f t="shared" si="278"/>
        <v>0</v>
      </c>
      <c r="IG9" s="4">
        <f t="shared" si="278"/>
        <v>0</v>
      </c>
      <c r="IH9" s="4">
        <f t="shared" si="278"/>
        <v>0</v>
      </c>
      <c r="II9" s="4">
        <f t="shared" si="278"/>
        <v>0</v>
      </c>
      <c r="IJ9" s="4">
        <f t="shared" si="278"/>
        <v>0</v>
      </c>
      <c r="IK9" s="4">
        <f t="shared" si="278"/>
        <v>0</v>
      </c>
      <c r="IL9" s="4"/>
      <c r="IM9" s="4"/>
      <c r="IN9" s="4"/>
      <c r="IO9" s="36"/>
      <c r="IP9" s="4"/>
      <c r="IR9" s="3" t="s">
        <v>1111</v>
      </c>
      <c r="IS9" s="4">
        <v>0</v>
      </c>
      <c r="IT9" s="4">
        <f>+IS4</f>
        <v>0</v>
      </c>
      <c r="IU9" s="4">
        <f t="shared" ref="IU9:JA9" si="279">+IT4-IS4</f>
        <v>0</v>
      </c>
      <c r="IV9" s="4">
        <f t="shared" si="279"/>
        <v>0</v>
      </c>
      <c r="IW9" s="4">
        <f t="shared" si="279"/>
        <v>0</v>
      </c>
      <c r="IX9" s="4">
        <f t="shared" si="279"/>
        <v>0</v>
      </c>
      <c r="IY9" s="4">
        <f t="shared" si="279"/>
        <v>0</v>
      </c>
      <c r="IZ9" s="4">
        <f t="shared" si="279"/>
        <v>0</v>
      </c>
      <c r="JA9" s="4">
        <f t="shared" si="279"/>
        <v>0</v>
      </c>
      <c r="JB9" s="4"/>
      <c r="JC9" s="4"/>
      <c r="JD9" s="4"/>
      <c r="JE9" s="36"/>
      <c r="JF9" s="4"/>
      <c r="JH9" s="3" t="s">
        <v>1112</v>
      </c>
      <c r="JI9" s="4">
        <v>0</v>
      </c>
      <c r="JJ9" s="4">
        <f>+JI4</f>
        <v>0</v>
      </c>
      <c r="JK9" s="4">
        <f t="shared" ref="JK9:JQ9" si="280">+JJ4-JI4</f>
        <v>0</v>
      </c>
      <c r="JL9" s="4">
        <f t="shared" si="280"/>
        <v>0</v>
      </c>
      <c r="JM9" s="4">
        <f t="shared" si="280"/>
        <v>0</v>
      </c>
      <c r="JN9" s="4">
        <f t="shared" si="280"/>
        <v>0</v>
      </c>
      <c r="JO9" s="4">
        <f t="shared" si="280"/>
        <v>0</v>
      </c>
      <c r="JP9" s="4">
        <f t="shared" si="280"/>
        <v>0</v>
      </c>
      <c r="JQ9" s="4">
        <f t="shared" si="280"/>
        <v>0</v>
      </c>
      <c r="JR9" s="4"/>
      <c r="JS9" s="4"/>
      <c r="JT9" s="4"/>
      <c r="JU9" s="36"/>
      <c r="JV9" s="4"/>
      <c r="JX9" s="3" t="s">
        <v>1113</v>
      </c>
      <c r="JY9" s="4">
        <v>0</v>
      </c>
      <c r="JZ9" s="4">
        <f>+JY4</f>
        <v>0</v>
      </c>
      <c r="KA9" s="4">
        <f t="shared" ref="KA9:KG9" si="281">+JZ4-JY4</f>
        <v>0</v>
      </c>
      <c r="KB9" s="4">
        <f t="shared" si="281"/>
        <v>0</v>
      </c>
      <c r="KC9" s="4">
        <f t="shared" si="281"/>
        <v>0</v>
      </c>
      <c r="KD9" s="4">
        <f t="shared" si="281"/>
        <v>0</v>
      </c>
      <c r="KE9" s="4">
        <f t="shared" si="281"/>
        <v>0</v>
      </c>
      <c r="KF9" s="4">
        <f t="shared" si="281"/>
        <v>0</v>
      </c>
      <c r="KG9" s="4">
        <f t="shared" si="281"/>
        <v>0</v>
      </c>
      <c r="KH9" s="4"/>
      <c r="KI9" s="4"/>
      <c r="KJ9" s="4"/>
      <c r="KK9" s="36"/>
      <c r="KL9" s="4"/>
      <c r="KN9" s="3" t="s">
        <v>1114</v>
      </c>
      <c r="KO9" s="4">
        <v>0</v>
      </c>
      <c r="KP9" s="4">
        <f>+KO4</f>
        <v>0</v>
      </c>
      <c r="KQ9" s="4">
        <f t="shared" ref="KQ9:KW9" si="282">+KP4-KO4</f>
        <v>0</v>
      </c>
      <c r="KR9" s="4">
        <f t="shared" si="282"/>
        <v>0</v>
      </c>
      <c r="KS9" s="4">
        <f t="shared" si="282"/>
        <v>0</v>
      </c>
      <c r="KT9" s="4">
        <f t="shared" si="282"/>
        <v>0</v>
      </c>
      <c r="KU9" s="4">
        <f t="shared" si="282"/>
        <v>0</v>
      </c>
      <c r="KV9" s="4">
        <f t="shared" si="282"/>
        <v>0</v>
      </c>
      <c r="KW9" s="4">
        <f t="shared" si="282"/>
        <v>0</v>
      </c>
      <c r="KX9" s="4"/>
      <c r="KY9" s="4"/>
      <c r="KZ9" s="4"/>
      <c r="LA9" s="36"/>
      <c r="LB9" s="4"/>
      <c r="LD9" s="3" t="s">
        <v>1115</v>
      </c>
      <c r="LE9" s="4">
        <v>0</v>
      </c>
      <c r="LF9" s="4">
        <f>+LE4</f>
        <v>0</v>
      </c>
      <c r="LG9" s="4">
        <f t="shared" ref="LG9:LM9" si="283">+LF4-LE4</f>
        <v>0</v>
      </c>
      <c r="LH9" s="4">
        <f t="shared" si="283"/>
        <v>0</v>
      </c>
      <c r="LI9" s="4">
        <f t="shared" si="283"/>
        <v>0</v>
      </c>
      <c r="LJ9" s="4">
        <f t="shared" si="283"/>
        <v>0</v>
      </c>
      <c r="LK9" s="4">
        <f t="shared" si="283"/>
        <v>0</v>
      </c>
      <c r="LL9" s="4">
        <f t="shared" si="283"/>
        <v>0</v>
      </c>
      <c r="LM9" s="4">
        <f t="shared" si="283"/>
        <v>0</v>
      </c>
      <c r="LN9" s="4"/>
      <c r="LO9" s="4"/>
      <c r="LP9" s="4"/>
      <c r="LQ9" s="36"/>
      <c r="LR9" s="4"/>
      <c r="LT9" s="3" t="s">
        <v>1116</v>
      </c>
      <c r="LU9" s="4">
        <v>0</v>
      </c>
      <c r="LV9" s="4">
        <f>+LU4</f>
        <v>0</v>
      </c>
      <c r="LW9" s="4">
        <f t="shared" ref="LW9:MC9" si="284">+LV4-LU4</f>
        <v>0</v>
      </c>
      <c r="LX9" s="4">
        <f t="shared" si="284"/>
        <v>0</v>
      </c>
      <c r="LY9" s="4">
        <f t="shared" si="284"/>
        <v>0</v>
      </c>
      <c r="LZ9" s="4">
        <f t="shared" si="284"/>
        <v>0</v>
      </c>
      <c r="MA9" s="4">
        <f t="shared" si="284"/>
        <v>0</v>
      </c>
      <c r="MB9" s="4">
        <f t="shared" si="284"/>
        <v>0</v>
      </c>
      <c r="MC9" s="4">
        <f t="shared" si="284"/>
        <v>0</v>
      </c>
      <c r="MD9" s="4"/>
      <c r="ME9" s="4"/>
      <c r="MF9" s="4"/>
      <c r="MG9" s="36"/>
      <c r="MH9" s="4"/>
      <c r="MJ9" s="3" t="s">
        <v>1117</v>
      </c>
      <c r="MK9" s="4">
        <v>0</v>
      </c>
      <c r="ML9" s="4">
        <f>+MK4</f>
        <v>0</v>
      </c>
      <c r="MM9" s="4">
        <f t="shared" ref="MM9:MS9" si="285">+ML4-MK4</f>
        <v>0</v>
      </c>
      <c r="MN9" s="4">
        <f t="shared" si="285"/>
        <v>0</v>
      </c>
      <c r="MO9" s="4">
        <f t="shared" si="285"/>
        <v>0</v>
      </c>
      <c r="MP9" s="4">
        <f t="shared" si="285"/>
        <v>0</v>
      </c>
      <c r="MQ9" s="4">
        <f t="shared" si="285"/>
        <v>0</v>
      </c>
      <c r="MR9" s="4">
        <f t="shared" si="285"/>
        <v>0</v>
      </c>
      <c r="MS9" s="4">
        <f t="shared" si="285"/>
        <v>0</v>
      </c>
      <c r="MT9" s="4"/>
      <c r="MU9" s="4"/>
      <c r="MV9" s="4"/>
      <c r="MW9" s="36"/>
      <c r="MX9" s="4"/>
      <c r="MZ9" s="3" t="s">
        <v>1118</v>
      </c>
      <c r="NA9" s="4">
        <v>0</v>
      </c>
      <c r="NB9" s="4">
        <f>+NA4</f>
        <v>0</v>
      </c>
      <c r="NC9" s="4">
        <f t="shared" ref="NC9:NI9" si="286">+NB4-NA4</f>
        <v>0</v>
      </c>
      <c r="ND9" s="4">
        <f t="shared" si="286"/>
        <v>0</v>
      </c>
      <c r="NE9" s="4">
        <f t="shared" si="286"/>
        <v>0</v>
      </c>
      <c r="NF9" s="4">
        <f t="shared" si="286"/>
        <v>0</v>
      </c>
      <c r="NG9" s="4">
        <f t="shared" si="286"/>
        <v>0</v>
      </c>
      <c r="NH9" s="4">
        <f t="shared" si="286"/>
        <v>0</v>
      </c>
      <c r="NI9" s="4">
        <f t="shared" si="286"/>
        <v>0</v>
      </c>
      <c r="NJ9" s="4"/>
      <c r="NK9" s="4"/>
      <c r="NL9" s="4"/>
      <c r="NM9" s="36"/>
      <c r="NN9" s="4"/>
      <c r="NP9" s="3" t="s">
        <v>1119</v>
      </c>
      <c r="NQ9" s="4">
        <v>0</v>
      </c>
      <c r="NR9" s="4">
        <f>+NQ4</f>
        <v>0</v>
      </c>
      <c r="NS9" s="4">
        <f t="shared" ref="NS9:NY9" si="287">+NR4-NQ4</f>
        <v>0</v>
      </c>
      <c r="NT9" s="4">
        <f t="shared" si="287"/>
        <v>0</v>
      </c>
      <c r="NU9" s="4">
        <f t="shared" si="287"/>
        <v>0</v>
      </c>
      <c r="NV9" s="4">
        <f t="shared" si="287"/>
        <v>0</v>
      </c>
      <c r="NW9" s="4">
        <f t="shared" si="287"/>
        <v>0</v>
      </c>
      <c r="NX9" s="4">
        <f t="shared" si="287"/>
        <v>0</v>
      </c>
      <c r="NY9" s="4">
        <f t="shared" si="287"/>
        <v>0</v>
      </c>
      <c r="NZ9" s="4"/>
      <c r="OA9" s="4"/>
      <c r="OB9" s="4"/>
      <c r="OC9" s="36"/>
      <c r="OD9" s="4"/>
      <c r="OF9" s="3" t="s">
        <v>1120</v>
      </c>
      <c r="OG9" s="4">
        <v>0</v>
      </c>
      <c r="OH9" s="4">
        <f>+OG4</f>
        <v>0</v>
      </c>
      <c r="OI9" s="4">
        <f t="shared" ref="OI9:OO9" si="288">+OH4-OG4</f>
        <v>0</v>
      </c>
      <c r="OJ9" s="4">
        <f t="shared" si="288"/>
        <v>0</v>
      </c>
      <c r="OK9" s="4">
        <f t="shared" si="288"/>
        <v>0</v>
      </c>
      <c r="OL9" s="4">
        <f t="shared" si="288"/>
        <v>0</v>
      </c>
      <c r="OM9" s="4">
        <f t="shared" si="288"/>
        <v>0</v>
      </c>
      <c r="ON9" s="4">
        <f t="shared" si="288"/>
        <v>0</v>
      </c>
      <c r="OO9" s="4">
        <f t="shared" si="288"/>
        <v>0</v>
      </c>
      <c r="OP9" s="4"/>
      <c r="OQ9" s="4"/>
      <c r="OS9" s="36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H9" s="3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V9" s="3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J9" s="3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X9" s="3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L9" s="3"/>
      <c r="RM9" s="4"/>
      <c r="RN9" s="4"/>
      <c r="RO9" s="4"/>
      <c r="RP9" s="4"/>
      <c r="RQ9" s="4"/>
      <c r="RR9" s="4"/>
      <c r="RS9" s="4"/>
      <c r="RT9" s="4"/>
      <c r="RU9" s="4"/>
      <c r="RZ9" s="3"/>
      <c r="SA9" s="4"/>
      <c r="SB9" s="4"/>
      <c r="SC9" s="4"/>
      <c r="SD9" s="4"/>
      <c r="SE9" s="4"/>
      <c r="SF9" s="4"/>
      <c r="SG9" s="4"/>
      <c r="SH9" s="4"/>
      <c r="SI9" s="4"/>
      <c r="SN9" s="3"/>
      <c r="SO9" s="4"/>
      <c r="SP9" s="4"/>
      <c r="SQ9" s="4"/>
      <c r="SR9" s="4"/>
      <c r="SS9" s="4"/>
      <c r="ST9" s="4"/>
      <c r="SU9" s="4"/>
      <c r="SV9" s="4"/>
      <c r="SW9" s="4"/>
    </row>
    <row r="10" spans="1:517" x14ac:dyDescent="0.2">
      <c r="A10" s="3" t="s">
        <v>1121</v>
      </c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P10" s="3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H10" s="3" t="s">
        <v>1122</v>
      </c>
      <c r="BI10" s="4">
        <v>0</v>
      </c>
      <c r="BJ10" s="4">
        <f>BI9</f>
        <v>0</v>
      </c>
      <c r="BK10" s="4">
        <f t="shared" ref="BK10:BQ10" si="289">BJ9</f>
        <v>0</v>
      </c>
      <c r="BL10" s="4">
        <f t="shared" si="289"/>
        <v>0</v>
      </c>
      <c r="BM10" s="4">
        <f t="shared" si="289"/>
        <v>0</v>
      </c>
      <c r="BN10" s="4">
        <f t="shared" si="289"/>
        <v>0</v>
      </c>
      <c r="BO10" s="4">
        <f t="shared" si="289"/>
        <v>0</v>
      </c>
      <c r="BP10" s="4">
        <f t="shared" si="289"/>
        <v>0</v>
      </c>
      <c r="BQ10" s="4">
        <f t="shared" si="289"/>
        <v>0</v>
      </c>
      <c r="BR10" s="4"/>
      <c r="BS10" s="4"/>
      <c r="BU10" s="36"/>
      <c r="BX10" s="3" t="s">
        <v>1123</v>
      </c>
      <c r="BY10" s="4">
        <v>0</v>
      </c>
      <c r="BZ10" s="4">
        <f>BY9</f>
        <v>0</v>
      </c>
      <c r="CA10" s="4">
        <f t="shared" ref="CA10:CG10" si="290">BZ9</f>
        <v>0</v>
      </c>
      <c r="CB10" s="4">
        <f t="shared" si="290"/>
        <v>0</v>
      </c>
      <c r="CC10" s="4">
        <f t="shared" si="290"/>
        <v>0</v>
      </c>
      <c r="CD10" s="4">
        <f t="shared" si="290"/>
        <v>0</v>
      </c>
      <c r="CE10" s="4">
        <f t="shared" si="290"/>
        <v>0</v>
      </c>
      <c r="CF10" s="4">
        <f t="shared" si="290"/>
        <v>0</v>
      </c>
      <c r="CG10" s="4">
        <f t="shared" si="290"/>
        <v>0</v>
      </c>
      <c r="CH10" s="4"/>
      <c r="CI10" s="4"/>
      <c r="CK10" s="36"/>
      <c r="CN10" s="3" t="s">
        <v>1124</v>
      </c>
      <c r="CO10" s="4">
        <v>0</v>
      </c>
      <c r="CP10" s="4">
        <f>CO9</f>
        <v>0</v>
      </c>
      <c r="CQ10" s="4">
        <f t="shared" ref="CQ10:CW10" si="291">CP9</f>
        <v>0</v>
      </c>
      <c r="CR10" s="4">
        <f t="shared" si="291"/>
        <v>0</v>
      </c>
      <c r="CS10" s="4">
        <f t="shared" si="291"/>
        <v>0</v>
      </c>
      <c r="CT10" s="4">
        <f t="shared" si="291"/>
        <v>0</v>
      </c>
      <c r="CU10" s="4">
        <f t="shared" si="291"/>
        <v>0</v>
      </c>
      <c r="CV10" s="4">
        <f t="shared" si="291"/>
        <v>0</v>
      </c>
      <c r="CW10" s="4">
        <f t="shared" si="291"/>
        <v>0</v>
      </c>
      <c r="CX10" s="4"/>
      <c r="CY10" s="4"/>
      <c r="DA10" s="36"/>
      <c r="DD10" s="3" t="s">
        <v>1125</v>
      </c>
      <c r="DE10" s="4">
        <v>0</v>
      </c>
      <c r="DF10" s="4">
        <f>DE9</f>
        <v>0</v>
      </c>
      <c r="DG10" s="4">
        <f t="shared" ref="DG10:DM10" si="292">DF9</f>
        <v>0</v>
      </c>
      <c r="DH10" s="4">
        <f t="shared" si="292"/>
        <v>0</v>
      </c>
      <c r="DI10" s="4">
        <f t="shared" si="292"/>
        <v>0</v>
      </c>
      <c r="DJ10" s="4">
        <f t="shared" si="292"/>
        <v>0</v>
      </c>
      <c r="DK10" s="4">
        <f t="shared" si="292"/>
        <v>0</v>
      </c>
      <c r="DL10" s="4">
        <f t="shared" si="292"/>
        <v>0</v>
      </c>
      <c r="DM10" s="4">
        <f t="shared" si="292"/>
        <v>0</v>
      </c>
      <c r="DN10" s="4"/>
      <c r="DO10" s="4"/>
      <c r="DQ10" s="36"/>
      <c r="DT10" s="3" t="s">
        <v>1126</v>
      </c>
      <c r="DU10" s="4">
        <v>0</v>
      </c>
      <c r="DV10" s="4">
        <f>DU9</f>
        <v>0</v>
      </c>
      <c r="DW10" s="4">
        <f t="shared" ref="DW10:EC10" si="293">DV9</f>
        <v>0</v>
      </c>
      <c r="DX10" s="4">
        <f t="shared" si="293"/>
        <v>0</v>
      </c>
      <c r="DY10" s="4">
        <f t="shared" si="293"/>
        <v>0</v>
      </c>
      <c r="DZ10" s="4">
        <f t="shared" si="293"/>
        <v>0</v>
      </c>
      <c r="EA10" s="4">
        <f t="shared" si="293"/>
        <v>0</v>
      </c>
      <c r="EB10" s="4">
        <f t="shared" si="293"/>
        <v>0</v>
      </c>
      <c r="EC10" s="4">
        <f t="shared" si="293"/>
        <v>0</v>
      </c>
      <c r="ED10" s="4"/>
      <c r="EE10" s="4"/>
      <c r="EG10" s="36"/>
      <c r="EJ10" s="3" t="s">
        <v>1127</v>
      </c>
      <c r="EK10" s="4">
        <v>0</v>
      </c>
      <c r="EL10" s="4">
        <f>EK9</f>
        <v>0</v>
      </c>
      <c r="EM10" s="4">
        <f t="shared" ref="EM10:ES10" si="294">EL9</f>
        <v>0</v>
      </c>
      <c r="EN10" s="4">
        <f t="shared" si="294"/>
        <v>0</v>
      </c>
      <c r="EO10" s="4">
        <f t="shared" si="294"/>
        <v>0</v>
      </c>
      <c r="EP10" s="4">
        <f t="shared" si="294"/>
        <v>0</v>
      </c>
      <c r="EQ10" s="4">
        <f t="shared" si="294"/>
        <v>0</v>
      </c>
      <c r="ER10" s="4">
        <f t="shared" si="294"/>
        <v>0</v>
      </c>
      <c r="ES10" s="4">
        <f t="shared" si="294"/>
        <v>0</v>
      </c>
      <c r="ET10" s="4"/>
      <c r="EU10" s="4"/>
      <c r="EW10" s="36"/>
      <c r="EZ10" s="3" t="s">
        <v>1128</v>
      </c>
      <c r="FA10" s="4">
        <v>0</v>
      </c>
      <c r="FB10" s="4">
        <f>FA9</f>
        <v>0</v>
      </c>
      <c r="FC10" s="4">
        <f t="shared" ref="FC10:FI10" si="295">FB9</f>
        <v>0</v>
      </c>
      <c r="FD10" s="4">
        <f t="shared" si="295"/>
        <v>0</v>
      </c>
      <c r="FE10" s="4">
        <f t="shared" si="295"/>
        <v>0</v>
      </c>
      <c r="FF10" s="4">
        <f t="shared" si="295"/>
        <v>0</v>
      </c>
      <c r="FG10" s="4">
        <f t="shared" si="295"/>
        <v>0</v>
      </c>
      <c r="FH10" s="4">
        <f t="shared" si="295"/>
        <v>0</v>
      </c>
      <c r="FI10" s="4">
        <f t="shared" si="295"/>
        <v>0</v>
      </c>
      <c r="FJ10" s="4"/>
      <c r="FK10" s="4"/>
      <c r="FM10" s="36"/>
      <c r="FP10" s="3" t="s">
        <v>1129</v>
      </c>
      <c r="FQ10" s="4">
        <v>0</v>
      </c>
      <c r="FR10" s="4">
        <f>FQ9</f>
        <v>0</v>
      </c>
      <c r="FS10" s="4">
        <f t="shared" ref="FS10:FY10" si="296">FR9</f>
        <v>0</v>
      </c>
      <c r="FT10" s="4">
        <f t="shared" si="296"/>
        <v>0</v>
      </c>
      <c r="FU10" s="4">
        <f t="shared" si="296"/>
        <v>0</v>
      </c>
      <c r="FV10" s="4">
        <f t="shared" si="296"/>
        <v>0</v>
      </c>
      <c r="FW10" s="4">
        <f t="shared" si="296"/>
        <v>0</v>
      </c>
      <c r="FX10" s="4">
        <f t="shared" si="296"/>
        <v>0</v>
      </c>
      <c r="FY10" s="4">
        <f t="shared" si="296"/>
        <v>0</v>
      </c>
      <c r="FZ10" s="4"/>
      <c r="GA10" s="4"/>
      <c r="GC10" s="36"/>
      <c r="GF10" s="3" t="s">
        <v>1130</v>
      </c>
      <c r="GG10" s="4">
        <v>0</v>
      </c>
      <c r="GH10" s="4">
        <f>GG9</f>
        <v>0</v>
      </c>
      <c r="GI10" s="4">
        <f t="shared" ref="GI10:GO10" si="297">GH9</f>
        <v>0</v>
      </c>
      <c r="GJ10" s="4">
        <f t="shared" si="297"/>
        <v>0</v>
      </c>
      <c r="GK10" s="4">
        <f t="shared" si="297"/>
        <v>0</v>
      </c>
      <c r="GL10" s="4">
        <f t="shared" si="297"/>
        <v>0</v>
      </c>
      <c r="GM10" s="4">
        <f t="shared" si="297"/>
        <v>0</v>
      </c>
      <c r="GN10" s="4">
        <f t="shared" si="297"/>
        <v>0</v>
      </c>
      <c r="GO10" s="4">
        <f t="shared" si="297"/>
        <v>0</v>
      </c>
      <c r="GP10" s="4"/>
      <c r="GQ10" s="4"/>
      <c r="GR10" s="4"/>
      <c r="GS10" s="36"/>
      <c r="GT10" s="4"/>
      <c r="GV10" s="3" t="s">
        <v>1131</v>
      </c>
      <c r="GW10" s="4">
        <v>0</v>
      </c>
      <c r="GX10" s="4">
        <f>GW9</f>
        <v>0</v>
      </c>
      <c r="GY10" s="4">
        <f t="shared" ref="GY10:HE10" si="298">GX9</f>
        <v>0</v>
      </c>
      <c r="GZ10" s="4">
        <f t="shared" si="298"/>
        <v>0</v>
      </c>
      <c r="HA10" s="4">
        <f t="shared" si="298"/>
        <v>0</v>
      </c>
      <c r="HB10" s="4">
        <f t="shared" si="298"/>
        <v>0</v>
      </c>
      <c r="HC10" s="4">
        <f t="shared" si="298"/>
        <v>0</v>
      </c>
      <c r="HD10" s="4">
        <f t="shared" si="298"/>
        <v>0</v>
      </c>
      <c r="HE10" s="4">
        <f t="shared" si="298"/>
        <v>0</v>
      </c>
      <c r="HF10" s="4"/>
      <c r="HG10" s="4"/>
      <c r="HH10" s="4"/>
      <c r="HI10" s="36"/>
      <c r="HJ10" s="4"/>
      <c r="HK10" s="4"/>
      <c r="HL10" s="3" t="s">
        <v>1132</v>
      </c>
      <c r="HM10" s="4">
        <v>0</v>
      </c>
      <c r="HN10" s="4">
        <f>HM9</f>
        <v>0</v>
      </c>
      <c r="HO10" s="4">
        <f t="shared" ref="HO10:HU10" si="299">HN9</f>
        <v>0</v>
      </c>
      <c r="HP10" s="4">
        <f t="shared" si="299"/>
        <v>0</v>
      </c>
      <c r="HQ10" s="4">
        <f t="shared" si="299"/>
        <v>0</v>
      </c>
      <c r="HR10" s="4">
        <f t="shared" si="299"/>
        <v>0</v>
      </c>
      <c r="HS10" s="4">
        <f t="shared" si="299"/>
        <v>0</v>
      </c>
      <c r="HT10" s="4">
        <f t="shared" si="299"/>
        <v>0</v>
      </c>
      <c r="HU10" s="4">
        <f t="shared" si="299"/>
        <v>0</v>
      </c>
      <c r="HV10" s="4"/>
      <c r="HW10" s="4"/>
      <c r="HX10" s="4"/>
      <c r="HY10" s="36"/>
      <c r="HZ10" s="4"/>
      <c r="IA10" s="4"/>
      <c r="IB10" s="3" t="s">
        <v>1133</v>
      </c>
      <c r="IC10" s="4">
        <v>0</v>
      </c>
      <c r="ID10" s="4">
        <f>IC9</f>
        <v>0</v>
      </c>
      <c r="IE10" s="4">
        <f t="shared" ref="IE10:IK10" si="300">ID9</f>
        <v>0</v>
      </c>
      <c r="IF10" s="4">
        <f t="shared" si="300"/>
        <v>0</v>
      </c>
      <c r="IG10" s="4">
        <f t="shared" si="300"/>
        <v>0</v>
      </c>
      <c r="IH10" s="4">
        <f t="shared" si="300"/>
        <v>0</v>
      </c>
      <c r="II10" s="4">
        <f t="shared" si="300"/>
        <v>0</v>
      </c>
      <c r="IJ10" s="4">
        <f t="shared" si="300"/>
        <v>0</v>
      </c>
      <c r="IK10" s="4">
        <f t="shared" si="300"/>
        <v>0</v>
      </c>
      <c r="IL10" s="4"/>
      <c r="IM10" s="4"/>
      <c r="IN10" s="4"/>
      <c r="IO10" s="36"/>
      <c r="IP10" s="4"/>
      <c r="IR10" s="3" t="s">
        <v>1134</v>
      </c>
      <c r="IS10" s="4">
        <v>0</v>
      </c>
      <c r="IT10" s="4">
        <f>IS9</f>
        <v>0</v>
      </c>
      <c r="IU10" s="4">
        <f t="shared" ref="IU10:JA10" si="301">IT9</f>
        <v>0</v>
      </c>
      <c r="IV10" s="4">
        <f t="shared" si="301"/>
        <v>0</v>
      </c>
      <c r="IW10" s="4">
        <f t="shared" si="301"/>
        <v>0</v>
      </c>
      <c r="IX10" s="4">
        <f t="shared" si="301"/>
        <v>0</v>
      </c>
      <c r="IY10" s="4">
        <f t="shared" si="301"/>
        <v>0</v>
      </c>
      <c r="IZ10" s="4">
        <f t="shared" si="301"/>
        <v>0</v>
      </c>
      <c r="JA10" s="4">
        <f t="shared" si="301"/>
        <v>0</v>
      </c>
      <c r="JB10" s="4"/>
      <c r="JC10" s="4"/>
      <c r="JD10" s="4"/>
      <c r="JE10" s="36"/>
      <c r="JF10" s="4"/>
      <c r="JH10" s="3" t="s">
        <v>1135</v>
      </c>
      <c r="JI10" s="4">
        <v>0</v>
      </c>
      <c r="JJ10" s="4">
        <f>JI9</f>
        <v>0</v>
      </c>
      <c r="JK10" s="4">
        <f t="shared" ref="JK10:JQ10" si="302">JJ9</f>
        <v>0</v>
      </c>
      <c r="JL10" s="4">
        <f t="shared" si="302"/>
        <v>0</v>
      </c>
      <c r="JM10" s="4">
        <f t="shared" si="302"/>
        <v>0</v>
      </c>
      <c r="JN10" s="4">
        <f t="shared" si="302"/>
        <v>0</v>
      </c>
      <c r="JO10" s="4">
        <f t="shared" si="302"/>
        <v>0</v>
      </c>
      <c r="JP10" s="4">
        <f t="shared" si="302"/>
        <v>0</v>
      </c>
      <c r="JQ10" s="4">
        <f t="shared" si="302"/>
        <v>0</v>
      </c>
      <c r="JR10" s="4"/>
      <c r="JS10" s="4"/>
      <c r="JT10" s="4"/>
      <c r="JU10" s="36"/>
      <c r="JV10" s="4"/>
      <c r="JX10" s="3" t="s">
        <v>1136</v>
      </c>
      <c r="JY10" s="4">
        <v>0</v>
      </c>
      <c r="JZ10" s="4">
        <f>JY9</f>
        <v>0</v>
      </c>
      <c r="KA10" s="4">
        <f t="shared" ref="KA10:KG10" si="303">JZ9</f>
        <v>0</v>
      </c>
      <c r="KB10" s="4">
        <f t="shared" si="303"/>
        <v>0</v>
      </c>
      <c r="KC10" s="4">
        <f t="shared" si="303"/>
        <v>0</v>
      </c>
      <c r="KD10" s="4">
        <f t="shared" si="303"/>
        <v>0</v>
      </c>
      <c r="KE10" s="4">
        <f t="shared" si="303"/>
        <v>0</v>
      </c>
      <c r="KF10" s="4">
        <f t="shared" si="303"/>
        <v>0</v>
      </c>
      <c r="KG10" s="4">
        <f t="shared" si="303"/>
        <v>0</v>
      </c>
      <c r="KH10" s="4"/>
      <c r="KI10" s="4"/>
      <c r="KJ10" s="4"/>
      <c r="KK10" s="36"/>
      <c r="KL10" s="4"/>
      <c r="KN10" s="3" t="s">
        <v>1137</v>
      </c>
      <c r="KO10" s="4">
        <v>0</v>
      </c>
      <c r="KP10" s="4">
        <f>KO9</f>
        <v>0</v>
      </c>
      <c r="KQ10" s="4">
        <f t="shared" ref="KQ10:KW10" si="304">KP9</f>
        <v>0</v>
      </c>
      <c r="KR10" s="4">
        <f t="shared" si="304"/>
        <v>0</v>
      </c>
      <c r="KS10" s="4">
        <f t="shared" si="304"/>
        <v>0</v>
      </c>
      <c r="KT10" s="4">
        <f t="shared" si="304"/>
        <v>0</v>
      </c>
      <c r="KU10" s="4">
        <f t="shared" si="304"/>
        <v>0</v>
      </c>
      <c r="KV10" s="4">
        <f t="shared" si="304"/>
        <v>0</v>
      </c>
      <c r="KW10" s="4">
        <f t="shared" si="304"/>
        <v>0</v>
      </c>
      <c r="KX10" s="4"/>
      <c r="KY10" s="4"/>
      <c r="KZ10" s="4"/>
      <c r="LA10" s="36"/>
      <c r="LB10" s="4"/>
      <c r="LD10" s="3" t="s">
        <v>1138</v>
      </c>
      <c r="LE10" s="4">
        <v>0</v>
      </c>
      <c r="LF10" s="4">
        <f>LE9</f>
        <v>0</v>
      </c>
      <c r="LG10" s="4">
        <f t="shared" ref="LG10:LM10" si="305">LF9</f>
        <v>0</v>
      </c>
      <c r="LH10" s="4">
        <f t="shared" si="305"/>
        <v>0</v>
      </c>
      <c r="LI10" s="4">
        <f t="shared" si="305"/>
        <v>0</v>
      </c>
      <c r="LJ10" s="4">
        <f t="shared" si="305"/>
        <v>0</v>
      </c>
      <c r="LK10" s="4">
        <f t="shared" si="305"/>
        <v>0</v>
      </c>
      <c r="LL10" s="4">
        <f t="shared" si="305"/>
        <v>0</v>
      </c>
      <c r="LM10" s="4">
        <f t="shared" si="305"/>
        <v>0</v>
      </c>
      <c r="LN10" s="4"/>
      <c r="LO10" s="4"/>
      <c r="LP10" s="4"/>
      <c r="LQ10" s="36"/>
      <c r="LR10" s="4"/>
      <c r="LT10" s="3" t="s">
        <v>1139</v>
      </c>
      <c r="LU10" s="4">
        <v>0</v>
      </c>
      <c r="LV10" s="4">
        <f>LU9</f>
        <v>0</v>
      </c>
      <c r="LW10" s="4">
        <f t="shared" ref="LW10:MC10" si="306">LV9</f>
        <v>0</v>
      </c>
      <c r="LX10" s="4">
        <f t="shared" si="306"/>
        <v>0</v>
      </c>
      <c r="LY10" s="4">
        <f t="shared" si="306"/>
        <v>0</v>
      </c>
      <c r="LZ10" s="4">
        <f t="shared" si="306"/>
        <v>0</v>
      </c>
      <c r="MA10" s="4">
        <f t="shared" si="306"/>
        <v>0</v>
      </c>
      <c r="MB10" s="4">
        <f t="shared" si="306"/>
        <v>0</v>
      </c>
      <c r="MC10" s="4">
        <f t="shared" si="306"/>
        <v>0</v>
      </c>
      <c r="MD10" s="4"/>
      <c r="ME10" s="4"/>
      <c r="MF10" s="4"/>
      <c r="MG10" s="36"/>
      <c r="MH10" s="4"/>
      <c r="MJ10" s="3" t="s">
        <v>1140</v>
      </c>
      <c r="MK10" s="4">
        <v>0</v>
      </c>
      <c r="ML10" s="4">
        <f>MK9</f>
        <v>0</v>
      </c>
      <c r="MM10" s="4">
        <f t="shared" ref="MM10:MS10" si="307">ML9</f>
        <v>0</v>
      </c>
      <c r="MN10" s="4">
        <f t="shared" si="307"/>
        <v>0</v>
      </c>
      <c r="MO10" s="4">
        <f t="shared" si="307"/>
        <v>0</v>
      </c>
      <c r="MP10" s="4">
        <f t="shared" si="307"/>
        <v>0</v>
      </c>
      <c r="MQ10" s="4">
        <f t="shared" si="307"/>
        <v>0</v>
      </c>
      <c r="MR10" s="4">
        <f t="shared" si="307"/>
        <v>0</v>
      </c>
      <c r="MS10" s="4">
        <f t="shared" si="307"/>
        <v>0</v>
      </c>
      <c r="MT10" s="4"/>
      <c r="MU10" s="4"/>
      <c r="MV10" s="4"/>
      <c r="MW10" s="36"/>
      <c r="MX10" s="4"/>
      <c r="MZ10" s="3" t="s">
        <v>1141</v>
      </c>
      <c r="NA10" s="4">
        <v>0</v>
      </c>
      <c r="NB10" s="4">
        <f>NA9</f>
        <v>0</v>
      </c>
      <c r="NC10" s="4">
        <f t="shared" ref="NC10:NI10" si="308">NB9</f>
        <v>0</v>
      </c>
      <c r="ND10" s="4">
        <f t="shared" si="308"/>
        <v>0</v>
      </c>
      <c r="NE10" s="4">
        <f t="shared" si="308"/>
        <v>0</v>
      </c>
      <c r="NF10" s="4">
        <f t="shared" si="308"/>
        <v>0</v>
      </c>
      <c r="NG10" s="4">
        <f t="shared" si="308"/>
        <v>0</v>
      </c>
      <c r="NH10" s="4">
        <f t="shared" si="308"/>
        <v>0</v>
      </c>
      <c r="NI10" s="4">
        <f t="shared" si="308"/>
        <v>0</v>
      </c>
      <c r="NJ10" s="4"/>
      <c r="NK10" s="4"/>
      <c r="NL10" s="4"/>
      <c r="NM10" s="36"/>
      <c r="NN10" s="4"/>
      <c r="NP10" s="3" t="s">
        <v>1142</v>
      </c>
      <c r="NQ10" s="4">
        <v>0</v>
      </c>
      <c r="NR10" s="4">
        <f>NQ9</f>
        <v>0</v>
      </c>
      <c r="NS10" s="4">
        <f t="shared" ref="NS10:NY10" si="309">NR9</f>
        <v>0</v>
      </c>
      <c r="NT10" s="4">
        <f t="shared" si="309"/>
        <v>0</v>
      </c>
      <c r="NU10" s="4">
        <f t="shared" si="309"/>
        <v>0</v>
      </c>
      <c r="NV10" s="4">
        <f t="shared" si="309"/>
        <v>0</v>
      </c>
      <c r="NW10" s="4">
        <f t="shared" si="309"/>
        <v>0</v>
      </c>
      <c r="NX10" s="4">
        <f t="shared" si="309"/>
        <v>0</v>
      </c>
      <c r="NY10" s="4">
        <f t="shared" si="309"/>
        <v>0</v>
      </c>
      <c r="NZ10" s="4"/>
      <c r="OA10" s="4"/>
      <c r="OB10" s="4"/>
      <c r="OC10" s="36"/>
      <c r="OD10" s="4"/>
      <c r="OF10" s="3" t="s">
        <v>1143</v>
      </c>
      <c r="OG10" s="4">
        <v>0</v>
      </c>
      <c r="OH10" s="4">
        <f>OG9</f>
        <v>0</v>
      </c>
      <c r="OI10" s="4">
        <f t="shared" ref="OI10:OO10" si="310">OH9</f>
        <v>0</v>
      </c>
      <c r="OJ10" s="4">
        <f t="shared" si="310"/>
        <v>0</v>
      </c>
      <c r="OK10" s="4">
        <f t="shared" si="310"/>
        <v>0</v>
      </c>
      <c r="OL10" s="4">
        <f t="shared" si="310"/>
        <v>0</v>
      </c>
      <c r="OM10" s="4">
        <f t="shared" si="310"/>
        <v>0</v>
      </c>
      <c r="ON10" s="4">
        <f t="shared" si="310"/>
        <v>0</v>
      </c>
      <c r="OO10" s="4">
        <f t="shared" si="310"/>
        <v>0</v>
      </c>
      <c r="OP10" s="4"/>
      <c r="OQ10" s="4"/>
      <c r="OS10" s="36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H10" s="3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V10" s="3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J10" s="3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X10" s="3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L10" s="3"/>
      <c r="RM10" s="4"/>
      <c r="RN10" s="4"/>
      <c r="RO10" s="4"/>
      <c r="RP10" s="4"/>
      <c r="RQ10" s="4"/>
      <c r="RR10" s="4"/>
      <c r="RS10" s="4"/>
      <c r="RT10" s="4"/>
      <c r="RU10" s="4"/>
      <c r="RZ10" s="3"/>
      <c r="SA10" s="4"/>
      <c r="SB10" s="4"/>
      <c r="SC10" s="4"/>
      <c r="SD10" s="4"/>
      <c r="SE10" s="4"/>
      <c r="SF10" s="4"/>
      <c r="SG10" s="4"/>
      <c r="SH10" s="4"/>
      <c r="SI10" s="4"/>
      <c r="SN10" s="3"/>
      <c r="SO10" s="4"/>
      <c r="SP10" s="4"/>
      <c r="SQ10" s="4"/>
      <c r="SR10" s="4"/>
      <c r="SS10" s="4"/>
      <c r="ST10" s="4"/>
      <c r="SU10" s="4"/>
      <c r="SV10" s="4"/>
      <c r="SW10" s="4"/>
    </row>
    <row r="11" spans="1:517" x14ac:dyDescent="0.2">
      <c r="A11" s="3" t="s">
        <v>1548</v>
      </c>
      <c r="X11" s="3"/>
      <c r="Y11" s="6"/>
      <c r="Z11" s="6"/>
      <c r="AA11" s="6"/>
      <c r="AB11" s="6"/>
      <c r="AC11" s="6"/>
      <c r="AD11" s="6"/>
      <c r="AE11" s="6"/>
      <c r="AF11" s="6"/>
      <c r="AG11" s="6"/>
      <c r="AP11" s="3"/>
      <c r="AQ11" s="6"/>
      <c r="AR11" s="6"/>
      <c r="AS11" s="6"/>
      <c r="AT11" s="6"/>
      <c r="AU11" s="6"/>
      <c r="AV11" s="6"/>
      <c r="AW11" s="6"/>
      <c r="AX11" s="6"/>
      <c r="AY11" s="6"/>
      <c r="BH11" s="3" t="s">
        <v>1144</v>
      </c>
      <c r="BI11" s="6">
        <f>IF(BI18=1,MAX((BI4-BI6)*BI12,0),MAX((BI4-BI6),0))</f>
        <v>0</v>
      </c>
      <c r="BJ11" s="6">
        <f>IF(BI18=1,MAX((BJ4-BJ6)*BI12,0),MAX((BJ4-BJ6),0))</f>
        <v>0</v>
      </c>
      <c r="BK11" s="6">
        <f>IF(BI18=1,MAX((BK4-BK6)*BI12,0),MAX((BK4-BK6),0))</f>
        <v>0</v>
      </c>
      <c r="BL11" s="6">
        <f>IF(BI18=1,MAX((BL4-BL6)*BI12,0),MAX((BL4-BL6),0))</f>
        <v>0</v>
      </c>
      <c r="BM11" s="6">
        <f>IF(BI18=1,MAX((BM4-BM6)*BI12,0),MAX((BM4-BM6),0))</f>
        <v>0</v>
      </c>
      <c r="BN11" s="6">
        <f>IF(BI18=1,MAX((BN4-BN6)*BI12,0),MAX((BN4-BN6),0))</f>
        <v>0</v>
      </c>
      <c r="BO11" s="6">
        <f>IF(BI18=1,MAX((BO4-BO6)*BI12,0),MAX((BO4-BO6),0))</f>
        <v>0</v>
      </c>
      <c r="BP11" s="6">
        <f>IF(BI18=1,MAX((BP4-BP6)*BI12,0),MAX((BP4-BP6),0))</f>
        <v>0</v>
      </c>
      <c r="BQ11" s="6">
        <f>IF(BI18=1,MAX((BQ4-BQ6)*BI12,0),MAX((BQ4-BQ6),0))</f>
        <v>0</v>
      </c>
      <c r="BU11" s="9"/>
      <c r="BX11" s="3" t="s">
        <v>1145</v>
      </c>
      <c r="BY11" s="6">
        <f>IF(BY18=1,MAX((BY4-BY6)*BY12,0),MAX((BY4-BY6),0))</f>
        <v>0</v>
      </c>
      <c r="BZ11" s="6">
        <f>IF(BY18=1,MAX((BZ4-BZ6)*BY12,0),MAX((BZ4-BZ6),0))</f>
        <v>0</v>
      </c>
      <c r="CA11" s="6">
        <f>IF(BY18=1,MAX((CA4-CA6)*BY12,0),MAX((CA4-CA6),0))</f>
        <v>0</v>
      </c>
      <c r="CB11" s="6">
        <f>IF(BY18=1,MAX((CB4-CB6)*BY12,0),MAX((CB4-CB6),0))</f>
        <v>0</v>
      </c>
      <c r="CC11" s="6">
        <f>IF(BY18=1,MAX((CC4-CC6)*BY12,0),MAX((CC4-CC6),0))</f>
        <v>0</v>
      </c>
      <c r="CD11" s="6">
        <f>IF(BY18=1,MAX((CD4-CD6)*BY12,0),MAX((CD4-CD6),0))</f>
        <v>0</v>
      </c>
      <c r="CE11" s="6">
        <f>IF(BY18=1,MAX((CE4-CE6)*BY12,0),MAX((CE4-CE6),0))</f>
        <v>0</v>
      </c>
      <c r="CF11" s="6">
        <f>IF(BY18=1,MAX((CF4-CF6)*BY12,0),MAX((CF4-CF6),0))</f>
        <v>0</v>
      </c>
      <c r="CG11" s="6">
        <f>IF(BY18=1,MAX((CG4-CG6)*BY12,0),MAX((CG4-CG6),0))</f>
        <v>0</v>
      </c>
      <c r="CK11" s="9"/>
      <c r="CN11" s="3" t="s">
        <v>1146</v>
      </c>
      <c r="CO11" s="6">
        <f>IF(CO18=1,MAX((CO4-CO6)*CO12,0),MAX((CO4-CO6),0))</f>
        <v>0</v>
      </c>
      <c r="CP11" s="6">
        <f>IF(CO18=1,MAX((CP4-CP6)*CO12,0),MAX((CP4-CP6),0))</f>
        <v>0</v>
      </c>
      <c r="CQ11" s="6">
        <f>IF(CO18=1,MAX((CQ4-CQ6)*CO12,0),MAX((CQ4-CQ6),0))</f>
        <v>0</v>
      </c>
      <c r="CR11" s="6">
        <f>IF(CO18=1,MAX((CR4-CR6)*CO12,0),MAX((CR4-CR6),0))</f>
        <v>0</v>
      </c>
      <c r="CS11" s="6">
        <f>IF(CO18=1,MAX((CS4-CS6)*CO12,0),MAX((CS4-CS6),0))</f>
        <v>0</v>
      </c>
      <c r="CT11" s="6">
        <f>IF(CO18=1,MAX((CT4-CT6)*CO12,0),MAX((CT4-CT6),0))</f>
        <v>0</v>
      </c>
      <c r="CU11" s="6">
        <f>IF(CO18=1,MAX((CU4-CU6)*CO12,0),MAX((CU4-CU6),0))</f>
        <v>0</v>
      </c>
      <c r="CV11" s="6">
        <f>IF(CO18=1,MAX((CV4-CV6)*CO12,0),MAX((CV4-CV6),0))</f>
        <v>0</v>
      </c>
      <c r="CW11" s="6">
        <f>IF(CO18=1,MAX((CW4-CW6)*CO12,0),MAX((CW4-CW6),0))</f>
        <v>0</v>
      </c>
      <c r="DA11" s="9"/>
      <c r="DD11" s="3" t="s">
        <v>1147</v>
      </c>
      <c r="DE11" s="6">
        <f>IF(DE18=1,MAX((DE4-DE6)*DE12,0),MAX((DE4-DE6),0))</f>
        <v>0</v>
      </c>
      <c r="DF11" s="6">
        <f>IF(DE18=1,MAX((DF4-DF6)*DE12,0),MAX((DF4-DF6),0))</f>
        <v>0</v>
      </c>
      <c r="DG11" s="6">
        <f>IF(DE18=1,MAX((DG4-DG6)*DE12,0),MAX((DG4-DG6),0))</f>
        <v>0</v>
      </c>
      <c r="DH11" s="6">
        <f>IF(DE18=1,MAX((DH4-DH6)*DE12,0),MAX((DH4-DH6),0))</f>
        <v>0</v>
      </c>
      <c r="DI11" s="6">
        <f>IF(DE18=1,MAX((DI4-DI6)*DE12,0),MAX((DI4-DI6),0))</f>
        <v>0</v>
      </c>
      <c r="DJ11" s="6">
        <f>IF(DE18=1,MAX((DJ4-DJ6)*DE12,0),MAX((DJ4-DJ6),0))</f>
        <v>0</v>
      </c>
      <c r="DK11" s="6">
        <f>IF(DE18=1,MAX((DK4-DK6)*DE12,0),MAX((DK4-DK6),0))</f>
        <v>0</v>
      </c>
      <c r="DL11" s="6">
        <f>IF(DE18=1,MAX((DL4-DL6)*DE12,0),MAX((DL4-DL6),0))</f>
        <v>0</v>
      </c>
      <c r="DM11" s="6">
        <f>IF(DE18=1,MAX((DM4-DM6)*DE12,0),MAX((DM4-DM6),0))</f>
        <v>0</v>
      </c>
      <c r="DQ11" s="9"/>
      <c r="DT11" s="3" t="s">
        <v>1148</v>
      </c>
      <c r="DU11" s="6">
        <f>IF(DU18=1,MAX((DU4-DU6)*DU12,0),MAX((DU4-DU6),0))</f>
        <v>0</v>
      </c>
      <c r="DV11" s="6">
        <f>IF(DU18=1,MAX((DV4-DV6)*DU12,0),MAX((DV4-DV6),0))</f>
        <v>0</v>
      </c>
      <c r="DW11" s="6">
        <f>IF(DU18=1,MAX((DW4-DW6)*DU12,0),MAX((DW4-DW6),0))</f>
        <v>0</v>
      </c>
      <c r="DX11" s="6">
        <f>IF(DU18=1,MAX((DX4-DX6)*DU12,0),MAX((DX4-DX6),0))</f>
        <v>0</v>
      </c>
      <c r="DY11" s="6">
        <f>IF(DU18=1,MAX((DY4-DY6)*DU12,0),MAX((DY4-DY6),0))</f>
        <v>0</v>
      </c>
      <c r="DZ11" s="6">
        <f>IF(DU18=1,MAX((DZ4-DZ6)*DU12,0),MAX((DZ4-DZ6),0))</f>
        <v>0</v>
      </c>
      <c r="EA11" s="6">
        <f>IF(DU18=1,MAX((EA4-EA6)*DU12,0),MAX((EA4-EA6),0))</f>
        <v>0</v>
      </c>
      <c r="EB11" s="6">
        <f>IF(DU18=1,MAX((EB4-EB6)*DU12,0),MAX((EB4-EB6),0))</f>
        <v>0</v>
      </c>
      <c r="EC11" s="6">
        <f>IF(DU18=1,MAX((EC4-EC6)*DU12,0),MAX((EC4-EC6),0))</f>
        <v>0</v>
      </c>
      <c r="EG11" s="9"/>
      <c r="EJ11" s="3" t="s">
        <v>1149</v>
      </c>
      <c r="EK11" s="6">
        <f>IF(EK18=1,MAX((EK4-EK6)*EK12,0),MAX((EK4-EK6),0))</f>
        <v>0</v>
      </c>
      <c r="EL11" s="6">
        <f>IF(EK18=1,MAX((EL4-EL6)*EK12,0),MAX((EL4-EL6),0))</f>
        <v>0</v>
      </c>
      <c r="EM11" s="6">
        <f>IF(EK18=1,MAX((EM4-EM6)*EK12,0),MAX((EM4-EM6),0))</f>
        <v>0</v>
      </c>
      <c r="EN11" s="6">
        <f>IF(EK18=1,MAX((EN4-EN6)*EK12,0),MAX((EN4-EN6),0))</f>
        <v>0</v>
      </c>
      <c r="EO11" s="6">
        <f>IF(EK18=1,MAX((EO4-EO6)*EK12,0),MAX((EO4-EO6),0))</f>
        <v>0</v>
      </c>
      <c r="EP11" s="6">
        <f>IF(EK18=1,MAX((EP4-EP6)*EK12,0),MAX((EP4-EP6),0))</f>
        <v>0</v>
      </c>
      <c r="EQ11" s="6">
        <f>IF(EK18=1,MAX((EQ4-EQ6)*EK12,0),MAX((EQ4-EQ6),0))</f>
        <v>0</v>
      </c>
      <c r="ER11" s="6">
        <f>IF(EK18=1,MAX((ER4-ER6)*EK12,0),MAX((ER4-ER6),0))</f>
        <v>0</v>
      </c>
      <c r="ES11" s="6">
        <f>IF(EK18=1,MAX((ES4-ES6)*EK12,0),MAX((ES4-ES6),0))</f>
        <v>0</v>
      </c>
      <c r="EW11" s="9"/>
      <c r="EZ11" s="3" t="s">
        <v>1150</v>
      </c>
      <c r="FA11" s="6">
        <f>IF(FA18=1,MAX((FA4-FA6)*FA12,0),MAX((FA4-FA6),0))</f>
        <v>0</v>
      </c>
      <c r="FB11" s="6">
        <f>IF(FA18=1,MAX((FB4-FB6)*FA12,0),MAX((FB4-FB6),0))</f>
        <v>0</v>
      </c>
      <c r="FC11" s="6">
        <f>IF(FA18=1,MAX((FC4-FC6)*FA12,0),MAX((FC4-FC6),0))</f>
        <v>0</v>
      </c>
      <c r="FD11" s="6">
        <f>IF(FA18=1,MAX((FD4-FD6)*FA12,0),MAX((FD4-FD6),0))</f>
        <v>0</v>
      </c>
      <c r="FE11" s="6">
        <f>IF(FA18=1,MAX((FE4-FE6)*FA12,0),MAX((FE4-FE6),0))</f>
        <v>0</v>
      </c>
      <c r="FF11" s="6">
        <f>IF(FA18=1,MAX((FF4-FF6)*FA12,0),MAX((FF4-FF6),0))</f>
        <v>0</v>
      </c>
      <c r="FG11" s="6">
        <f>IF(FA18=1,MAX((FG4-FG6)*FA12,0),MAX((FG4-FG6),0))</f>
        <v>0</v>
      </c>
      <c r="FH11" s="6">
        <f>IF(FA18=1,MAX((FH4-FH6)*FA12,0),MAX((FH4-FH6),0))</f>
        <v>0</v>
      </c>
      <c r="FI11" s="6">
        <f>IF(FA18=1,MAX((FI4-FI6)*FA12,0),MAX((FI4-FI6),0))</f>
        <v>0</v>
      </c>
      <c r="FM11" s="9"/>
      <c r="FP11" s="3" t="s">
        <v>1151</v>
      </c>
      <c r="FQ11" s="6">
        <f>IF(FQ18=1,MAX((FQ4-FQ6)*FQ12,0),MAX((FQ4-FQ6),0))</f>
        <v>0</v>
      </c>
      <c r="FR11" s="6">
        <f>IF(FQ18=1,MAX((FR4-FR6)*FQ12,0),MAX((FR4-FR6),0))</f>
        <v>0</v>
      </c>
      <c r="FS11" s="6">
        <f>IF(FQ18=1,MAX((FS4-FS6)*FQ12,0),MAX((FS4-FS6),0))</f>
        <v>0</v>
      </c>
      <c r="FT11" s="6">
        <f>IF(FQ18=1,MAX((FT4-FT6)*FQ12,0),MAX((FT4-FT6),0))</f>
        <v>0</v>
      </c>
      <c r="FU11" s="6">
        <f>IF(FQ18=1,MAX((FU4-FU6)*FQ12,0),MAX((FU4-FU6),0))</f>
        <v>0</v>
      </c>
      <c r="FV11" s="6">
        <f>IF(FQ18=1,MAX((FV4-FV6)*FQ12,0),MAX((FV4-FV6),0))</f>
        <v>0</v>
      </c>
      <c r="FW11" s="6">
        <f>IF(FQ18=1,MAX((FW4-FW6)*FQ12,0),MAX((FW4-FW6),0))</f>
        <v>0</v>
      </c>
      <c r="FX11" s="6">
        <f>IF(FQ18=1,MAX((FX4-FX6)*FQ12,0),MAX((FX4-FX6),0))</f>
        <v>0</v>
      </c>
      <c r="FY11" s="6">
        <f>IF(FQ18=1,MAX((FY4-FY6)*FQ12,0),MAX((FY4-FY6),0))</f>
        <v>0</v>
      </c>
      <c r="GC11" s="9"/>
      <c r="GF11" s="3" t="s">
        <v>1152</v>
      </c>
      <c r="GG11" s="6">
        <f>IF(GG18=1,MAX((GG4-GG6)*GG12,0),MAX((GG4-GG6),0))</f>
        <v>0</v>
      </c>
      <c r="GH11" s="6">
        <f>IF(GG18=1,MAX((GH4-GH6)*GG12,0),MAX((GH4-GH6),0))</f>
        <v>0</v>
      </c>
      <c r="GI11" s="6">
        <f>IF(GG18=1,MAX((GI4-GI6)*GG12,0),MAX((GI4-GI6),0))</f>
        <v>0</v>
      </c>
      <c r="GJ11" s="6">
        <f>IF(GG18=1,MAX((GJ4-GJ6)*GG12,0),MAX((GJ4-GJ6),0))</f>
        <v>0</v>
      </c>
      <c r="GK11" s="6">
        <f>IF(GG18=1,MAX((GK4-GK6)*GG12,0),MAX((GK4-GK6),0))</f>
        <v>0</v>
      </c>
      <c r="GL11" s="6">
        <f>IF(GG18=1,MAX((GL4-GL6)*GG12,0),MAX((GL4-GL6),0))</f>
        <v>0</v>
      </c>
      <c r="GM11" s="6">
        <f>IF(GG18=1,MAX((GM4-GM6)*GG12,0),MAX((GM4-GM6),0))</f>
        <v>0</v>
      </c>
      <c r="GN11" s="6">
        <f>IF(GG18=1,MAX((GN4-GN6)*GG12,0),MAX((GN4-GN6),0))</f>
        <v>0</v>
      </c>
      <c r="GO11" s="6">
        <f>IF(GG18=1,MAX((GO4-GO6)*GG12,0),MAX((GO4-GO6),0))</f>
        <v>0</v>
      </c>
      <c r="GS11" s="9"/>
      <c r="GV11" s="3" t="s">
        <v>1153</v>
      </c>
      <c r="GW11" s="6">
        <f>IF(GW18=1,MAX((GW4-GW6)*GW12,0),MAX((GW4-GW6),0))</f>
        <v>0</v>
      </c>
      <c r="GX11" s="6">
        <f>IF(GW18=1,MAX((GX4-GX6)*GW12,0),MAX((GX4-GX6),0))</f>
        <v>0</v>
      </c>
      <c r="GY11" s="6">
        <f>IF(GW18=1,MAX((GY4-GY6)*GW12,0),MAX((GY4-GY6),0))</f>
        <v>0</v>
      </c>
      <c r="GZ11" s="6">
        <f>IF(GW18=1,MAX((GZ4-GZ6)*GW12,0),MAX((GZ4-GZ6),0))</f>
        <v>0</v>
      </c>
      <c r="HA11" s="6">
        <f>IF(GW18=1,MAX((HA4-HA6)*GW12,0),MAX((HA4-HA6),0))</f>
        <v>0</v>
      </c>
      <c r="HB11" s="6">
        <f>IF(GW18=1,MAX((HB4-HB6)*GW12,0),MAX((HB4-HB6),0))</f>
        <v>0</v>
      </c>
      <c r="HC11" s="6">
        <f>IF(GW18=1,MAX((HC4-HC6)*GW12,0),MAX((HC4-HC6),0))</f>
        <v>0</v>
      </c>
      <c r="HD11" s="6">
        <f>IF(GW18=1,MAX((HD4-HD6)*GW12,0),MAX((HD4-HD6),0))</f>
        <v>0</v>
      </c>
      <c r="HE11" s="6">
        <f>IF(GW18=1,MAX((HE4-HE6)*GW12,0),MAX((HE4-HE6),0))</f>
        <v>0</v>
      </c>
      <c r="HI11" s="9"/>
      <c r="HL11" s="3" t="s">
        <v>1154</v>
      </c>
      <c r="HM11" s="6">
        <f>IF(HM18=1,MAX((HM4-HM6)*HM12,0),MAX((HM4-HM6),0))</f>
        <v>0</v>
      </c>
      <c r="HN11" s="6">
        <f>IF(HM18=1,MAX((HN4-HN6)*HM12,0),MAX((HN4-HN6),0))</f>
        <v>0</v>
      </c>
      <c r="HO11" s="6">
        <f>IF(HM18=1,MAX((HO4-HO6)*HM12,0),MAX((HO4-HO6),0))</f>
        <v>0</v>
      </c>
      <c r="HP11" s="6">
        <f>IF(HM18=1,MAX((HP4-HP6)*HM12,0),MAX((HP4-HP6),0))</f>
        <v>0</v>
      </c>
      <c r="HQ11" s="6">
        <f>IF(HM18=1,MAX((HQ4-HQ6)*HM12,0),MAX((HQ4-HQ6),0))</f>
        <v>0</v>
      </c>
      <c r="HR11" s="6">
        <f>IF(HM18=1,MAX((HR4-HR6)*HM12,0),MAX((HR4-HR6),0))</f>
        <v>0</v>
      </c>
      <c r="HS11" s="6">
        <f>IF(HM18=1,MAX((HS4-HS6)*HM12,0),MAX((HS4-HS6),0))</f>
        <v>0</v>
      </c>
      <c r="HT11" s="6">
        <f>IF(HM18=1,MAX((HT4-HT6)*HM12,0),MAX((HT4-HT6),0))</f>
        <v>0</v>
      </c>
      <c r="HU11" s="6">
        <f>IF(HM18=1,MAX((HU4-HU6)*HM12,0),MAX((HU4-HU6),0))</f>
        <v>0</v>
      </c>
      <c r="HY11" s="9"/>
      <c r="IB11" s="3" t="s">
        <v>1155</v>
      </c>
      <c r="IC11" s="6">
        <f>IF(IC18=1,MAX((IC4-IC6)*IC12,0),MAX((IC4-IC6),0))</f>
        <v>0</v>
      </c>
      <c r="ID11" s="6">
        <f>IF(IC18=1,MAX((ID4-ID6)*IC12,0),MAX((ID4-ID6),0))</f>
        <v>0</v>
      </c>
      <c r="IE11" s="6">
        <f>IF(IC18=1,MAX((IE4-IE6)*IC12,0),MAX((IE4-IE6),0))</f>
        <v>0</v>
      </c>
      <c r="IF11" s="6">
        <f>IF(IC18=1,MAX((IF4-IF6)*IC12,0),MAX((IF4-IF6),0))</f>
        <v>0</v>
      </c>
      <c r="IG11" s="6">
        <f>IF(IC18=1,MAX((IG4-IG6)*IC12,0),MAX((IG4-IG6),0))</f>
        <v>0</v>
      </c>
      <c r="IH11" s="6">
        <f>IF(IC18=1,MAX((IH4-IH6)*IC12,0),MAX((IH4-IH6),0))</f>
        <v>0</v>
      </c>
      <c r="II11" s="6">
        <f>IF(IC18=1,MAX((II4-II6)*IC12,0),MAX((II4-II6),0))</f>
        <v>0</v>
      </c>
      <c r="IJ11" s="6">
        <f>IF(IC18=1,MAX((IJ4-IJ6)*IC12,0),MAX((IJ4-IJ6),0))</f>
        <v>0</v>
      </c>
      <c r="IK11" s="6">
        <f>IF(IC18=1,MAX((IK4-IK6)*IC12,0),MAX((IK4-IK6),0))</f>
        <v>0</v>
      </c>
      <c r="IO11" s="9"/>
      <c r="IR11" s="3" t="s">
        <v>1156</v>
      </c>
      <c r="IS11" s="6">
        <f>IF(IS18=1,MAX((IS4-IS6)*IS12,0),MAX((IS4-IS6),0))</f>
        <v>0</v>
      </c>
      <c r="IT11" s="6">
        <f>IF(IS18=1,MAX((IT4-IT6)*IS12,0),MAX((IT4-IT6),0))</f>
        <v>0</v>
      </c>
      <c r="IU11" s="6">
        <f>IF(IS18=1,MAX((IU4-IU6)*IS12,0),MAX((IU4-IU6),0))</f>
        <v>0</v>
      </c>
      <c r="IV11" s="6">
        <f>IF(IS18=1,MAX((IV4-IV6)*IS12,0),MAX((IV4-IV6),0))</f>
        <v>0</v>
      </c>
      <c r="IW11" s="6">
        <f>IF(IS18=1,MAX((IW4-IW6)*IS12,0),MAX((IW4-IW6),0))</f>
        <v>0</v>
      </c>
      <c r="IX11" s="6">
        <f>IF(IS18=1,MAX((IX4-IX6)*IS12,0),MAX((IX4-IX6),0))</f>
        <v>0</v>
      </c>
      <c r="IY11" s="6">
        <f>IF(IS18=1,MAX((IY4-IY6)*IS12,0),MAX((IY4-IY6),0))</f>
        <v>0</v>
      </c>
      <c r="IZ11" s="6">
        <f>IF(IS18=1,MAX((IZ4-IZ6)*IS12,0),MAX((IZ4-IZ6),0))</f>
        <v>0</v>
      </c>
      <c r="JA11" s="6">
        <f>IF(IS18=1,MAX((JA4-JA6)*IS12,0),MAX((JA4-JA6),0))</f>
        <v>0</v>
      </c>
      <c r="JE11" s="9"/>
      <c r="JH11" s="3" t="s">
        <v>1157</v>
      </c>
      <c r="JI11" s="6">
        <f>IF(JI18=1,MAX((JI4-JI6)*JI12,0),MAX((JI4-JI6),0))</f>
        <v>0</v>
      </c>
      <c r="JJ11" s="6">
        <f>IF(JI18=1,MAX((JJ4-JJ6)*JI12,0),MAX((JJ4-JJ6),0))</f>
        <v>0</v>
      </c>
      <c r="JK11" s="6">
        <f>IF(JI18=1,MAX((JK4-JK6)*JI12,0),MAX((JK4-JK6),0))</f>
        <v>0</v>
      </c>
      <c r="JL11" s="6">
        <f>IF(JI18=1,MAX((JL4-JL6)*JI12,0),MAX((JL4-JL6),0))</f>
        <v>0</v>
      </c>
      <c r="JM11" s="6">
        <f>IF(JI18=1,MAX((JM4-JM6)*JI12,0),MAX((JM4-JM6),0))</f>
        <v>0</v>
      </c>
      <c r="JN11" s="6">
        <f>IF(JI18=1,MAX((JN4-JN6)*JI12,0),MAX((JN4-JN6),0))</f>
        <v>0</v>
      </c>
      <c r="JO11" s="6">
        <f>IF(JI18=1,MAX((JO4-JO6)*JI12,0),MAX((JO4-JO6),0))</f>
        <v>0</v>
      </c>
      <c r="JP11" s="6">
        <f>IF(JI18=1,MAX((JP4-JP6)*JI12,0),MAX((JP4-JP6),0))</f>
        <v>0</v>
      </c>
      <c r="JQ11" s="6">
        <f>IF(JI18=1,MAX((JQ4-JQ6)*JI12,0),MAX((JQ4-JQ6),0))</f>
        <v>0</v>
      </c>
      <c r="JU11" s="9"/>
      <c r="JX11" s="3" t="s">
        <v>1158</v>
      </c>
      <c r="JY11" s="6">
        <f>IF(JY18=1,MAX((JY4-JY6)*JY12,0),MAX((JY4-JY6),0))</f>
        <v>0</v>
      </c>
      <c r="JZ11" s="6">
        <f>IF(JY18=1,MAX((JZ4-JZ6)*JY12,0),MAX((JZ4-JZ6),0))</f>
        <v>0</v>
      </c>
      <c r="KA11" s="6">
        <f>IF(JY18=1,MAX((KA4-KA6)*JY12,0),MAX((KA4-KA6),0))</f>
        <v>0</v>
      </c>
      <c r="KB11" s="6">
        <f>IF(JY18=1,MAX((KB4-KB6)*JY12,0),MAX((KB4-KB6),0))</f>
        <v>0</v>
      </c>
      <c r="KC11" s="6">
        <f>IF(JY18=1,MAX((KC4-KC6)*JY12,0),MAX((KC4-KC6),0))</f>
        <v>0</v>
      </c>
      <c r="KD11" s="6">
        <f>IF(JY18=1,MAX((KD4-KD6)*JY12,0),MAX((KD4-KD6),0))</f>
        <v>0</v>
      </c>
      <c r="KE11" s="6">
        <f>IF(JY18=1,MAX((KE4-KE6)*JY12,0),MAX((KE4-KE6),0))</f>
        <v>0</v>
      </c>
      <c r="KF11" s="6">
        <f>IF(JY18=1,MAX((KF4-KF6)*JY12,0),MAX((KF4-KF6),0))</f>
        <v>0</v>
      </c>
      <c r="KG11" s="6">
        <f>IF(JY18=1,MAX((KG4-KG6)*JY12,0),MAX((KG4-KG6),0))</f>
        <v>0</v>
      </c>
      <c r="KK11" s="9"/>
      <c r="KN11" s="3" t="s">
        <v>1159</v>
      </c>
      <c r="KO11">
        <f t="shared" ref="KO11:KW11" si="311">+MAX((KO4-KO6)*$KO12,0)</f>
        <v>0</v>
      </c>
      <c r="KP11">
        <f t="shared" si="311"/>
        <v>0</v>
      </c>
      <c r="KQ11">
        <f t="shared" si="311"/>
        <v>0</v>
      </c>
      <c r="KR11">
        <f t="shared" si="311"/>
        <v>0</v>
      </c>
      <c r="KS11">
        <f t="shared" si="311"/>
        <v>0</v>
      </c>
      <c r="KT11">
        <f t="shared" si="311"/>
        <v>0</v>
      </c>
      <c r="KU11">
        <f t="shared" si="311"/>
        <v>0</v>
      </c>
      <c r="KV11">
        <f t="shared" si="311"/>
        <v>0</v>
      </c>
      <c r="KW11">
        <f t="shared" si="311"/>
        <v>0</v>
      </c>
      <c r="LA11" s="9"/>
      <c r="LD11" s="3" t="s">
        <v>1160</v>
      </c>
      <c r="LE11">
        <f t="shared" ref="LE11:LM11" si="312">+MAX((LE4-LE6)*$LE12,0)</f>
        <v>0</v>
      </c>
      <c r="LF11">
        <f t="shared" si="312"/>
        <v>0</v>
      </c>
      <c r="LG11">
        <f t="shared" si="312"/>
        <v>0</v>
      </c>
      <c r="LH11">
        <f t="shared" si="312"/>
        <v>0</v>
      </c>
      <c r="LI11">
        <f t="shared" si="312"/>
        <v>0</v>
      </c>
      <c r="LJ11">
        <f t="shared" si="312"/>
        <v>0</v>
      </c>
      <c r="LK11">
        <f t="shared" si="312"/>
        <v>0</v>
      </c>
      <c r="LL11">
        <f t="shared" si="312"/>
        <v>0</v>
      </c>
      <c r="LM11">
        <f t="shared" si="312"/>
        <v>0</v>
      </c>
      <c r="LQ11" s="9"/>
      <c r="LT11" s="3" t="s">
        <v>1161</v>
      </c>
      <c r="LU11">
        <f t="shared" ref="LU11:MC11" si="313">+MAX((LU4-LU6)*$LU12,0)</f>
        <v>0</v>
      </c>
      <c r="LV11">
        <f t="shared" si="313"/>
        <v>0</v>
      </c>
      <c r="LW11">
        <f t="shared" si="313"/>
        <v>0</v>
      </c>
      <c r="LX11">
        <f t="shared" si="313"/>
        <v>0</v>
      </c>
      <c r="LY11">
        <f t="shared" si="313"/>
        <v>0</v>
      </c>
      <c r="LZ11">
        <f t="shared" si="313"/>
        <v>0</v>
      </c>
      <c r="MA11">
        <f t="shared" si="313"/>
        <v>0</v>
      </c>
      <c r="MB11">
        <f t="shared" si="313"/>
        <v>0</v>
      </c>
      <c r="MC11">
        <f t="shared" si="313"/>
        <v>0</v>
      </c>
      <c r="MG11" s="9"/>
      <c r="MJ11" s="3" t="s">
        <v>1162</v>
      </c>
      <c r="MK11">
        <f t="shared" ref="MK11:MS11" si="314">+MAX((MK4-MK6)*$MK12,0)</f>
        <v>0</v>
      </c>
      <c r="ML11">
        <f t="shared" si="314"/>
        <v>0</v>
      </c>
      <c r="MM11">
        <f t="shared" si="314"/>
        <v>0</v>
      </c>
      <c r="MN11">
        <f t="shared" si="314"/>
        <v>0</v>
      </c>
      <c r="MO11">
        <f t="shared" si="314"/>
        <v>0</v>
      </c>
      <c r="MP11">
        <f t="shared" si="314"/>
        <v>0</v>
      </c>
      <c r="MQ11">
        <f t="shared" si="314"/>
        <v>0</v>
      </c>
      <c r="MR11">
        <f t="shared" si="314"/>
        <v>0</v>
      </c>
      <c r="MS11">
        <f t="shared" si="314"/>
        <v>0</v>
      </c>
      <c r="MW11" s="9"/>
      <c r="MZ11" s="3" t="s">
        <v>1163</v>
      </c>
      <c r="NA11">
        <f t="shared" ref="NA11:NI11" si="315">+MAX((NA4-NA6)*$NA12,0)</f>
        <v>0</v>
      </c>
      <c r="NB11">
        <f t="shared" si="315"/>
        <v>0</v>
      </c>
      <c r="NC11">
        <f t="shared" si="315"/>
        <v>0</v>
      </c>
      <c r="ND11">
        <f t="shared" si="315"/>
        <v>0</v>
      </c>
      <c r="NE11">
        <f t="shared" si="315"/>
        <v>0</v>
      </c>
      <c r="NF11">
        <f t="shared" si="315"/>
        <v>0</v>
      </c>
      <c r="NG11">
        <f t="shared" si="315"/>
        <v>0</v>
      </c>
      <c r="NH11">
        <f t="shared" si="315"/>
        <v>0</v>
      </c>
      <c r="NI11">
        <f t="shared" si="315"/>
        <v>0</v>
      </c>
      <c r="NM11" s="9"/>
      <c r="NP11" s="3" t="s">
        <v>1164</v>
      </c>
      <c r="NQ11">
        <f t="shared" ref="NQ11:NY11" si="316">+MAX((NQ4-NQ6)*$NQ12,0)</f>
        <v>0</v>
      </c>
      <c r="NR11">
        <f t="shared" si="316"/>
        <v>0</v>
      </c>
      <c r="NS11">
        <f t="shared" si="316"/>
        <v>0</v>
      </c>
      <c r="NT11">
        <f t="shared" si="316"/>
        <v>0</v>
      </c>
      <c r="NU11">
        <f t="shared" si="316"/>
        <v>0</v>
      </c>
      <c r="NV11">
        <f t="shared" si="316"/>
        <v>0</v>
      </c>
      <c r="NW11">
        <f t="shared" si="316"/>
        <v>0</v>
      </c>
      <c r="NX11">
        <f t="shared" si="316"/>
        <v>0</v>
      </c>
      <c r="NY11">
        <f t="shared" si="316"/>
        <v>0</v>
      </c>
      <c r="OC11" s="9"/>
      <c r="OF11" s="3" t="s">
        <v>1165</v>
      </c>
      <c r="OG11">
        <f t="shared" ref="OG11:OO11" si="317">+MAX((OG4-OG6)*$OG12,0)</f>
        <v>0</v>
      </c>
      <c r="OH11">
        <f t="shared" si="317"/>
        <v>0</v>
      </c>
      <c r="OI11">
        <f t="shared" si="317"/>
        <v>0</v>
      </c>
      <c r="OJ11">
        <f t="shared" si="317"/>
        <v>0</v>
      </c>
      <c r="OK11">
        <f t="shared" si="317"/>
        <v>0</v>
      </c>
      <c r="OL11">
        <f t="shared" si="317"/>
        <v>0</v>
      </c>
      <c r="OM11">
        <f t="shared" si="317"/>
        <v>0</v>
      </c>
      <c r="ON11">
        <f t="shared" si="317"/>
        <v>0</v>
      </c>
      <c r="OO11">
        <f t="shared" si="317"/>
        <v>0</v>
      </c>
      <c r="OS11" s="9"/>
      <c r="PH11" s="3"/>
      <c r="PV11" s="3"/>
      <c r="QJ11" s="3"/>
      <c r="QX11" s="3"/>
      <c r="RL11" s="3"/>
      <c r="RZ11" s="3"/>
      <c r="SN11" s="3"/>
    </row>
    <row r="12" spans="1:517" x14ac:dyDescent="0.2">
      <c r="A12" s="3" t="s">
        <v>1166</v>
      </c>
      <c r="X12" s="3"/>
      <c r="Y12" s="6"/>
      <c r="Z12" s="4"/>
      <c r="AA12" s="4"/>
      <c r="AB12" s="4"/>
      <c r="AC12" s="4"/>
      <c r="AD12" s="4"/>
      <c r="AE12" s="4"/>
      <c r="AF12" s="4"/>
      <c r="AG12" s="4"/>
      <c r="AH12" s="4"/>
      <c r="AI12" s="4"/>
      <c r="AP12" s="3"/>
      <c r="AQ12" s="6"/>
      <c r="AR12" s="6"/>
      <c r="AS12" s="6"/>
      <c r="AT12" s="6"/>
      <c r="AU12" s="6"/>
      <c r="AV12" s="6"/>
      <c r="AW12" s="6"/>
      <c r="AX12" s="6"/>
      <c r="AY12" s="6"/>
      <c r="AZ12" s="4"/>
      <c r="BA12" s="4"/>
      <c r="BH12" s="3" t="s">
        <v>1167</v>
      </c>
      <c r="BI12" s="31">
        <v>20000000</v>
      </c>
      <c r="BJ12" s="6"/>
      <c r="BK12" s="6"/>
      <c r="BL12" s="6"/>
      <c r="BM12" s="6"/>
      <c r="BN12" s="6"/>
      <c r="BO12" s="6"/>
      <c r="BP12" s="6"/>
      <c r="BQ12" s="6"/>
      <c r="BR12" s="4"/>
      <c r="BS12" s="4"/>
      <c r="BU12" s="36"/>
      <c r="BX12" s="3" t="s">
        <v>1168</v>
      </c>
      <c r="BY12" s="31">
        <v>20000000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K12" s="36"/>
      <c r="CN12" s="3" t="s">
        <v>1169</v>
      </c>
      <c r="CO12" s="31">
        <v>40000000</v>
      </c>
      <c r="CP12" s="4"/>
      <c r="CQ12" s="4"/>
      <c r="CR12" s="4"/>
      <c r="CS12" s="4"/>
      <c r="CT12" s="4"/>
      <c r="CU12" s="4"/>
      <c r="CV12" s="4"/>
      <c r="CW12" s="4"/>
      <c r="CX12" s="4"/>
      <c r="CY12" s="4"/>
      <c r="DA12" s="36"/>
      <c r="DD12" s="3" t="s">
        <v>1170</v>
      </c>
      <c r="DE12" s="31">
        <v>20000000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Q12" s="36"/>
      <c r="DT12" s="3" t="s">
        <v>1171</v>
      </c>
      <c r="DU12" s="31">
        <v>20000000</v>
      </c>
      <c r="DV12" s="4"/>
      <c r="DW12" s="4"/>
      <c r="DX12" s="4"/>
      <c r="DY12" s="4"/>
      <c r="DZ12" s="4"/>
      <c r="EA12" s="4"/>
      <c r="EB12" s="4"/>
      <c r="EC12" s="4"/>
      <c r="ED12" s="4"/>
      <c r="EE12" s="4"/>
      <c r="EG12" s="36"/>
      <c r="EJ12" s="3" t="s">
        <v>1172</v>
      </c>
      <c r="EK12" s="31">
        <v>40000000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  <c r="EW12" s="36"/>
      <c r="EZ12" s="3" t="s">
        <v>1173</v>
      </c>
      <c r="FA12" s="31">
        <v>40000000</v>
      </c>
      <c r="FB12" s="4"/>
      <c r="FC12" s="4"/>
      <c r="FD12" s="4"/>
      <c r="FE12" s="4"/>
      <c r="FF12" s="4"/>
      <c r="FG12" s="4"/>
      <c r="FH12" s="4"/>
      <c r="FI12" s="6"/>
      <c r="FJ12" s="4"/>
      <c r="FK12" s="6"/>
      <c r="FM12" s="37"/>
      <c r="FP12" s="3" t="s">
        <v>1174</v>
      </c>
      <c r="FQ12" s="6">
        <v>10000000</v>
      </c>
      <c r="FR12" s="4"/>
      <c r="FS12" s="4"/>
      <c r="FT12" s="4"/>
      <c r="FU12" s="4"/>
      <c r="FV12" s="4"/>
      <c r="FW12" s="4"/>
      <c r="FX12" s="4"/>
      <c r="FY12" s="6"/>
      <c r="FZ12" s="4"/>
      <c r="GA12" s="6"/>
      <c r="GC12" s="37"/>
      <c r="GF12" s="3" t="s">
        <v>1175</v>
      </c>
      <c r="GG12" s="6">
        <v>40000000</v>
      </c>
      <c r="GH12" s="4"/>
      <c r="GI12" s="4"/>
      <c r="GJ12" s="4"/>
      <c r="GK12" s="4"/>
      <c r="GL12" s="4"/>
      <c r="GM12" s="4"/>
      <c r="GN12" s="4"/>
      <c r="GO12" s="6"/>
      <c r="GP12" s="4"/>
      <c r="GQ12" s="4"/>
      <c r="GR12" s="4"/>
      <c r="GS12" s="36"/>
      <c r="GT12" s="4"/>
      <c r="GV12" s="3" t="s">
        <v>1176</v>
      </c>
      <c r="GW12" s="6">
        <v>20000000</v>
      </c>
      <c r="GX12" s="4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37"/>
      <c r="HJ12" s="6"/>
      <c r="HK12" s="6"/>
      <c r="HL12" s="3" t="s">
        <v>1177</v>
      </c>
      <c r="HM12" s="6">
        <v>40000000</v>
      </c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37"/>
      <c r="HZ12" s="6"/>
      <c r="IA12" s="6"/>
      <c r="IB12" s="3" t="s">
        <v>1178</v>
      </c>
      <c r="IC12" s="8">
        <v>10000000</v>
      </c>
      <c r="ID12" s="6"/>
      <c r="IE12" s="6"/>
      <c r="IF12" s="4"/>
      <c r="IG12" s="4"/>
      <c r="IH12" s="4"/>
      <c r="II12" s="4"/>
      <c r="IJ12" s="4"/>
      <c r="IK12" s="4"/>
      <c r="IL12" s="4"/>
      <c r="IM12" s="4"/>
      <c r="IN12" s="4"/>
      <c r="IO12" s="36"/>
      <c r="IP12" s="4"/>
      <c r="IR12" s="3" t="s">
        <v>1179</v>
      </c>
      <c r="IS12" s="8">
        <v>20000000</v>
      </c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36"/>
      <c r="JF12" s="4"/>
      <c r="JH12" s="3" t="s">
        <v>1180</v>
      </c>
      <c r="JI12" s="8">
        <v>20000000</v>
      </c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36"/>
      <c r="JV12" s="4"/>
      <c r="JX12" s="3" t="s">
        <v>1181</v>
      </c>
      <c r="JY12" s="8">
        <v>20000000</v>
      </c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36"/>
      <c r="KL12" s="4"/>
      <c r="KN12" s="3" t="s">
        <v>1182</v>
      </c>
      <c r="KO12" s="8">
        <v>20000000</v>
      </c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36"/>
      <c r="LB12" s="4"/>
      <c r="LD12" s="3" t="s">
        <v>1183</v>
      </c>
      <c r="LE12" s="8">
        <v>20000000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36"/>
      <c r="LR12" s="4"/>
      <c r="LT12" s="3" t="s">
        <v>1184</v>
      </c>
      <c r="LU12" s="8">
        <v>20000000</v>
      </c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36"/>
      <c r="MH12" s="4"/>
      <c r="MJ12" s="3" t="s">
        <v>1185</v>
      </c>
      <c r="MK12" s="8">
        <v>20000000</v>
      </c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36"/>
      <c r="MX12" s="4"/>
      <c r="MZ12" s="3" t="s">
        <v>1186</v>
      </c>
      <c r="NA12" s="8">
        <v>20000000</v>
      </c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36"/>
      <c r="NN12" s="4"/>
      <c r="NP12" s="3" t="s">
        <v>1187</v>
      </c>
      <c r="NQ12" s="8">
        <v>20000000</v>
      </c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36"/>
      <c r="OD12" s="4"/>
      <c r="OF12" s="3" t="s">
        <v>1188</v>
      </c>
      <c r="OG12" s="8">
        <v>20000000</v>
      </c>
      <c r="OH12" s="4"/>
      <c r="OI12" s="4"/>
      <c r="OJ12" s="4"/>
      <c r="OK12" s="4"/>
      <c r="OL12" s="4"/>
      <c r="OM12" s="4"/>
      <c r="ON12" s="4"/>
      <c r="OO12" s="4"/>
      <c r="OP12" s="4"/>
      <c r="OQ12" s="4"/>
      <c r="OS12" s="36"/>
      <c r="OU12" s="8"/>
      <c r="OV12" s="4"/>
      <c r="OW12" s="4"/>
      <c r="OX12" s="4"/>
      <c r="OY12" s="4"/>
      <c r="OZ12" s="4"/>
      <c r="PA12" s="4"/>
      <c r="PB12" s="4"/>
      <c r="PC12" s="4"/>
      <c r="PD12" s="4"/>
      <c r="PE12" s="4"/>
      <c r="PH12" s="3"/>
      <c r="PI12" s="8"/>
      <c r="PJ12" s="4"/>
      <c r="PK12" s="4"/>
      <c r="PL12" s="4"/>
      <c r="PM12" s="4"/>
      <c r="PN12" s="4"/>
      <c r="PO12" s="4"/>
      <c r="PP12" s="4"/>
      <c r="PQ12" s="4"/>
      <c r="PR12" s="4"/>
      <c r="PS12" s="4"/>
      <c r="PV12" s="3"/>
      <c r="PW12" s="8"/>
      <c r="PX12" s="4"/>
      <c r="PY12" s="4"/>
      <c r="PZ12" s="4"/>
      <c r="QA12" s="4"/>
      <c r="QB12" s="4"/>
      <c r="QC12" s="4"/>
      <c r="QD12" s="4"/>
      <c r="QE12" s="4"/>
      <c r="QF12" s="4"/>
      <c r="QG12" s="4"/>
      <c r="QJ12" s="3"/>
      <c r="QK12" s="8"/>
      <c r="QL12" s="4"/>
      <c r="QM12" s="4"/>
      <c r="QN12" s="4"/>
      <c r="QO12" s="4"/>
      <c r="QP12" s="4"/>
      <c r="QQ12" s="4"/>
      <c r="QR12" s="4"/>
      <c r="QS12" s="4"/>
      <c r="QT12" s="4"/>
      <c r="QU12" s="4"/>
      <c r="QX12" s="3"/>
      <c r="QY12" s="8"/>
      <c r="QZ12" s="4"/>
      <c r="RA12" s="4"/>
      <c r="RB12" s="4"/>
      <c r="RC12" s="4"/>
      <c r="RD12" s="4"/>
      <c r="RE12" s="4"/>
      <c r="RF12" s="4"/>
      <c r="RG12" s="4"/>
      <c r="RH12" s="4"/>
      <c r="RI12" s="4"/>
      <c r="RL12" s="3"/>
      <c r="RM12" s="8"/>
      <c r="RN12" s="4"/>
      <c r="RO12" s="4"/>
      <c r="RP12" s="4"/>
      <c r="RQ12" s="4"/>
      <c r="RR12" s="4"/>
      <c r="RS12" s="4"/>
      <c r="RT12" s="4"/>
      <c r="RU12" s="4"/>
      <c r="RZ12" s="3"/>
      <c r="SA12" s="8"/>
      <c r="SB12" s="4"/>
      <c r="SC12" s="4"/>
      <c r="SD12" s="4"/>
      <c r="SE12" s="4"/>
      <c r="SF12" s="4"/>
      <c r="SG12" s="4"/>
      <c r="SH12" s="4"/>
      <c r="SI12" s="4"/>
      <c r="SN12" s="3"/>
      <c r="SO12" s="8"/>
      <c r="SP12" s="4"/>
      <c r="SQ12" s="4"/>
      <c r="SR12" s="4"/>
      <c r="SS12" s="4"/>
      <c r="ST12" s="4"/>
      <c r="SU12" s="4"/>
      <c r="SV12" s="4"/>
      <c r="SW12" s="4"/>
    </row>
    <row r="13" spans="1:517" x14ac:dyDescent="0.2">
      <c r="A13" s="3" t="s">
        <v>1391</v>
      </c>
      <c r="X13" s="3"/>
      <c r="Y13" s="6"/>
      <c r="Z13" s="4"/>
      <c r="AA13" s="4"/>
      <c r="AB13" s="4"/>
      <c r="AC13" s="4"/>
      <c r="AD13" s="4"/>
      <c r="AE13" s="4"/>
      <c r="AF13" s="4"/>
      <c r="AG13" s="4"/>
      <c r="AH13" s="4"/>
      <c r="AI13" s="4"/>
      <c r="AP13" s="3"/>
      <c r="AQ13" s="6"/>
      <c r="AR13" s="6"/>
      <c r="AS13" s="6"/>
      <c r="AT13" s="6"/>
      <c r="AU13" s="6"/>
      <c r="AV13" s="6"/>
      <c r="AW13" s="6"/>
      <c r="AX13" s="6"/>
      <c r="AY13" s="6"/>
      <c r="AZ13" s="4"/>
      <c r="BA13" s="4"/>
      <c r="BH13" s="3" t="s">
        <v>1396</v>
      </c>
      <c r="BI13" s="6">
        <f>IF(AND(BI6=1,BI4=1),BI14,0)</f>
        <v>0</v>
      </c>
      <c r="BJ13" s="6">
        <f>IF(AND(BJ6=1,BJ4=1),BI14,0)</f>
        <v>0</v>
      </c>
      <c r="BK13" s="6">
        <f>IF(AND(BK6=1,BK4=1),BI14,0)</f>
        <v>0</v>
      </c>
      <c r="BL13" s="6">
        <f>IF(AND(BL6=1,BL4=1),BI14,0)</f>
        <v>0</v>
      </c>
      <c r="BM13" s="6">
        <f>IF(AND(BM6=1,BM4=1),BI14,0)</f>
        <v>0</v>
      </c>
      <c r="BN13" s="6">
        <f>IF(AND(BN6=1,BN4=1),BI14,0)</f>
        <v>0</v>
      </c>
      <c r="BO13" s="6">
        <f>IF(AND(BO6=1,BO4=1),BI14,0)</f>
        <v>0</v>
      </c>
      <c r="BP13" s="6">
        <f>IF(AND(BP6=1,BP4=1),BI14,0)</f>
        <v>0</v>
      </c>
      <c r="BQ13" s="6">
        <f>IF(AND(BQ6=1,BQ4=1),BI14,0)</f>
        <v>0</v>
      </c>
      <c r="BR13" s="4"/>
      <c r="BS13" s="4"/>
      <c r="BU13" s="36"/>
      <c r="BX13" s="3" t="s">
        <v>1398</v>
      </c>
      <c r="BY13" s="6">
        <f>IF(AND(BY6=1,BY4=1),BY14,0)</f>
        <v>0</v>
      </c>
      <c r="BZ13" s="6">
        <f>IF(AND(BZ6=1,BZ4=1),BY14,0)</f>
        <v>0</v>
      </c>
      <c r="CA13" s="6">
        <f>IF(AND(CA6=1,CA4=1),BY14,0)</f>
        <v>0</v>
      </c>
      <c r="CB13" s="6">
        <f>IF(AND(CB6=1,CB4=1),BY14,0)</f>
        <v>0</v>
      </c>
      <c r="CC13" s="6">
        <f>IF(AND(CC6=1,CC4=1),BY14,0)</f>
        <v>0</v>
      </c>
      <c r="CD13" s="6">
        <f>IF(AND(CD6=1,CD4=1),BY14,0)</f>
        <v>0</v>
      </c>
      <c r="CE13" s="6">
        <f>IF(AND(CE6=1,CE4=1),BY14,0)</f>
        <v>0</v>
      </c>
      <c r="CF13" s="6">
        <f>IF(AND(CF6=1,CF4=1),BY14,0)</f>
        <v>0</v>
      </c>
      <c r="CG13" s="6">
        <f>IF(AND(CG6=1,CG4=1),BY14,0)</f>
        <v>0</v>
      </c>
      <c r="CH13" s="4"/>
      <c r="CI13" s="4"/>
      <c r="CK13" s="36"/>
      <c r="CN13" s="3" t="s">
        <v>1400</v>
      </c>
      <c r="CO13" s="6">
        <f>IF(AND(CO6=1,CO4=1),CO14,0)</f>
        <v>0</v>
      </c>
      <c r="CP13" s="6">
        <f>IF(AND(CP6=1,CP4=1),CO14,0)</f>
        <v>0</v>
      </c>
      <c r="CQ13" s="6">
        <f>IF(AND(CQ6=1,CQ4=1),CO14,0)</f>
        <v>0</v>
      </c>
      <c r="CR13" s="6">
        <f>IF(AND(CR6=1,CR4=1),CO14,0)</f>
        <v>0</v>
      </c>
      <c r="CS13" s="6">
        <f>IF(AND(CS6=1,CS4=1),CO14,0)</f>
        <v>0</v>
      </c>
      <c r="CT13" s="6">
        <f>IF(AND(CT6=1,CT4=1),CO14,0)</f>
        <v>0</v>
      </c>
      <c r="CU13" s="6">
        <f>IF(AND(CU6=1,CU4=1),CO14,0)</f>
        <v>0</v>
      </c>
      <c r="CV13" s="6">
        <f>IF(AND(CV6=1,CV4=1),CO14,0)</f>
        <v>0</v>
      </c>
      <c r="CW13" s="6">
        <f>IF(AND(CW6=1,CW4=1),CO14,0)</f>
        <v>0</v>
      </c>
      <c r="CX13" s="4"/>
      <c r="CY13" s="4"/>
      <c r="DA13" s="36"/>
      <c r="DD13" s="3" t="s">
        <v>1402</v>
      </c>
      <c r="DE13" s="6">
        <f>IF(AND(DE6=1,DE4=1),DE14,0)</f>
        <v>0</v>
      </c>
      <c r="DF13" s="6">
        <f>IF(AND(DF6=1,DF4=1),DE14,0)</f>
        <v>0</v>
      </c>
      <c r="DG13" s="6">
        <f>IF(AND(DG6=1,DG4=1),DE14,0)</f>
        <v>0</v>
      </c>
      <c r="DH13" s="6">
        <f>IF(AND(DH6=1,DH4=1),DE14,0)</f>
        <v>0</v>
      </c>
      <c r="DI13" s="6">
        <f>IF(AND(DI6=1,DI4=1),DE14,0)</f>
        <v>0</v>
      </c>
      <c r="DJ13" s="6">
        <f>IF(AND(DJ6=1,DJ4=1),DE14,0)</f>
        <v>0</v>
      </c>
      <c r="DK13" s="6">
        <f>IF(AND(DK6=1,DK4=1),DE14,0)</f>
        <v>0</v>
      </c>
      <c r="DL13" s="6">
        <f>IF(AND(DL6=1,DL4=1),DE14,0)</f>
        <v>0</v>
      </c>
      <c r="DM13" s="6">
        <f>IF(AND(DM6=1,DM4=1),DE14,0)</f>
        <v>0</v>
      </c>
      <c r="DN13" s="4"/>
      <c r="DO13" s="4"/>
      <c r="DQ13" s="36"/>
      <c r="DT13" s="3" t="s">
        <v>1404</v>
      </c>
      <c r="DU13" s="6">
        <f>IF(AND(DU6=1,DU4=1),DU14,0)</f>
        <v>0</v>
      </c>
      <c r="DV13" s="6">
        <f>IF(AND(DV6=1,DV4=1),DU14,0)</f>
        <v>0</v>
      </c>
      <c r="DW13" s="6">
        <f>IF(AND(DW6=1,DW4=1),DU14,0)</f>
        <v>0</v>
      </c>
      <c r="DX13" s="6">
        <f>IF(AND(DX6=1,DX4=1),DU14,0)</f>
        <v>0</v>
      </c>
      <c r="DY13" s="6">
        <f>IF(AND(DY6=1,DY4=1),DU14,0)</f>
        <v>0</v>
      </c>
      <c r="DZ13" s="6">
        <f>IF(AND(DZ6=1,DZ4=1),DU14,0)</f>
        <v>0</v>
      </c>
      <c r="EA13" s="6">
        <f>IF(AND(EA6=1,EA4=1),DU14,0)</f>
        <v>0</v>
      </c>
      <c r="EB13" s="6">
        <f>IF(AND(EB6=1,EB4=1),DU14,0)</f>
        <v>0</v>
      </c>
      <c r="EC13" s="6">
        <f>IF(AND(EC6=1,EC4=1),DU14,0)</f>
        <v>0</v>
      </c>
      <c r="ED13" s="4"/>
      <c r="EE13" s="4"/>
      <c r="EG13" s="36"/>
      <c r="EJ13" s="3" t="s">
        <v>1394</v>
      </c>
      <c r="EK13" s="6">
        <f>IF(AND(EK6=1,EK4=1),EK14,0)</f>
        <v>0</v>
      </c>
      <c r="EL13" s="6">
        <f>IF(AND(EL6=1,EL4=1),EK14,0)</f>
        <v>0</v>
      </c>
      <c r="EM13" s="6">
        <f>IF(AND(EM6=1,EM4=1),EK14,0)</f>
        <v>0</v>
      </c>
      <c r="EN13" s="6">
        <f>IF(AND(EN6=1,EN4=1),EK14,0)</f>
        <v>0</v>
      </c>
      <c r="EO13" s="6">
        <f>IF(AND(EO6=1,EO4=1),EK14,0)</f>
        <v>0</v>
      </c>
      <c r="EP13" s="6">
        <f>IF(AND(EP6=1,EP4=1),EK14,0)</f>
        <v>0</v>
      </c>
      <c r="EQ13" s="6">
        <f>IF(AND(EQ6=1,EQ4=1),EK14,0)</f>
        <v>0</v>
      </c>
      <c r="ER13" s="6">
        <f>IF(AND(ER6=1,ER4=1),EK14,0)</f>
        <v>0</v>
      </c>
      <c r="ES13" s="6">
        <f>IF(AND(ES6=1,ES4=1),EK14,0)</f>
        <v>0</v>
      </c>
      <c r="ET13" s="4"/>
      <c r="EU13" s="4"/>
      <c r="EW13" s="36"/>
      <c r="EZ13" s="3" t="s">
        <v>1392</v>
      </c>
      <c r="FA13" s="6">
        <f>IF(AND(FA6=1,FA4=1),FA14,0)</f>
        <v>0</v>
      </c>
      <c r="FB13" s="6">
        <f>IF(AND(FB6=1,FB4=1),FA14,0)</f>
        <v>0</v>
      </c>
      <c r="FC13" s="6">
        <f>IF(AND(FC6=1,FC4=1),FA14,0)</f>
        <v>0</v>
      </c>
      <c r="FD13" s="6">
        <f>IF(AND(FD6=1,FD4=1),FA14,0)</f>
        <v>0</v>
      </c>
      <c r="FE13" s="6">
        <f>IF(AND(FE6=1,FE4=1),FA14,0)</f>
        <v>0</v>
      </c>
      <c r="FF13" s="6">
        <f>IF(AND(FF6=1,FF4=1),FA14,0)</f>
        <v>0</v>
      </c>
      <c r="FG13" s="6">
        <f>IF(AND(FG6=1,FG4=1),FA14,0)</f>
        <v>0</v>
      </c>
      <c r="FH13" s="6">
        <f>IF(AND(FH6=1,FH4=1),FA14,0)</f>
        <v>0</v>
      </c>
      <c r="FI13" s="6">
        <f>IF(AND(FI6=1,FI4=1),FA14,0)</f>
        <v>0</v>
      </c>
      <c r="FJ13" s="4"/>
      <c r="FK13" s="6"/>
      <c r="FM13" s="37"/>
      <c r="FP13" s="3" t="s">
        <v>1551</v>
      </c>
      <c r="FQ13" s="6">
        <f>IF(AND(FQ6=1,FQ4=1),FQ14,0)</f>
        <v>0</v>
      </c>
      <c r="FR13" s="6">
        <f>IF(AND(FR6=1,FR4=1),FQ14,0)</f>
        <v>0</v>
      </c>
      <c r="FS13" s="6">
        <f>IF(AND(FS6=1,FS4=1),FQ14,0)</f>
        <v>0</v>
      </c>
      <c r="FT13" s="6">
        <f>IF(AND(FT6=1,FT4=1),FQ14,0)</f>
        <v>0</v>
      </c>
      <c r="FU13" s="6">
        <f>IF(AND(FU6=1,FU4=1),FQ14,0)</f>
        <v>0</v>
      </c>
      <c r="FV13" s="6">
        <f>IF(AND(FV6=1,FV4=1),FQ14,0)</f>
        <v>0</v>
      </c>
      <c r="FW13" s="6">
        <f>IF(AND(FW6=1,FW4=1),FQ14,0)</f>
        <v>0</v>
      </c>
      <c r="FX13" s="6">
        <f>IF(AND(FX6=1,FX4=1),FQ14,0)</f>
        <v>0</v>
      </c>
      <c r="FY13" s="6">
        <f>IF(AND(FY6=1,FY4=1),FQ14,0)</f>
        <v>0</v>
      </c>
      <c r="FZ13" s="4"/>
      <c r="GA13" s="6"/>
      <c r="GC13" s="37"/>
      <c r="GF13" s="3" t="s">
        <v>1549</v>
      </c>
      <c r="GG13" s="6">
        <f>IF(AND(GG6=1,GG4=1),GG14,0)</f>
        <v>0</v>
      </c>
      <c r="GH13" s="6">
        <f>IF(AND(GH6=1,GH4=1),GG14,0)</f>
        <v>0</v>
      </c>
      <c r="GI13" s="6">
        <f>IF(AND(GI6=1,GI4=1),GG14,0)</f>
        <v>0</v>
      </c>
      <c r="GJ13" s="6">
        <f>IF(AND(GJ6=1,GJ4=1),GG14,0)</f>
        <v>0</v>
      </c>
      <c r="GK13" s="6">
        <f>IF(AND(GK6=1,GK4=1),GG14,0)</f>
        <v>0</v>
      </c>
      <c r="GL13" s="6">
        <f>IF(AND(GL6=1,GL4=1),GG14,0)</f>
        <v>0</v>
      </c>
      <c r="GM13" s="6">
        <f>IF(AND(GM6=1,GM4=1),GG14,0)</f>
        <v>0</v>
      </c>
      <c r="GN13" s="6">
        <f>IF(AND(GN6=1,GN4=1),GG14,0)</f>
        <v>0</v>
      </c>
      <c r="GO13" s="6">
        <f>IF(AND(GO6=1,GO4=1),GG14,0)</f>
        <v>0</v>
      </c>
      <c r="GP13" s="4"/>
      <c r="GQ13" s="4"/>
      <c r="GR13" s="4"/>
      <c r="GS13" s="36"/>
      <c r="GT13" s="4"/>
      <c r="GV13" s="3" t="s">
        <v>1577</v>
      </c>
      <c r="GW13" s="6">
        <f>IF(AND(GW6=1,GW4=1),GW14,0)</f>
        <v>0</v>
      </c>
      <c r="GX13" s="6">
        <f>IF(AND(GX6=1,GX4=1),GW14,0)</f>
        <v>0</v>
      </c>
      <c r="GY13" s="6">
        <f>IF(AND(GY6=1,GY4=1),GW14,0)</f>
        <v>0</v>
      </c>
      <c r="GZ13" s="6">
        <f>IF(AND(GZ6=1,GZ4=1),GW14,0)</f>
        <v>0</v>
      </c>
      <c r="HA13" s="6">
        <f>IF(AND(HA6=1,HA4=1),GW14,0)</f>
        <v>0</v>
      </c>
      <c r="HB13" s="6">
        <f>IF(AND(HB6=1,HB4=1),GW14,0)</f>
        <v>0</v>
      </c>
      <c r="HC13" s="6">
        <f>IF(AND(HC6=1,HC4=1),GW14,0)</f>
        <v>0</v>
      </c>
      <c r="HD13" s="6">
        <f>IF(AND(HD6=1,HD4=1),GW14,0)</f>
        <v>0</v>
      </c>
      <c r="HE13" s="6">
        <f>IF(AND(HE6=1,HE4=1),GW14,0)</f>
        <v>0</v>
      </c>
      <c r="HF13" s="6"/>
      <c r="HG13" s="6"/>
      <c r="HH13" s="6"/>
      <c r="HI13" s="37"/>
      <c r="HJ13" s="6"/>
      <c r="HK13" s="6"/>
      <c r="HL13" s="3" t="s">
        <v>1575</v>
      </c>
      <c r="HM13" s="6">
        <f>IF(AND(HM6=1,HM4=1),HM14,0)</f>
        <v>0</v>
      </c>
      <c r="HN13" s="6">
        <f>IF(AND(HN6=1,HN4=1),HM14,0)</f>
        <v>0</v>
      </c>
      <c r="HO13" s="6">
        <f>IF(AND(HO6=1,HO4=1),HM14,0)</f>
        <v>0</v>
      </c>
      <c r="HP13" s="6">
        <f>IF(AND(HP6=1,HP4=1),HM14,0)</f>
        <v>0</v>
      </c>
      <c r="HQ13" s="6">
        <f>IF(AND(HQ6=1,HQ4=1),HM14,0)</f>
        <v>0</v>
      </c>
      <c r="HR13" s="6">
        <f>IF(AND(HR6=1,HR4=1),HM14,0)</f>
        <v>0</v>
      </c>
      <c r="HS13" s="6">
        <f>IF(AND(HS6=1,HS4=1),HM14,0)</f>
        <v>0</v>
      </c>
      <c r="HT13" s="6">
        <f>IF(AND(HT6=1,HT4=1),HM14,0)</f>
        <v>0</v>
      </c>
      <c r="HU13" s="6">
        <f>IF(AND(HU6=1,HU4=1),HM14,0)</f>
        <v>0</v>
      </c>
      <c r="HV13" s="6"/>
      <c r="HW13" s="6"/>
      <c r="HX13" s="6"/>
      <c r="HY13" s="37"/>
      <c r="HZ13" s="6"/>
      <c r="IA13" s="6"/>
      <c r="IB13" s="3" t="s">
        <v>1573</v>
      </c>
      <c r="IC13" s="6">
        <f>IF(AND(IC6=1,IC4=1),IC14,0)</f>
        <v>0</v>
      </c>
      <c r="ID13" s="6">
        <f>IF(AND(ID6=1,ID4=1),IC14,0)</f>
        <v>0</v>
      </c>
      <c r="IE13" s="6">
        <f>IF(AND(IE6=1,IE4=1),IC14,0)</f>
        <v>0</v>
      </c>
      <c r="IF13" s="6">
        <f>IF(AND(IF6=1,IF4=1),IC14,0)</f>
        <v>0</v>
      </c>
      <c r="IG13" s="6">
        <f>IF(AND(IG6=1,IG4=1),IC14,0)</f>
        <v>0</v>
      </c>
      <c r="IH13" s="6">
        <f>IF(AND(IH6=1,IH4=1),IC14,0)</f>
        <v>0</v>
      </c>
      <c r="II13" s="6">
        <f>IF(AND(II6=1,II4=1),IC14,0)</f>
        <v>0</v>
      </c>
      <c r="IJ13" s="6">
        <f>IF(AND(IJ6=1,IJ4=1),IC14,0)</f>
        <v>0</v>
      </c>
      <c r="IK13" s="6">
        <f>IF(AND(IK6=1,IK4=1),IC14,0)</f>
        <v>0</v>
      </c>
      <c r="IL13" s="4"/>
      <c r="IM13" s="4"/>
      <c r="IN13" s="4"/>
      <c r="IO13" s="36"/>
      <c r="IP13" s="4"/>
      <c r="IR13" s="3" t="s">
        <v>1571</v>
      </c>
      <c r="IS13" s="6">
        <f>IF(AND(IS6=1,IS4=1),IS14,0)</f>
        <v>0</v>
      </c>
      <c r="IT13" s="6">
        <f>IF(AND(IT6=1,IT4=1),IS14,0)</f>
        <v>0</v>
      </c>
      <c r="IU13" s="6">
        <f>IF(AND(IU6=1,IU4=1),IS14,0)</f>
        <v>0</v>
      </c>
      <c r="IV13" s="6">
        <f>IF(AND(IV6=1,IV4=1),IS14,0)</f>
        <v>0</v>
      </c>
      <c r="IW13" s="6">
        <f>IF(AND(IW6=1,IW4=1),IS14,0)</f>
        <v>0</v>
      </c>
      <c r="IX13" s="6">
        <f>IF(AND(IX6=1,IX4=1),IS14,0)</f>
        <v>0</v>
      </c>
      <c r="IY13" s="6">
        <f>IF(AND(IY6=1,IY4=1),IS14,0)</f>
        <v>0</v>
      </c>
      <c r="IZ13" s="6">
        <f>IF(AND(IZ6=1,IZ4=1),IS14,0)</f>
        <v>0</v>
      </c>
      <c r="JA13" s="6">
        <f>IF(AND(JA6=1,JA4=1),IS14,0)</f>
        <v>0</v>
      </c>
      <c r="JB13" s="4"/>
      <c r="JC13" s="4"/>
      <c r="JD13" s="4"/>
      <c r="JE13" s="36"/>
      <c r="JF13" s="4"/>
      <c r="JH13" s="3" t="s">
        <v>1569</v>
      </c>
      <c r="JI13" s="6">
        <f>IF(AND(JI6=1,JI4=1),JI14,0)</f>
        <v>0</v>
      </c>
      <c r="JJ13" s="6">
        <f>IF(AND(JJ6=1,JJ4=1),JI14,0)</f>
        <v>0</v>
      </c>
      <c r="JK13" s="6">
        <f>IF(AND(JK6=1,JK4=1),JI14,0)</f>
        <v>0</v>
      </c>
      <c r="JL13" s="6">
        <f>IF(AND(JL6=1,JL4=1),JI14,0)</f>
        <v>0</v>
      </c>
      <c r="JM13" s="6">
        <f>IF(AND(JM6=1,JM4=1),JI14,0)</f>
        <v>0</v>
      </c>
      <c r="JN13" s="6">
        <f>IF(AND(JN6=1,JN4=1),JI14,0)</f>
        <v>0</v>
      </c>
      <c r="JO13" s="6">
        <f>IF(AND(JO6=1,JO4=1),JI14,0)</f>
        <v>0</v>
      </c>
      <c r="JP13" s="6">
        <f>IF(AND(JP6=1,JP4=1),JI14,0)</f>
        <v>0</v>
      </c>
      <c r="JQ13" s="6">
        <f>IF(AND(JQ6=1,JQ4=1),JI14,0)</f>
        <v>0</v>
      </c>
      <c r="JR13" s="4"/>
      <c r="JS13" s="4"/>
      <c r="JT13" s="4"/>
      <c r="JU13" s="36"/>
      <c r="JV13" s="4"/>
      <c r="JX13" s="3" t="s">
        <v>1567</v>
      </c>
      <c r="JY13" s="6">
        <f>IF(AND(JY6=1,JY4=1),JY14,0)</f>
        <v>0</v>
      </c>
      <c r="JZ13" s="6">
        <f>IF(AND(JZ6=1,JZ4=1),JY14,0)</f>
        <v>0</v>
      </c>
      <c r="KA13" s="6">
        <f>IF(AND(KA6=1,KA4=1),JY14,0)</f>
        <v>0</v>
      </c>
      <c r="KB13" s="6">
        <f>IF(AND(KB6=1,KB4=1),JY14,0)</f>
        <v>0</v>
      </c>
      <c r="KC13" s="6">
        <f>IF(AND(KC6=1,KC4=1),JY14,0)</f>
        <v>0</v>
      </c>
      <c r="KD13" s="6">
        <f>IF(AND(KD6=1,KD4=1),JY14,0)</f>
        <v>0</v>
      </c>
      <c r="KE13" s="6">
        <f>IF(AND(KE6=1,KE4=1),JY14,0)</f>
        <v>0</v>
      </c>
      <c r="KF13" s="6">
        <f>IF(AND(KF6=1,KF4=1),JY14,0)</f>
        <v>0</v>
      </c>
      <c r="KG13" s="6">
        <f>IF(AND(KG6=1,KG4=1),JY14,0)</f>
        <v>0</v>
      </c>
      <c r="KH13" s="4"/>
      <c r="KI13" s="4"/>
      <c r="KJ13" s="4"/>
      <c r="KK13" s="36"/>
      <c r="KL13" s="4"/>
      <c r="KN13" s="3" t="s">
        <v>1565</v>
      </c>
      <c r="KO13" s="6">
        <f>IF(AND(KO6=1,KO4=1),KO14,0)</f>
        <v>0</v>
      </c>
      <c r="KP13" s="6">
        <f>IF(AND(KP6=1,KP4=1),KO14,0)</f>
        <v>0</v>
      </c>
      <c r="KQ13" s="6">
        <f>IF(AND(KQ6=1,KQ4=1),KO14,0)</f>
        <v>0</v>
      </c>
      <c r="KR13" s="6">
        <f>IF(AND(KR6=1,KR4=1),KO14,0)</f>
        <v>0</v>
      </c>
      <c r="KS13" s="6">
        <f>IF(AND(KS6=1,KS4=1),KO14,0)</f>
        <v>0</v>
      </c>
      <c r="KT13" s="6">
        <f>IF(AND(KT6=1,KT4=1),KO14,0)</f>
        <v>0</v>
      </c>
      <c r="KU13" s="6">
        <f>IF(AND(KU6=1,KU4=1),KO14,0)</f>
        <v>0</v>
      </c>
      <c r="KV13" s="6">
        <f>IF(AND(KV6=1,KV4=1),KO14,0)</f>
        <v>0</v>
      </c>
      <c r="KW13" s="6">
        <f>IF(AND(KW6=1,KW4=1),KO14,0)</f>
        <v>0</v>
      </c>
      <c r="KX13" s="4"/>
      <c r="KY13" s="4"/>
      <c r="KZ13" s="4"/>
      <c r="LA13" s="36"/>
      <c r="LB13" s="4"/>
      <c r="LD13" s="3" t="s">
        <v>1563</v>
      </c>
      <c r="LE13" s="6">
        <f>IF(AND(LE6=1,LE4=1),LE14,0)</f>
        <v>0</v>
      </c>
      <c r="LF13" s="6">
        <f>IF(AND(LF6=1,LF4=1),LE14,0)</f>
        <v>0</v>
      </c>
      <c r="LG13" s="6">
        <f>IF(AND(LG6=1,LG4=1),LE14,0)</f>
        <v>0</v>
      </c>
      <c r="LH13" s="6">
        <f>IF(AND(LH6=1,LH4=1),LE14,0)</f>
        <v>0</v>
      </c>
      <c r="LI13" s="6">
        <f>IF(AND(LI6=1,LI4=1),LE14,0)</f>
        <v>0</v>
      </c>
      <c r="LJ13" s="6">
        <f>IF(AND(LJ6=1,LJ4=1),LE14,0)</f>
        <v>0</v>
      </c>
      <c r="LK13" s="6">
        <f>IF(AND(LK6=1,LK4=1),LE14,0)</f>
        <v>0</v>
      </c>
      <c r="LL13" s="6">
        <f>IF(AND(LL6=1,LL4=1),LE14,0)</f>
        <v>0</v>
      </c>
      <c r="LM13" s="6">
        <f>IF(AND(LM6=1,LM4=1),LE14,0)</f>
        <v>0</v>
      </c>
      <c r="LN13" s="4"/>
      <c r="LO13" s="4"/>
      <c r="LP13" s="4"/>
      <c r="LQ13" s="36"/>
      <c r="LR13" s="4"/>
      <c r="LT13" s="3" t="s">
        <v>1561</v>
      </c>
      <c r="LU13" s="6">
        <f>IF(AND(LU6=1,LU4=1),LU14,0)</f>
        <v>0</v>
      </c>
      <c r="LV13" s="6">
        <f>IF(AND(LV6=1,LV4=1),LU14,0)</f>
        <v>0</v>
      </c>
      <c r="LW13" s="6">
        <f>IF(AND(LW6=1,LW4=1),LU14,0)</f>
        <v>0</v>
      </c>
      <c r="LX13" s="6">
        <f>IF(AND(LX6=1,LX4=1),LU14,0)</f>
        <v>0</v>
      </c>
      <c r="LY13" s="6">
        <f>IF(AND(LY6=1,LY4=1),LU14,0)</f>
        <v>0</v>
      </c>
      <c r="LZ13" s="6">
        <f>IF(AND(LZ6=1,LZ4=1),LU14,0)</f>
        <v>0</v>
      </c>
      <c r="MA13" s="6">
        <f>IF(AND(MA6=1,MA4=1),LU14,0)</f>
        <v>0</v>
      </c>
      <c r="MB13" s="6">
        <f>IF(AND(MB6=1,MB4=1),LU14,0)</f>
        <v>0</v>
      </c>
      <c r="MC13" s="6">
        <f>IF(AND(MC6=1,MC4=1),LU14,0)</f>
        <v>0</v>
      </c>
      <c r="MD13" s="4"/>
      <c r="ME13" s="4"/>
      <c r="MF13" s="4"/>
      <c r="MG13" s="36"/>
      <c r="MH13" s="4"/>
      <c r="MJ13" s="3" t="s">
        <v>1559</v>
      </c>
      <c r="MK13" s="6">
        <f>IF(AND(MK6=1,MK4=1),MK14,0)</f>
        <v>0</v>
      </c>
      <c r="ML13" s="6">
        <f>IF(AND(ML6=1,ML4=1),MK14,0)</f>
        <v>0</v>
      </c>
      <c r="MM13" s="6">
        <f>IF(AND(MM6=1,MM4=1),MK14,0)</f>
        <v>0</v>
      </c>
      <c r="MN13" s="6">
        <f>IF(AND(MN6=1,MN4=1),MK14,0)</f>
        <v>0</v>
      </c>
      <c r="MO13" s="6">
        <f>IF(AND(MO6=1,MO4=1),MK14,0)</f>
        <v>0</v>
      </c>
      <c r="MP13" s="6">
        <f>IF(AND(MP6=1,MP4=1),MK14,0)</f>
        <v>0</v>
      </c>
      <c r="MQ13" s="6">
        <f>IF(AND(MQ6=1,MQ4=1),MK14,0)</f>
        <v>0</v>
      </c>
      <c r="MR13" s="6">
        <f>IF(AND(MR6=1,MR4=1),MK14,0)</f>
        <v>0</v>
      </c>
      <c r="MS13" s="6">
        <f>IF(AND(MS6=1,MS4=1),MK14,0)</f>
        <v>0</v>
      </c>
      <c r="MT13" s="4"/>
      <c r="MU13" s="4"/>
      <c r="MV13" s="4"/>
      <c r="MW13" s="36"/>
      <c r="MX13" s="4"/>
      <c r="MZ13" s="3" t="s">
        <v>1557</v>
      </c>
      <c r="NA13" s="6">
        <f>IF(AND(NA6=1,NA4=1),NA14,0)</f>
        <v>0</v>
      </c>
      <c r="NB13" s="6">
        <f>IF(AND(NB6=1,NB4=1),NA14,0)</f>
        <v>0</v>
      </c>
      <c r="NC13" s="6">
        <f>IF(AND(NC6=1,NC4=1),NA14,0)</f>
        <v>0</v>
      </c>
      <c r="ND13" s="6">
        <f>IF(AND(ND6=1,ND4=1),NA14,0)</f>
        <v>0</v>
      </c>
      <c r="NE13" s="6">
        <f>IF(AND(NE6=1,NE4=1),NA14,0)</f>
        <v>0</v>
      </c>
      <c r="NF13" s="6">
        <f>IF(AND(NF6=1,NF4=1),NA14,0)</f>
        <v>0</v>
      </c>
      <c r="NG13" s="6">
        <f>IF(AND(NG6=1,NG4=1),NA14,0)</f>
        <v>0</v>
      </c>
      <c r="NH13" s="6">
        <f>IF(AND(NH6=1,NH4=1),NA14,0)</f>
        <v>0</v>
      </c>
      <c r="NI13" s="6">
        <f>IF(AND(NI6=1,NI4=1),NA14,0)</f>
        <v>0</v>
      </c>
      <c r="NJ13" s="4"/>
      <c r="NK13" s="4"/>
      <c r="NL13" s="4"/>
      <c r="NM13" s="36"/>
      <c r="NN13" s="4"/>
      <c r="NP13" s="3" t="s">
        <v>1555</v>
      </c>
      <c r="NQ13" s="6">
        <f>IF(AND(NQ6=1,NQ4=1),NQ14,0)</f>
        <v>0</v>
      </c>
      <c r="NR13" s="6">
        <f>IF(AND(NR6=1,NR4=1),NQ14,0)</f>
        <v>0</v>
      </c>
      <c r="NS13" s="6">
        <f>IF(AND(NS6=1,NS4=1),NQ14,0)</f>
        <v>0</v>
      </c>
      <c r="NT13" s="6">
        <f>IF(AND(NT6=1,NT4=1),NQ14,0)</f>
        <v>0</v>
      </c>
      <c r="NU13" s="6">
        <f>IF(AND(NU6=1,NU4=1),NQ14,0)</f>
        <v>0</v>
      </c>
      <c r="NV13" s="6">
        <f>IF(AND(NV6=1,NV4=1),NQ14,0)</f>
        <v>0</v>
      </c>
      <c r="NW13" s="6">
        <f>IF(AND(NW6=1,NW4=1),NQ14,0)</f>
        <v>0</v>
      </c>
      <c r="NX13" s="6">
        <f>IF(AND(NX6=1,NX4=1),NQ14,0)</f>
        <v>0</v>
      </c>
      <c r="NY13" s="6">
        <f>IF(AND(NY6=1,NY4=1),NQ14,0)</f>
        <v>0</v>
      </c>
      <c r="NZ13" s="4"/>
      <c r="OA13" s="4"/>
      <c r="OB13" s="4"/>
      <c r="OC13" s="36"/>
      <c r="OD13" s="4"/>
      <c r="OF13" s="3" t="s">
        <v>1553</v>
      </c>
      <c r="OG13" s="6">
        <f>IF(AND(OG6=1,OG4=1),OG14,0)</f>
        <v>0</v>
      </c>
      <c r="OH13" s="6">
        <f>IF(AND(OH6=1,OH4=1),OG14,0)</f>
        <v>0</v>
      </c>
      <c r="OI13" s="6">
        <f>IF(AND(OI6=1,OI4=1),OG14,0)</f>
        <v>0</v>
      </c>
      <c r="OJ13" s="6">
        <f>IF(AND(OJ6=1,OJ4=1),OG14,0)</f>
        <v>0</v>
      </c>
      <c r="OK13" s="6">
        <f>IF(AND(OK6=1,OK4=1),OG14,0)</f>
        <v>0</v>
      </c>
      <c r="OL13" s="6">
        <f>IF(AND(OL6=1,OL4=1),OG14,0)</f>
        <v>0</v>
      </c>
      <c r="OM13" s="6">
        <f>IF(AND(OM6=1,OM4=1),OG14,0)</f>
        <v>0</v>
      </c>
      <c r="ON13" s="6">
        <f>IF(AND(ON6=1,ON4=1),OG14,0)</f>
        <v>0</v>
      </c>
      <c r="OO13" s="6">
        <f>IF(AND(OO6=1,OO4=1),OG14,0)</f>
        <v>0</v>
      </c>
      <c r="OP13" s="4"/>
      <c r="OQ13" s="4"/>
      <c r="OS13" s="36"/>
      <c r="OU13" s="8"/>
      <c r="OV13" s="4"/>
      <c r="OW13" s="4"/>
      <c r="OX13" s="4"/>
      <c r="OY13" s="4"/>
      <c r="OZ13" s="4"/>
      <c r="PA13" s="4"/>
      <c r="PB13" s="4"/>
      <c r="PC13" s="4"/>
      <c r="PD13" s="4"/>
      <c r="PE13" s="4"/>
      <c r="PH13" s="3"/>
      <c r="PI13" s="8"/>
      <c r="PJ13" s="4"/>
      <c r="PK13" s="4"/>
      <c r="PL13" s="4"/>
      <c r="PM13" s="4"/>
      <c r="PN13" s="4"/>
      <c r="PO13" s="4"/>
      <c r="PP13" s="4"/>
      <c r="PQ13" s="4"/>
      <c r="PR13" s="4"/>
      <c r="PS13" s="4"/>
      <c r="PV13" s="3"/>
      <c r="PW13" s="8"/>
      <c r="PX13" s="4"/>
      <c r="PY13" s="4"/>
      <c r="PZ13" s="4"/>
      <c r="QA13" s="4"/>
      <c r="QB13" s="4"/>
      <c r="QC13" s="4"/>
      <c r="QD13" s="4"/>
      <c r="QE13" s="4"/>
      <c r="QF13" s="4"/>
      <c r="QG13" s="4"/>
      <c r="QJ13" s="3"/>
      <c r="QK13" s="8"/>
      <c r="QL13" s="4"/>
      <c r="QM13" s="4"/>
      <c r="QN13" s="4"/>
      <c r="QO13" s="4"/>
      <c r="QP13" s="4"/>
      <c r="QQ13" s="4"/>
      <c r="QR13" s="4"/>
      <c r="QS13" s="4"/>
      <c r="QT13" s="4"/>
      <c r="QU13" s="4"/>
      <c r="QX13" s="3"/>
      <c r="QY13" s="8"/>
      <c r="QZ13" s="4"/>
      <c r="RA13" s="4"/>
      <c r="RB13" s="4"/>
      <c r="RC13" s="4"/>
      <c r="RD13" s="4"/>
      <c r="RE13" s="4"/>
      <c r="RF13" s="4"/>
      <c r="RG13" s="4"/>
      <c r="RH13" s="4"/>
      <c r="RI13" s="4"/>
      <c r="RL13" s="3"/>
      <c r="RM13" s="8"/>
      <c r="RN13" s="4"/>
      <c r="RO13" s="4"/>
      <c r="RP13" s="4"/>
      <c r="RQ13" s="4"/>
      <c r="RR13" s="4"/>
      <c r="RS13" s="4"/>
      <c r="RT13" s="4"/>
      <c r="RU13" s="4"/>
      <c r="RZ13" s="3"/>
      <c r="SA13" s="8"/>
      <c r="SB13" s="4"/>
      <c r="SC13" s="4"/>
      <c r="SD13" s="4"/>
      <c r="SE13" s="4"/>
      <c r="SF13" s="4"/>
      <c r="SG13" s="4"/>
      <c r="SH13" s="4"/>
      <c r="SI13" s="4"/>
      <c r="SN13" s="3"/>
      <c r="SO13" s="8"/>
      <c r="SP13" s="4"/>
      <c r="SQ13" s="4"/>
      <c r="SR13" s="4"/>
      <c r="SS13" s="4"/>
      <c r="ST13" s="4"/>
      <c r="SU13" s="4"/>
      <c r="SV13" s="4"/>
      <c r="SW13" s="4"/>
    </row>
    <row r="14" spans="1:517" x14ac:dyDescent="0.2">
      <c r="A14" s="3" t="s">
        <v>1390</v>
      </c>
      <c r="X14" s="3"/>
      <c r="Y14" s="6"/>
      <c r="Z14" s="4"/>
      <c r="AA14" s="4"/>
      <c r="AB14" s="4"/>
      <c r="AC14" s="4"/>
      <c r="AD14" s="4"/>
      <c r="AE14" s="4"/>
      <c r="AF14" s="4"/>
      <c r="AG14" s="4"/>
      <c r="AH14" s="4"/>
      <c r="AI14" s="4"/>
      <c r="AP14" s="3"/>
      <c r="AQ14" s="6"/>
      <c r="AR14" s="6"/>
      <c r="AS14" s="6"/>
      <c r="AT14" s="6"/>
      <c r="AU14" s="6"/>
      <c r="AV14" s="6"/>
      <c r="AW14" s="6"/>
      <c r="AX14" s="6"/>
      <c r="AY14" s="6"/>
      <c r="AZ14" s="4"/>
      <c r="BA14" s="4"/>
      <c r="BH14" s="3" t="s">
        <v>1397</v>
      </c>
      <c r="BI14" s="6">
        <f>BI12/5</f>
        <v>4000000</v>
      </c>
      <c r="BJ14" s="6"/>
      <c r="BK14" s="6"/>
      <c r="BL14" s="6"/>
      <c r="BM14" s="6"/>
      <c r="BN14" s="6"/>
      <c r="BO14" s="6"/>
      <c r="BP14" s="6"/>
      <c r="BQ14" s="6"/>
      <c r="BR14" s="4"/>
      <c r="BS14" s="4"/>
      <c r="BU14" s="36"/>
      <c r="BX14" s="3" t="s">
        <v>1399</v>
      </c>
      <c r="BY14" s="6">
        <f>BY12/5</f>
        <v>4000000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K14" s="36"/>
      <c r="CN14" s="3" t="s">
        <v>1401</v>
      </c>
      <c r="CO14" s="6">
        <f>CO12/5</f>
        <v>8000000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DA14" s="36"/>
      <c r="DD14" s="3" t="s">
        <v>1403</v>
      </c>
      <c r="DE14" s="6">
        <f>DE12/5</f>
        <v>4000000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Q14" s="36"/>
      <c r="DT14" s="3" t="s">
        <v>1405</v>
      </c>
      <c r="DU14" s="6">
        <f>DU12/5</f>
        <v>4000000</v>
      </c>
      <c r="DV14" s="4"/>
      <c r="DW14" s="4"/>
      <c r="DX14" s="4"/>
      <c r="DY14" s="4"/>
      <c r="DZ14" s="4"/>
      <c r="EA14" s="4"/>
      <c r="EB14" s="4"/>
      <c r="EC14" s="4"/>
      <c r="ED14" s="4"/>
      <c r="EE14" s="4"/>
      <c r="EG14" s="36"/>
      <c r="EJ14" s="3" t="s">
        <v>1395</v>
      </c>
      <c r="EK14" s="6">
        <f>EK12/5</f>
        <v>8000000</v>
      </c>
      <c r="EL14" s="4"/>
      <c r="EM14" s="4"/>
      <c r="EN14" s="4"/>
      <c r="EO14" s="4"/>
      <c r="EP14" s="4"/>
      <c r="EQ14" s="4"/>
      <c r="ER14" s="4"/>
      <c r="ES14" s="4"/>
      <c r="ET14" s="4"/>
      <c r="EU14" s="4"/>
      <c r="EW14" s="36"/>
      <c r="EZ14" s="3" t="s">
        <v>1393</v>
      </c>
      <c r="FA14" s="6">
        <f>FA12/5</f>
        <v>8000000</v>
      </c>
      <c r="FB14" s="4"/>
      <c r="FC14" s="4"/>
      <c r="FD14" s="4"/>
      <c r="FE14" s="4"/>
      <c r="FF14" s="4"/>
      <c r="FG14" s="4"/>
      <c r="FH14" s="4"/>
      <c r="FI14" s="6"/>
      <c r="FJ14" s="4"/>
      <c r="FK14" s="6"/>
      <c r="FM14" s="37"/>
      <c r="FP14" s="3" t="s">
        <v>1552</v>
      </c>
      <c r="FQ14" s="6">
        <f>FQ12/5</f>
        <v>2000000</v>
      </c>
      <c r="FR14" s="4"/>
      <c r="FS14" s="4"/>
      <c r="FT14" s="4"/>
      <c r="FU14" s="4"/>
      <c r="FV14" s="4"/>
      <c r="FW14" s="4"/>
      <c r="FX14" s="4"/>
      <c r="FY14" s="6"/>
      <c r="FZ14" s="4"/>
      <c r="GA14" s="6"/>
      <c r="GC14" s="37"/>
      <c r="GF14" s="3" t="s">
        <v>1550</v>
      </c>
      <c r="GG14" s="6">
        <f>GG12/5</f>
        <v>8000000</v>
      </c>
      <c r="GH14" s="4"/>
      <c r="GI14" s="4"/>
      <c r="GJ14" s="4"/>
      <c r="GK14" s="4"/>
      <c r="GL14" s="4"/>
      <c r="GM14" s="4"/>
      <c r="GN14" s="4"/>
      <c r="GO14" s="6"/>
      <c r="GP14" s="4"/>
      <c r="GQ14" s="4"/>
      <c r="GR14" s="4"/>
      <c r="GS14" s="36"/>
      <c r="GT14" s="4"/>
      <c r="GV14" s="3" t="s">
        <v>1578</v>
      </c>
      <c r="GW14" s="6">
        <f>GW12/5</f>
        <v>4000000</v>
      </c>
      <c r="GX14" s="4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37"/>
      <c r="HJ14" s="6"/>
      <c r="HK14" s="6"/>
      <c r="HL14" s="3" t="s">
        <v>1576</v>
      </c>
      <c r="HM14" s="6">
        <f>HM12/5</f>
        <v>8000000</v>
      </c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37"/>
      <c r="HZ14" s="6"/>
      <c r="IA14" s="6"/>
      <c r="IB14" s="3" t="s">
        <v>1574</v>
      </c>
      <c r="IC14" s="6">
        <f>IC12/5</f>
        <v>2000000</v>
      </c>
      <c r="ID14" s="6"/>
      <c r="IE14" s="6"/>
      <c r="IF14" s="4"/>
      <c r="IG14" s="4"/>
      <c r="IH14" s="4"/>
      <c r="II14" s="4"/>
      <c r="IJ14" s="4"/>
      <c r="IK14" s="4"/>
      <c r="IL14" s="4"/>
      <c r="IM14" s="4"/>
      <c r="IN14" s="4"/>
      <c r="IO14" s="36"/>
      <c r="IP14" s="4"/>
      <c r="IR14" s="3" t="s">
        <v>1572</v>
      </c>
      <c r="IS14" s="6">
        <f>IS12/5</f>
        <v>4000000</v>
      </c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36"/>
      <c r="JF14" s="4"/>
      <c r="JH14" s="3" t="s">
        <v>1570</v>
      </c>
      <c r="JI14" s="6">
        <f>JI12/5</f>
        <v>4000000</v>
      </c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36"/>
      <c r="JV14" s="4"/>
      <c r="JX14" s="3" t="s">
        <v>1568</v>
      </c>
      <c r="JY14" s="6">
        <f>JY12/5</f>
        <v>4000000</v>
      </c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36"/>
      <c r="KL14" s="4"/>
      <c r="KN14" s="3" t="s">
        <v>1566</v>
      </c>
      <c r="KO14" s="6">
        <f>KO12/5</f>
        <v>4000000</v>
      </c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36"/>
      <c r="LB14" s="4"/>
      <c r="LD14" s="3" t="s">
        <v>1564</v>
      </c>
      <c r="LE14" s="6">
        <f>LE12/5</f>
        <v>4000000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36"/>
      <c r="LR14" s="4"/>
      <c r="LT14" s="3" t="s">
        <v>1562</v>
      </c>
      <c r="LU14" s="6">
        <f>LU12/5</f>
        <v>4000000</v>
      </c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36"/>
      <c r="MH14" s="4"/>
      <c r="MJ14" s="3" t="s">
        <v>1560</v>
      </c>
      <c r="MK14" s="6">
        <f>MK12/5</f>
        <v>4000000</v>
      </c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36"/>
      <c r="MX14" s="4"/>
      <c r="MZ14" s="3" t="s">
        <v>1558</v>
      </c>
      <c r="NA14" s="6">
        <f>NA12/5</f>
        <v>4000000</v>
      </c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36"/>
      <c r="NN14" s="4"/>
      <c r="NP14" s="3" t="s">
        <v>1556</v>
      </c>
      <c r="NQ14" s="6">
        <f>NQ12/5</f>
        <v>4000000</v>
      </c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36"/>
      <c r="OD14" s="4"/>
      <c r="OF14" s="3" t="s">
        <v>1554</v>
      </c>
      <c r="OG14" s="6">
        <f>OG12/5</f>
        <v>4000000</v>
      </c>
      <c r="OH14" s="4"/>
      <c r="OI14" s="4"/>
      <c r="OJ14" s="4"/>
      <c r="OK14" s="4"/>
      <c r="OL14" s="4"/>
      <c r="OM14" s="4"/>
      <c r="ON14" s="4"/>
      <c r="OO14" s="4"/>
      <c r="OP14" s="4"/>
      <c r="OQ14" s="4"/>
      <c r="OS14" s="36"/>
      <c r="OU14" s="8"/>
      <c r="OV14" s="4"/>
      <c r="OW14" s="4"/>
      <c r="OX14" s="4"/>
      <c r="OY14" s="4"/>
      <c r="OZ14" s="4"/>
      <c r="PA14" s="4"/>
      <c r="PB14" s="4"/>
      <c r="PC14" s="4"/>
      <c r="PD14" s="4"/>
      <c r="PE14" s="4"/>
      <c r="PH14" s="3"/>
      <c r="PI14" s="8"/>
      <c r="PJ14" s="4"/>
      <c r="PK14" s="4"/>
      <c r="PL14" s="4"/>
      <c r="PM14" s="4"/>
      <c r="PN14" s="4"/>
      <c r="PO14" s="4"/>
      <c r="PP14" s="4"/>
      <c r="PQ14" s="4"/>
      <c r="PR14" s="4"/>
      <c r="PS14" s="4"/>
      <c r="PV14" s="3"/>
      <c r="PW14" s="8"/>
      <c r="PX14" s="4"/>
      <c r="PY14" s="4"/>
      <c r="PZ14" s="4"/>
      <c r="QA14" s="4"/>
      <c r="QB14" s="4"/>
      <c r="QC14" s="4"/>
      <c r="QD14" s="4"/>
      <c r="QE14" s="4"/>
      <c r="QF14" s="4"/>
      <c r="QG14" s="4"/>
      <c r="QJ14" s="3"/>
      <c r="QK14" s="8"/>
      <c r="QL14" s="4"/>
      <c r="QM14" s="4"/>
      <c r="QN14" s="4"/>
      <c r="QO14" s="4"/>
      <c r="QP14" s="4"/>
      <c r="QQ14" s="4"/>
      <c r="QR14" s="4"/>
      <c r="QS14" s="4"/>
      <c r="QT14" s="4"/>
      <c r="QU14" s="4"/>
      <c r="QX14" s="3"/>
      <c r="QY14" s="8"/>
      <c r="QZ14" s="4"/>
      <c r="RA14" s="4"/>
      <c r="RB14" s="4"/>
      <c r="RC14" s="4"/>
      <c r="RD14" s="4"/>
      <c r="RE14" s="4"/>
      <c r="RF14" s="4"/>
      <c r="RG14" s="4"/>
      <c r="RH14" s="4"/>
      <c r="RI14" s="4"/>
      <c r="RL14" s="3"/>
      <c r="RM14" s="8"/>
      <c r="RN14" s="4"/>
      <c r="RO14" s="4"/>
      <c r="RP14" s="4"/>
      <c r="RQ14" s="4"/>
      <c r="RR14" s="4"/>
      <c r="RS14" s="4"/>
      <c r="RT14" s="4"/>
      <c r="RU14" s="4"/>
      <c r="RZ14" s="3"/>
      <c r="SA14" s="8"/>
      <c r="SB14" s="4"/>
      <c r="SC14" s="4"/>
      <c r="SD14" s="4"/>
      <c r="SE14" s="4"/>
      <c r="SF14" s="4"/>
      <c r="SG14" s="4"/>
      <c r="SH14" s="4"/>
      <c r="SI14" s="4"/>
      <c r="SN14" s="3"/>
      <c r="SO14" s="8"/>
      <c r="SP14" s="4"/>
      <c r="SQ14" s="4"/>
      <c r="SR14" s="4"/>
      <c r="SS14" s="4"/>
      <c r="ST14" s="4"/>
      <c r="SU14" s="4"/>
      <c r="SV14" s="4"/>
      <c r="SW14" s="4"/>
    </row>
    <row r="15" spans="1:517" x14ac:dyDescent="0.2">
      <c r="A15" s="3" t="s">
        <v>1189</v>
      </c>
      <c r="X15" s="3"/>
      <c r="Y15" s="7"/>
      <c r="AP15" s="3"/>
      <c r="AQ15" s="7"/>
      <c r="AR15" s="7"/>
      <c r="AS15" s="7"/>
      <c r="AT15" s="7"/>
      <c r="AU15" s="7"/>
      <c r="AV15" s="7"/>
      <c r="AW15" s="7"/>
      <c r="AX15" s="7"/>
      <c r="AY15" s="7"/>
      <c r="BH15" s="3" t="s">
        <v>1190</v>
      </c>
      <c r="BI15" s="7" t="s">
        <v>6</v>
      </c>
      <c r="BJ15" s="7"/>
      <c r="BK15" s="7"/>
      <c r="BL15" s="7"/>
      <c r="BM15" s="7"/>
      <c r="BN15" s="7"/>
      <c r="BO15" s="7"/>
      <c r="BP15" s="7"/>
      <c r="BQ15" s="7"/>
      <c r="BU15" s="9"/>
      <c r="BX15" s="3" t="s">
        <v>1191</v>
      </c>
      <c r="BY15" s="7" t="s">
        <v>6</v>
      </c>
      <c r="CK15" s="9"/>
      <c r="CN15" s="3" t="s">
        <v>1192</v>
      </c>
      <c r="CO15" s="7" t="s">
        <v>6</v>
      </c>
      <c r="DA15" s="9"/>
      <c r="DD15" s="3" t="s">
        <v>1193</v>
      </c>
      <c r="DE15" s="7" t="s">
        <v>6</v>
      </c>
      <c r="DQ15" s="9"/>
      <c r="DT15" s="3" t="s">
        <v>1194</v>
      </c>
      <c r="DU15" s="7" t="s">
        <v>6</v>
      </c>
      <c r="EG15" s="9"/>
      <c r="EJ15" s="3" t="s">
        <v>1195</v>
      </c>
      <c r="EK15" s="7" t="s">
        <v>6</v>
      </c>
      <c r="EW15" s="9"/>
      <c r="EZ15" s="3" t="s">
        <v>1196</v>
      </c>
      <c r="FA15" s="7" t="s">
        <v>6</v>
      </c>
      <c r="FI15" s="7"/>
      <c r="FK15" s="7"/>
      <c r="FM15" s="38"/>
      <c r="FP15" s="3" t="s">
        <v>1197</v>
      </c>
      <c r="FQ15" s="7" t="s">
        <v>6</v>
      </c>
      <c r="FY15" s="7"/>
      <c r="GA15" s="7"/>
      <c r="GC15" s="38"/>
      <c r="GF15" s="3" t="s">
        <v>1198</v>
      </c>
      <c r="GG15" s="7" t="s">
        <v>6</v>
      </c>
      <c r="GO15" s="7"/>
      <c r="GS15" s="9"/>
      <c r="GV15" s="3" t="s">
        <v>1199</v>
      </c>
      <c r="GW15" s="7" t="s">
        <v>6</v>
      </c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38"/>
      <c r="HJ15" s="7"/>
      <c r="HK15" s="7"/>
      <c r="HL15" s="3" t="s">
        <v>1200</v>
      </c>
      <c r="HM15" s="7" t="s">
        <v>6</v>
      </c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38"/>
      <c r="HZ15" s="7"/>
      <c r="IA15" s="7"/>
      <c r="IB15" s="3" t="s">
        <v>1201</v>
      </c>
      <c r="IC15" s="7" t="s">
        <v>6</v>
      </c>
      <c r="ID15" s="7"/>
      <c r="IE15" s="7"/>
      <c r="IO15" s="9"/>
      <c r="IR15" s="3" t="s">
        <v>1202</v>
      </c>
      <c r="IS15" s="7" t="s">
        <v>6</v>
      </c>
      <c r="JE15" s="9"/>
      <c r="JH15" s="3" t="s">
        <v>1203</v>
      </c>
      <c r="JI15" s="7" t="s">
        <v>6</v>
      </c>
      <c r="JU15" s="9"/>
      <c r="JX15" s="3" t="s">
        <v>1204</v>
      </c>
      <c r="JY15" s="7" t="s">
        <v>6</v>
      </c>
      <c r="KK15" s="9"/>
      <c r="KN15" s="3" t="s">
        <v>1205</v>
      </c>
      <c r="KO15" s="7" t="s">
        <v>6</v>
      </c>
      <c r="LA15" s="9"/>
      <c r="LD15" s="3" t="s">
        <v>1206</v>
      </c>
      <c r="LE15" s="7" t="s">
        <v>6</v>
      </c>
      <c r="LQ15" s="9"/>
      <c r="LT15" s="3" t="s">
        <v>1207</v>
      </c>
      <c r="LU15" s="7" t="s">
        <v>6</v>
      </c>
      <c r="MG15" s="9"/>
      <c r="MJ15" s="3" t="s">
        <v>1208</v>
      </c>
      <c r="MK15" s="7" t="s">
        <v>6</v>
      </c>
      <c r="MW15" s="9"/>
      <c r="MZ15" s="3" t="s">
        <v>1209</v>
      </c>
      <c r="NA15" s="7" t="s">
        <v>6</v>
      </c>
      <c r="NM15" s="9"/>
      <c r="NP15" s="3" t="s">
        <v>1210</v>
      </c>
      <c r="NQ15" s="7" t="s">
        <v>6</v>
      </c>
      <c r="OC15" s="9"/>
      <c r="OF15" s="3" t="s">
        <v>1211</v>
      </c>
      <c r="OG15" s="7" t="s">
        <v>6</v>
      </c>
      <c r="OS15" s="9"/>
      <c r="OU15" s="7"/>
      <c r="PH15" s="3"/>
      <c r="PI15" s="7"/>
      <c r="PV15" s="3"/>
      <c r="PW15" s="7"/>
      <c r="QJ15" s="3"/>
      <c r="QK15" s="7"/>
      <c r="QX15" s="3"/>
      <c r="QY15" s="7"/>
      <c r="RL15" s="3"/>
      <c r="RM15" s="7"/>
      <c r="RZ15" s="3"/>
      <c r="SA15" s="7"/>
      <c r="SN15" s="3"/>
      <c r="SO15" s="7"/>
    </row>
    <row r="16" spans="1:517" x14ac:dyDescent="0.2">
      <c r="A16" s="3" t="s">
        <v>1212</v>
      </c>
      <c r="X16" s="3"/>
      <c r="Y16" s="7"/>
      <c r="AP16" s="3"/>
      <c r="AQ16" s="7"/>
      <c r="AR16" s="7"/>
      <c r="AS16" s="7"/>
      <c r="AT16" s="7"/>
      <c r="AU16" s="7"/>
      <c r="AV16" s="7"/>
      <c r="AW16" s="7"/>
      <c r="AX16" s="7"/>
      <c r="AY16" s="7"/>
      <c r="BH16" s="3" t="s">
        <v>1213</v>
      </c>
      <c r="BI16" s="7" t="s">
        <v>6</v>
      </c>
      <c r="BJ16" s="7"/>
      <c r="BK16" s="7"/>
      <c r="BL16" s="7"/>
      <c r="BM16" s="7"/>
      <c r="BN16" s="7"/>
      <c r="BO16" s="7"/>
      <c r="BP16" s="7"/>
      <c r="BQ16" s="7"/>
      <c r="BU16" s="9"/>
      <c r="BX16" s="3" t="s">
        <v>1214</v>
      </c>
      <c r="BY16" s="7" t="s">
        <v>6</v>
      </c>
      <c r="CK16" s="9"/>
      <c r="CN16" s="3" t="s">
        <v>1215</v>
      </c>
      <c r="CO16" s="7" t="s">
        <v>6</v>
      </c>
      <c r="DA16" s="9"/>
      <c r="DD16" s="3" t="s">
        <v>1216</v>
      </c>
      <c r="DE16" s="7" t="s">
        <v>6</v>
      </c>
      <c r="DQ16" s="9"/>
      <c r="DT16" s="3" t="s">
        <v>1217</v>
      </c>
      <c r="DU16" s="7" t="s">
        <v>6</v>
      </c>
      <c r="EG16" s="9"/>
      <c r="EJ16" s="3" t="s">
        <v>1218</v>
      </c>
      <c r="EK16" s="7" t="s">
        <v>6</v>
      </c>
      <c r="EW16" s="9"/>
      <c r="EZ16" s="3" t="s">
        <v>1219</v>
      </c>
      <c r="FA16" s="7" t="s">
        <v>6</v>
      </c>
      <c r="FI16" s="7"/>
      <c r="FK16" s="7"/>
      <c r="FM16" s="38"/>
      <c r="FP16" s="3" t="s">
        <v>1220</v>
      </c>
      <c r="FQ16" s="7" t="s">
        <v>6</v>
      </c>
      <c r="FY16" s="7"/>
      <c r="GA16" s="7"/>
      <c r="GC16" s="38"/>
      <c r="GF16" s="3" t="s">
        <v>1221</v>
      </c>
      <c r="GG16" s="7" t="s">
        <v>6</v>
      </c>
      <c r="GO16" s="7"/>
      <c r="GS16" s="9"/>
      <c r="GV16" s="3" t="s">
        <v>1222</v>
      </c>
      <c r="GW16" s="7" t="s">
        <v>6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38"/>
      <c r="HJ16" s="7"/>
      <c r="HK16" s="7"/>
      <c r="HL16" s="3" t="s">
        <v>1223</v>
      </c>
      <c r="HM16" s="7" t="s">
        <v>6</v>
      </c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38"/>
      <c r="HZ16" s="7"/>
      <c r="IA16" s="7"/>
      <c r="IB16" s="3" t="s">
        <v>1224</v>
      </c>
      <c r="IC16" s="7" t="s">
        <v>6</v>
      </c>
      <c r="ID16" s="7"/>
      <c r="IE16" s="7"/>
      <c r="IO16" s="9"/>
      <c r="IR16" s="3" t="s">
        <v>1225</v>
      </c>
      <c r="IS16" s="7" t="s">
        <v>6</v>
      </c>
      <c r="JE16" s="9"/>
      <c r="JH16" s="3" t="s">
        <v>1226</v>
      </c>
      <c r="JI16" s="7" t="s">
        <v>6</v>
      </c>
      <c r="JU16" s="9"/>
      <c r="JX16" s="3" t="s">
        <v>1227</v>
      </c>
      <c r="JY16" s="7" t="s">
        <v>6</v>
      </c>
      <c r="KK16" s="9"/>
      <c r="KN16" s="3" t="s">
        <v>1228</v>
      </c>
      <c r="KO16" s="7" t="s">
        <v>6</v>
      </c>
      <c r="LA16" s="9"/>
      <c r="LD16" s="3" t="s">
        <v>1229</v>
      </c>
      <c r="LE16" s="7" t="s">
        <v>6</v>
      </c>
      <c r="LQ16" s="9"/>
      <c r="LT16" s="3" t="s">
        <v>1230</v>
      </c>
      <c r="LU16" s="7" t="s">
        <v>6</v>
      </c>
      <c r="MG16" s="9"/>
      <c r="MJ16" s="3" t="s">
        <v>1231</v>
      </c>
      <c r="MK16" s="7" t="s">
        <v>6</v>
      </c>
      <c r="MW16" s="9"/>
      <c r="MZ16" s="3" t="s">
        <v>1232</v>
      </c>
      <c r="NA16" s="7" t="s">
        <v>6</v>
      </c>
      <c r="NM16" s="9"/>
      <c r="NP16" s="3" t="s">
        <v>1233</v>
      </c>
      <c r="NQ16" s="7" t="s">
        <v>6</v>
      </c>
      <c r="OC16" s="9"/>
      <c r="OF16" s="3" t="s">
        <v>1234</v>
      </c>
      <c r="OG16" s="7" t="s">
        <v>6</v>
      </c>
      <c r="OS16" s="9"/>
      <c r="OU16" s="7"/>
      <c r="PH16" s="3"/>
      <c r="PI16" s="7"/>
      <c r="PV16" s="3"/>
      <c r="PW16" s="7"/>
      <c r="QJ16" s="3"/>
      <c r="QK16" s="7"/>
      <c r="QX16" s="3"/>
      <c r="QY16" s="7"/>
      <c r="RL16" s="3"/>
      <c r="RM16" s="7"/>
      <c r="RZ16" s="3"/>
      <c r="SA16" s="7"/>
      <c r="SN16" s="3"/>
      <c r="SO16" s="7"/>
    </row>
    <row r="17" spans="1:508" x14ac:dyDescent="0.2">
      <c r="A17" s="3" t="s">
        <v>1235</v>
      </c>
      <c r="X17" s="3"/>
      <c r="AP17" s="3"/>
      <c r="BH17" s="3" t="s">
        <v>1236</v>
      </c>
      <c r="BI17">
        <f>IF(BI4=1,1,IF(AND(BI4=0,BJ4=1),2,IF(AND(BJ4=0,BK4=1),3,IF(AND(BK4=0,BL4=1),4,IF(AND(BL4=0,BM4=1),5,IF(AND(BM4=0,BN4=1),6,IF(AND(BN4=0,BO4=1),7,IF(AND(BO4=0,BP4=1),8,-1))))))))</f>
        <v>-1</v>
      </c>
      <c r="BU17" s="9"/>
      <c r="BX17" s="3" t="s">
        <v>1237</v>
      </c>
      <c r="BY17">
        <f>IF(BY4=1,1,IF(AND(BY4=0,BZ4=1),2,IF(AND(BZ4=0,CA4=1),3,IF(AND(CA4=0,CB4=1),4,IF(AND(CB4=0,CC4=1),5,IF(AND(CC4=0,CD4=1),6,IF(AND(CD4=0,CE4=1),7,IF(AND(CE4=0,CF4=1),8,-1))))))))</f>
        <v>-1</v>
      </c>
      <c r="CK17" s="9"/>
      <c r="CN17" s="3" t="s">
        <v>1238</v>
      </c>
      <c r="CO17">
        <f>IF(CO4=1,1,IF(AND(CO4=0,CP4=1),2,IF(AND(CP4=0,CQ4=1),3,IF(AND(CQ4=0,CR4=1),4,IF(AND(CR4=0,CS4=1),5,IF(AND(CS4=0,CT4=1),6,IF(AND(CT4=0,CU4=1),7,IF(AND(CU4=0,CV4=1),8,-1))))))))</f>
        <v>-1</v>
      </c>
      <c r="DA17" s="9"/>
      <c r="DD17" s="3" t="s">
        <v>1239</v>
      </c>
      <c r="DE17">
        <f>IF(DE4=1,1,IF(AND(DE4=0,DF4=1),2,IF(AND(DF4=0,DG4=1),3,IF(AND(DG4=0,DH4=1),4,IF(AND(DH4=0,DI4=1),5,IF(AND(DI4=0,DJ4=1),6,IF(AND(DJ4=0,DK4=1),7,IF(AND(DK4=0,DL4=1),8,-1))))))))</f>
        <v>-1</v>
      </c>
      <c r="DQ17" s="9"/>
      <c r="DT17" s="3" t="s">
        <v>1240</v>
      </c>
      <c r="DU17">
        <f>IF(DU4=1,1,IF(AND(DU4=0,DV4=1),2,IF(AND(DV4=0,DW4=1),3,IF(AND(DW4=0,DX4=1),4,IF(AND(DX4=0,DY4=1),5,IF(AND(DY4=0,DZ4=1),6,IF(AND(DZ4=0,EA4=1),7,IF(AND(EA4=0,EB4=1),8,-1))))))))</f>
        <v>-1</v>
      </c>
      <c r="EG17" s="9"/>
      <c r="EJ17" s="3" t="s">
        <v>1241</v>
      </c>
      <c r="EK17">
        <f>IF(EK4=1,1,IF(AND(EK4=0,EL4=1),2,IF(AND(EL4=0,EM4=1),3,IF(AND(EM4=0,EN4=1),4,IF(AND(EN4=0,EO4=1),5,IF(AND(EO4=0,EP4=1),6,IF(AND(EP4=0,EQ4=1),7,IF(AND(EQ4=0,ER4=1),8,-1))))))))</f>
        <v>-1</v>
      </c>
      <c r="EW17" s="9"/>
      <c r="EZ17" s="3" t="s">
        <v>1242</v>
      </c>
      <c r="FA17">
        <f>IF(FA4=1,1,IF(AND(FA4=0,FB4=1),2,IF(AND(FB4=0,FC4=1),3,IF(AND(FC4=0,FD4=1),4,IF(AND(FD4=0,FE4=1),5,IF(AND(FE4=0,FF4=1),6,IF(AND(FF4=0,FG4=1),7,IF(AND(FG4=0,FH4=1),8,-1))))))))</f>
        <v>-1</v>
      </c>
      <c r="FM17" s="9"/>
      <c r="FP17" s="3" t="s">
        <v>1243</v>
      </c>
      <c r="FQ17">
        <f>IF(FQ4=1,1,IF(AND(FQ4=0,FR4=1),2,IF(AND(FR4=0,FS4=1),3,IF(AND(FS4=0,FT4=1),4,IF(AND(FT4=0,FU4=1),5,IF(AND(FU4=0,FV4=1),6,IF(AND(FV4=0,FW4=1),7,IF(AND(FW4=0,FX4=1),8,-1))))))))</f>
        <v>-1</v>
      </c>
      <c r="GC17" s="9"/>
      <c r="GF17" s="3" t="s">
        <v>1244</v>
      </c>
      <c r="GG17">
        <f>IF(GG4=1,1,IF(AND(GG4=0,GH4=1),2,IF(AND(GH4=0,GI4=1),3,IF(AND(GI4=0,GJ4=1),4,IF(AND(GJ4=0,GK4=1),5,IF(AND(GK4=0,GL4=1),6,IF(AND(GL4=0,GM4=1),7,IF(AND(GM4=0,GN4=1),8,-1))))))))</f>
        <v>-1</v>
      </c>
      <c r="GS17" s="9"/>
      <c r="GV17" s="3" t="s">
        <v>1245</v>
      </c>
      <c r="GW17">
        <f>IF(GW4=1,1,IF(AND(GW4=0,GX4=1),2,IF(AND(GX4=0,GY4=1),3,IF(AND(GY4=0,GZ4=1),4,IF(AND(GZ4=0,HA4=1),5,IF(AND(HA4=0,HB4=1),6,IF(AND(HB4=0,HC4=1),7,IF(AND(HC4=0,HD4=1),8,-1))))))))</f>
        <v>-1</v>
      </c>
      <c r="HI17" s="9"/>
      <c r="HL17" s="3" t="s">
        <v>1246</v>
      </c>
      <c r="HM17">
        <f>IF(HM4=1,1,IF(AND(HM4=0,HN4=1),2,IF(AND(HN4=0,HO4=1),3,IF(AND(HO4=0,HP4=1),4,IF(AND(HP4=0,HQ4=1),5,IF(AND(HQ4=0,HR4=1),6,IF(AND(HR4=0,HS4=1),7,IF(AND(HS4=0,HT4=1),8,-1))))))))</f>
        <v>-1</v>
      </c>
      <c r="HY17" s="9"/>
      <c r="IB17" s="3" t="s">
        <v>1247</v>
      </c>
      <c r="IC17">
        <f>IF(IC4=1,1,IF(AND(IC4=0,ID4=1),2,IF(AND(ID4=0,IE4=1),3,IF(AND(IE4=0,IF4=1),4,IF(AND(IF4=0,IG4=1),5,IF(AND(IG4=0,IH4=1),6,IF(AND(IH4=0,II4=1),7,IF(AND(II4=0,IJ4=1),8,-1))))))))</f>
        <v>-1</v>
      </c>
      <c r="IO17" s="9"/>
      <c r="IR17" s="3" t="s">
        <v>1248</v>
      </c>
      <c r="IS17">
        <f>IF(IS4=1,1,IF(AND(IS4=0,IT4=1),2,IF(AND(IT4=0,IU4=1),3,IF(AND(IU4=0,IV4=1),4,IF(AND(IV4=0,IW4=1),5,IF(AND(IW4=0,IX4=1),6,IF(AND(IX4=0,IY4=1),7,IF(AND(IY4=0,IZ4=1),8,-1))))))))</f>
        <v>-1</v>
      </c>
      <c r="JE17" s="9"/>
      <c r="JH17" s="3" t="s">
        <v>1249</v>
      </c>
      <c r="JI17">
        <f>IF(JI4=1,1,IF(AND(JI4=0,JJ4=1),2,IF(AND(JJ4=0,JK4=1),3,IF(AND(JK4=0,JL4=1),4,IF(AND(JL4=0,JM4=1),5,IF(AND(JM4=0,JN4=1),6,IF(AND(JN4=0,JO4=1),7,IF(AND(JO4=0,JP4=1),8,-1))))))))</f>
        <v>-1</v>
      </c>
      <c r="JU17" s="9"/>
      <c r="JX17" s="3" t="s">
        <v>1250</v>
      </c>
      <c r="JY17">
        <f>IF(JY4=1,1,IF(AND(JY4=0,JZ4=1),2,IF(AND(JZ4=0,KA4=1),3,IF(AND(KA4=0,KB4=1),4,IF(AND(KB4=0,KC4=1),5,IF(AND(KC4=0,KD4=1),6,IF(AND(KD4=0,KE4=1),7,IF(AND(KE4=0,KF4=1),8,-1))))))))</f>
        <v>-1</v>
      </c>
      <c r="KK17" s="9"/>
      <c r="KN17" s="3" t="s">
        <v>1251</v>
      </c>
      <c r="KO17">
        <f>IF(KO4=1,1,IF(AND(KO4=0,KP4=1),2,IF(AND(KP4=0,KQ4=1),3,IF(AND(KQ4=0,KR4=1),4,IF(AND(KR4=0,KS4=1),5,IF(AND(KS4=0,KT4=1),6,IF(AND(KT4=0,KU4=1),7,IF(AND(KU4=0,KV4=1),8,-1))))))))</f>
        <v>-1</v>
      </c>
      <c r="LA17" s="9"/>
      <c r="LD17" s="3" t="s">
        <v>1252</v>
      </c>
      <c r="LE17">
        <f>IF(LE4=1,1,IF(AND(LE4=0,LF4=1),2,IF(AND(LF4=0,LG4=1),3,IF(AND(LG4=0,LH4=1),4,IF(AND(LH4=0,LI4=1),5,IF(AND(LI4=0,LJ4=1),6,IF(AND(LJ4=0,LK4=1),7,IF(AND(LK4=0,LL4=1),8,-1))))))))</f>
        <v>-1</v>
      </c>
      <c r="LQ17" s="9"/>
      <c r="LT17" s="3" t="s">
        <v>1253</v>
      </c>
      <c r="LU17">
        <f>IF(LU4=1,1,IF(AND(LU4=0,LV4=1),2,IF(AND(LV4=0,LW4=1),3,IF(AND(LW4=0,LX4=1),4,IF(AND(LX4=0,LY4=1),5,IF(AND(LY4=0,LZ4=1),6,IF(AND(LZ4=0,MA4=1),7,IF(AND(MA4=0,MB4=1),8,-1))))))))</f>
        <v>-1</v>
      </c>
      <c r="MG17" s="9"/>
      <c r="MJ17" s="3" t="s">
        <v>1254</v>
      </c>
      <c r="MK17">
        <f>IF(MK4=1,1,IF(AND(MK4=0,ML4=1),2,IF(AND(ML4=0,MM4=1),3,IF(AND(MM4=0,MN4=1),4,IF(AND(MN4=0,MO4=1),5,IF(AND(MO4=0,MP4=1),6,IF(AND(MP4=0,MQ4=1),7,IF(AND(MQ4=0,MR4=1),8,-1))))))))</f>
        <v>-1</v>
      </c>
      <c r="MW17" s="9"/>
      <c r="MZ17" s="3" t="s">
        <v>1255</v>
      </c>
      <c r="NA17">
        <f>IF(NA4=1,1,IF(AND(NA4=0,NB4=1),2,IF(AND(NB4=0,NC4=1),3,IF(AND(NC4=0,ND4=1),4,IF(AND(ND4=0,NE4=1),5,IF(AND(NE4=0,NF4=1),6,IF(AND(NF4=0,NG4=1),7,IF(AND(NG4=0,NH4=1),8,-1))))))))</f>
        <v>-1</v>
      </c>
      <c r="NM17" s="9"/>
      <c r="NP17" s="3" t="s">
        <v>1256</v>
      </c>
      <c r="NQ17">
        <f>IF(NQ4=1,1,IF(AND(NQ4=0,NR4=1),2,IF(AND(NR4=0,NS4=1),3,IF(AND(NS4=0,NT4=1),4,IF(AND(NT4=0,NU4=1),5,IF(AND(NU4=0,NV4=1),6,IF(AND(NV4=0,NW4=1),7,IF(AND(NW4=0,NX4=1),8,-1))))))))</f>
        <v>-1</v>
      </c>
      <c r="OC17" s="9"/>
      <c r="OF17" s="3" t="s">
        <v>1257</v>
      </c>
      <c r="OG17">
        <f>IF(OG4=1,1,IF(AND(OG4=0,OH4=1),2,IF(AND(OH4=0,OI4=1),3,IF(AND(OI4=0,OJ4=1),4,IF(AND(OJ4=0,OK4=1),5,IF(AND(OK4=0,OL4=1),6,IF(AND(OL4=0,OM4=1),7,IF(AND(OM4=0,ON4=1),8,-1))))))))</f>
        <v>-1</v>
      </c>
      <c r="OS17" s="9"/>
      <c r="PH17" s="3"/>
      <c r="PV17" s="3"/>
      <c r="QJ17" s="3"/>
      <c r="QX17" s="3"/>
      <c r="RL17" s="3"/>
      <c r="RZ17" s="3"/>
      <c r="SN17" s="3"/>
    </row>
    <row r="18" spans="1:508" x14ac:dyDescent="0.2">
      <c r="A18" s="3" t="s">
        <v>1258</v>
      </c>
      <c r="K18" t="s">
        <v>320</v>
      </c>
      <c r="X18" s="3"/>
      <c r="AP18" s="3"/>
      <c r="BH18" s="3" t="s">
        <v>1259</v>
      </c>
      <c r="BI18">
        <v>1</v>
      </c>
      <c r="BU18" s="9"/>
      <c r="BX18" s="3" t="s">
        <v>1260</v>
      </c>
      <c r="BY18">
        <v>1</v>
      </c>
      <c r="CK18" s="9"/>
      <c r="CN18" s="3" t="s">
        <v>1261</v>
      </c>
      <c r="CO18">
        <v>1</v>
      </c>
      <c r="DA18" s="9"/>
      <c r="DD18" s="3" t="s">
        <v>1262</v>
      </c>
      <c r="DE18">
        <v>1</v>
      </c>
      <c r="DQ18" s="9"/>
      <c r="DT18" s="3" t="s">
        <v>1263</v>
      </c>
      <c r="DU18">
        <v>1</v>
      </c>
      <c r="EG18" s="9"/>
      <c r="EJ18" s="3" t="s">
        <v>1264</v>
      </c>
      <c r="EK18">
        <v>1</v>
      </c>
      <c r="EW18" s="9"/>
      <c r="EZ18" s="3" t="s">
        <v>1265</v>
      </c>
      <c r="FA18">
        <v>1</v>
      </c>
      <c r="FM18" s="9"/>
      <c r="FP18" s="3" t="s">
        <v>1266</v>
      </c>
      <c r="FQ18">
        <v>1</v>
      </c>
      <c r="GC18" s="9"/>
      <c r="GF18" s="3" t="s">
        <v>1267</v>
      </c>
      <c r="GG18">
        <v>1</v>
      </c>
      <c r="GS18" s="9"/>
      <c r="GV18" s="3" t="s">
        <v>1268</v>
      </c>
      <c r="GW18">
        <v>1</v>
      </c>
      <c r="HI18" s="9"/>
      <c r="HL18" s="3" t="s">
        <v>1269</v>
      </c>
      <c r="HM18">
        <v>1</v>
      </c>
      <c r="HY18" s="9"/>
      <c r="IB18" s="3" t="s">
        <v>1270</v>
      </c>
      <c r="IC18">
        <v>1</v>
      </c>
      <c r="IO18" s="9"/>
      <c r="IR18" s="3" t="s">
        <v>1271</v>
      </c>
      <c r="IS18">
        <v>1</v>
      </c>
      <c r="JE18" s="9"/>
      <c r="JH18" s="3" t="s">
        <v>1272</v>
      </c>
      <c r="JI18">
        <v>1</v>
      </c>
      <c r="JU18" s="9"/>
      <c r="JX18" s="3" t="s">
        <v>1273</v>
      </c>
      <c r="JY18">
        <v>1</v>
      </c>
      <c r="KK18" s="9"/>
      <c r="KN18" s="3"/>
      <c r="LA18" s="9"/>
      <c r="LD18" s="3"/>
      <c r="LQ18" s="9"/>
      <c r="LT18" s="3"/>
      <c r="MG18" s="9"/>
      <c r="MJ18" s="3"/>
      <c r="MW18" s="9"/>
      <c r="MZ18" s="3"/>
      <c r="NM18" s="9"/>
      <c r="NP18" s="3"/>
      <c r="OC18" s="9"/>
      <c r="OF18" s="3"/>
      <c r="OS18" s="9"/>
      <c r="PH18" s="3"/>
      <c r="PV18" s="3"/>
      <c r="QJ18" s="3"/>
      <c r="QX18" s="3"/>
      <c r="RL18" s="3"/>
      <c r="SN18" s="3"/>
    </row>
    <row r="19" spans="1:508" x14ac:dyDescent="0.2">
      <c r="A19" s="3" t="s">
        <v>1274</v>
      </c>
      <c r="X19" s="3"/>
      <c r="AP19" s="3"/>
      <c r="BH19" s="3" t="s">
        <v>1275</v>
      </c>
      <c r="BI19">
        <v>1</v>
      </c>
      <c r="BU19" s="9"/>
      <c r="BX19" s="3" t="s">
        <v>1276</v>
      </c>
      <c r="BY19">
        <v>1</v>
      </c>
      <c r="CK19" s="9"/>
      <c r="CN19" s="3" t="s">
        <v>1277</v>
      </c>
      <c r="CO19">
        <v>1</v>
      </c>
      <c r="DA19" s="9"/>
      <c r="DD19" s="3" t="s">
        <v>1278</v>
      </c>
      <c r="DE19">
        <v>1</v>
      </c>
      <c r="DQ19" s="9"/>
      <c r="DT19" s="3" t="s">
        <v>1279</v>
      </c>
      <c r="DU19">
        <v>1</v>
      </c>
      <c r="EG19" s="9"/>
      <c r="EJ19" s="3" t="s">
        <v>1280</v>
      </c>
      <c r="EK19">
        <v>0</v>
      </c>
      <c r="EW19" s="9"/>
      <c r="EZ19" s="3" t="s">
        <v>1281</v>
      </c>
      <c r="FA19">
        <v>1</v>
      </c>
      <c r="FM19" s="9"/>
      <c r="FP19" s="3" t="s">
        <v>1282</v>
      </c>
      <c r="FQ19">
        <v>1</v>
      </c>
      <c r="GC19" s="9"/>
      <c r="GF19" s="3" t="s">
        <v>1283</v>
      </c>
      <c r="GG19">
        <v>1</v>
      </c>
      <c r="GS19" s="9"/>
      <c r="GV19" s="3" t="s">
        <v>1284</v>
      </c>
      <c r="GW19">
        <v>1</v>
      </c>
      <c r="HI19" s="9"/>
      <c r="HL19" s="3" t="s">
        <v>1285</v>
      </c>
      <c r="HM19">
        <v>1</v>
      </c>
      <c r="HY19" s="9"/>
      <c r="IB19" s="3" t="s">
        <v>1286</v>
      </c>
      <c r="IC19">
        <v>1</v>
      </c>
      <c r="IO19" s="9"/>
      <c r="IR19" s="3" t="s">
        <v>1287</v>
      </c>
      <c r="IS19">
        <v>1</v>
      </c>
      <c r="JE19" s="9"/>
      <c r="JH19" s="3" t="s">
        <v>1288</v>
      </c>
      <c r="JI19">
        <v>1</v>
      </c>
      <c r="JU19" s="9"/>
      <c r="JX19" s="3" t="s">
        <v>1289</v>
      </c>
      <c r="JY19">
        <v>1</v>
      </c>
      <c r="KK19" s="9"/>
      <c r="KN19" s="3" t="s">
        <v>1580</v>
      </c>
      <c r="KO19">
        <v>1</v>
      </c>
      <c r="LA19" s="9"/>
      <c r="LD19" s="3" t="s">
        <v>1581</v>
      </c>
      <c r="LE19">
        <v>1</v>
      </c>
      <c r="LQ19" s="9"/>
      <c r="LT19" s="27" t="s">
        <v>1582</v>
      </c>
      <c r="LU19">
        <v>1</v>
      </c>
      <c r="MG19" s="9"/>
      <c r="MJ19" s="27" t="s">
        <v>1583</v>
      </c>
      <c r="MK19">
        <v>1</v>
      </c>
      <c r="MW19" s="9"/>
      <c r="MZ19" s="27" t="s">
        <v>1584</v>
      </c>
      <c r="NA19">
        <v>1</v>
      </c>
      <c r="NM19" s="9"/>
      <c r="NP19" s="27" t="s">
        <v>1585</v>
      </c>
      <c r="NQ19">
        <v>1</v>
      </c>
      <c r="OC19" s="9"/>
      <c r="OF19" s="27" t="s">
        <v>1586</v>
      </c>
      <c r="OG19">
        <v>1</v>
      </c>
      <c r="OS19" s="9"/>
      <c r="PH19" s="3"/>
      <c r="PV19" s="3"/>
      <c r="QJ19" s="3"/>
      <c r="QX19" s="3"/>
      <c r="RL19" s="3"/>
      <c r="SN19" s="3"/>
    </row>
    <row r="20" spans="1:508" x14ac:dyDescent="0.2">
      <c r="A20" s="3" t="s">
        <v>1927</v>
      </c>
      <c r="BH20" s="3" t="s">
        <v>1903</v>
      </c>
      <c r="BI20">
        <v>0</v>
      </c>
      <c r="BU20" s="9"/>
      <c r="BX20" s="3" t="s">
        <v>1904</v>
      </c>
      <c r="BY20">
        <v>0</v>
      </c>
      <c r="CK20" s="9"/>
      <c r="CN20" s="3" t="s">
        <v>1905</v>
      </c>
      <c r="CO20">
        <v>0</v>
      </c>
      <c r="DA20" s="9"/>
      <c r="DD20" s="3" t="s">
        <v>1906</v>
      </c>
      <c r="DE20">
        <v>0</v>
      </c>
      <c r="DQ20" s="9"/>
      <c r="DT20" s="3" t="s">
        <v>1907</v>
      </c>
      <c r="DU20">
        <v>0</v>
      </c>
      <c r="EG20" s="9"/>
      <c r="EJ20" s="3" t="s">
        <v>1908</v>
      </c>
      <c r="EK20">
        <v>0</v>
      </c>
      <c r="EW20" s="9"/>
      <c r="EZ20" s="3" t="s">
        <v>1909</v>
      </c>
      <c r="FA20">
        <v>1</v>
      </c>
      <c r="FM20" s="9"/>
      <c r="FP20" s="3" t="s">
        <v>1910</v>
      </c>
      <c r="FQ20">
        <v>0</v>
      </c>
      <c r="GC20" s="9"/>
      <c r="GF20" s="3" t="s">
        <v>1911</v>
      </c>
      <c r="GG20">
        <v>0</v>
      </c>
      <c r="GS20" s="9"/>
      <c r="GV20" s="3" t="s">
        <v>1912</v>
      </c>
      <c r="GW20">
        <v>0</v>
      </c>
      <c r="HI20" s="9"/>
      <c r="HL20" s="3" t="s">
        <v>1913</v>
      </c>
      <c r="HM20">
        <v>0</v>
      </c>
      <c r="HY20" s="9"/>
      <c r="IB20" s="3" t="s">
        <v>1914</v>
      </c>
      <c r="IC20">
        <v>0</v>
      </c>
      <c r="IO20" s="9"/>
      <c r="IR20" s="3" t="s">
        <v>1915</v>
      </c>
      <c r="IS20">
        <v>0</v>
      </c>
      <c r="JE20" s="9"/>
      <c r="JH20" s="3" t="s">
        <v>1916</v>
      </c>
      <c r="JI20">
        <v>0</v>
      </c>
      <c r="JU20" s="9"/>
      <c r="JX20" s="3" t="s">
        <v>1917</v>
      </c>
      <c r="JY20">
        <v>0</v>
      </c>
      <c r="KK20" s="9"/>
      <c r="KN20" s="3" t="s">
        <v>1918</v>
      </c>
      <c r="KO20">
        <v>0</v>
      </c>
      <c r="LA20" s="9"/>
      <c r="LD20" s="3" t="s">
        <v>1919</v>
      </c>
      <c r="LE20">
        <v>0</v>
      </c>
      <c r="LQ20" s="9"/>
      <c r="LT20" s="27" t="s">
        <v>1920</v>
      </c>
      <c r="LU20">
        <v>0</v>
      </c>
      <c r="MG20" s="9"/>
      <c r="MJ20" s="27" t="s">
        <v>1921</v>
      </c>
      <c r="MK20">
        <v>0</v>
      </c>
      <c r="MW20" s="9"/>
      <c r="MZ20" s="27" t="s">
        <v>1922</v>
      </c>
      <c r="NA20">
        <v>0</v>
      </c>
      <c r="NM20" s="9"/>
      <c r="NP20" s="27" t="s">
        <v>1923</v>
      </c>
      <c r="NQ20">
        <v>0</v>
      </c>
      <c r="OC20" s="9"/>
      <c r="OF20" s="27" t="s">
        <v>1924</v>
      </c>
      <c r="OG20">
        <v>0</v>
      </c>
      <c r="OS20" s="9"/>
    </row>
    <row r="21" spans="1:508" x14ac:dyDescent="0.2">
      <c r="A21" s="3" t="s">
        <v>2102</v>
      </c>
      <c r="BH21" s="3" t="s">
        <v>2104</v>
      </c>
      <c r="BI21">
        <v>0.25</v>
      </c>
      <c r="BU21" s="9"/>
      <c r="BX21" s="3" t="s">
        <v>2106</v>
      </c>
      <c r="BY21">
        <v>0.25</v>
      </c>
      <c r="CK21" s="9"/>
      <c r="CN21" s="3" t="s">
        <v>2108</v>
      </c>
      <c r="CO21">
        <v>0.25</v>
      </c>
      <c r="DA21" s="9"/>
      <c r="DD21" s="3" t="s">
        <v>2110</v>
      </c>
      <c r="DE21">
        <v>0</v>
      </c>
      <c r="DQ21" s="9"/>
      <c r="DT21" s="3" t="s">
        <v>2112</v>
      </c>
      <c r="DU21">
        <v>0</v>
      </c>
      <c r="EG21" s="9"/>
      <c r="EJ21" s="3" t="s">
        <v>2114</v>
      </c>
      <c r="EK21">
        <v>0.25</v>
      </c>
      <c r="EW21" s="9"/>
      <c r="EZ21" s="3" t="s">
        <v>2116</v>
      </c>
      <c r="FA21">
        <v>0.25</v>
      </c>
      <c r="FM21" s="9"/>
      <c r="FP21" s="3" t="s">
        <v>2118</v>
      </c>
      <c r="FQ21">
        <v>0.25</v>
      </c>
      <c r="GC21" s="9"/>
      <c r="GF21" s="3" t="s">
        <v>2120</v>
      </c>
      <c r="GG21">
        <v>0</v>
      </c>
      <c r="GS21" s="9"/>
      <c r="GV21" s="3" t="s">
        <v>2122</v>
      </c>
      <c r="GW21">
        <v>0</v>
      </c>
      <c r="HI21" s="9"/>
      <c r="HL21" s="3" t="s">
        <v>2124</v>
      </c>
      <c r="HM21">
        <v>0</v>
      </c>
      <c r="HY21" s="9"/>
      <c r="IB21" s="3" t="s">
        <v>2126</v>
      </c>
      <c r="IC21">
        <v>0</v>
      </c>
      <c r="IO21" s="9"/>
      <c r="IR21" s="3" t="s">
        <v>2128</v>
      </c>
      <c r="IS21">
        <v>0.25</v>
      </c>
      <c r="JE21" s="9"/>
      <c r="JH21" s="3" t="s">
        <v>2130</v>
      </c>
      <c r="JI21">
        <v>0.25</v>
      </c>
      <c r="JU21" s="9"/>
      <c r="JX21" s="3" t="s">
        <v>2132</v>
      </c>
      <c r="JY21">
        <v>0.25</v>
      </c>
      <c r="KK21" s="9"/>
      <c r="KN21" s="3" t="s">
        <v>2134</v>
      </c>
      <c r="KO21">
        <v>0.25</v>
      </c>
      <c r="LA21" s="9"/>
      <c r="LD21" s="3" t="s">
        <v>2136</v>
      </c>
      <c r="LE21">
        <v>0.25</v>
      </c>
      <c r="LQ21" s="9"/>
      <c r="LT21" s="3" t="s">
        <v>2138</v>
      </c>
      <c r="LU21">
        <v>0.25</v>
      </c>
      <c r="MG21" s="9"/>
      <c r="MJ21" s="3" t="s">
        <v>2140</v>
      </c>
      <c r="MK21">
        <v>0.25</v>
      </c>
      <c r="MW21" s="9"/>
      <c r="MZ21" s="3" t="s">
        <v>2142</v>
      </c>
      <c r="NA21">
        <v>0.25</v>
      </c>
      <c r="NM21" s="9"/>
      <c r="NP21" s="3" t="s">
        <v>2144</v>
      </c>
      <c r="NQ21">
        <v>0.25</v>
      </c>
      <c r="OC21" s="9"/>
      <c r="OF21" s="3" t="s">
        <v>2146</v>
      </c>
      <c r="OG21">
        <v>0.25</v>
      </c>
      <c r="OS21" s="9"/>
    </row>
    <row r="22" spans="1:508" x14ac:dyDescent="0.2">
      <c r="A22" s="3" t="s">
        <v>2103</v>
      </c>
      <c r="BH22" s="3" t="s">
        <v>2105</v>
      </c>
      <c r="BI22">
        <f>IF(BI4=1, 1, IF(BI5=1, BI21, 0))</f>
        <v>0</v>
      </c>
      <c r="BJ22">
        <f>IF(BJ4=1, 1, IF(BJ5=1, BI21, 0))</f>
        <v>0</v>
      </c>
      <c r="BK22">
        <f>IF(BK4=1, 1, IF(BK5=1, BI21, 0))</f>
        <v>0</v>
      </c>
      <c r="BL22">
        <f>IF(BL4=1, 1, IF(BL5=1, BI21, 0))</f>
        <v>0</v>
      </c>
      <c r="BM22">
        <f>IF(BM4=1, 1, IF(BM5=1, BI21, 0))</f>
        <v>0</v>
      </c>
      <c r="BN22">
        <f>IF(BN4=1, 1, IF(BN5=1, BI21, 0))</f>
        <v>0</v>
      </c>
      <c r="BO22">
        <f>IF(BO4=1, 1, IF(BO5=1, BI21, 0))</f>
        <v>0</v>
      </c>
      <c r="BP22">
        <f>IF(BP4=1, 1, IF(BP5=1, BI21, 0))</f>
        <v>0</v>
      </c>
      <c r="BQ22">
        <f>IF(BQ4=1, 1, IF(BQ5=1, BI21, 0))</f>
        <v>0</v>
      </c>
      <c r="BU22" s="9"/>
      <c r="BX22" s="3" t="s">
        <v>2107</v>
      </c>
      <c r="BY22">
        <f>IF(BY4=1, 1, IF(BY5=1, BY21, 0))</f>
        <v>0</v>
      </c>
      <c r="BZ22">
        <f>IF(BZ4=1, 1, IF(BZ5=1, BY21, 0))</f>
        <v>0</v>
      </c>
      <c r="CA22">
        <f>IF(CA4=1, 1, IF(CA5=1, BY21, 0))</f>
        <v>0</v>
      </c>
      <c r="CB22">
        <f>IF(CB4=1, 1, IF(CB5=1, BY21, 0))</f>
        <v>0</v>
      </c>
      <c r="CC22">
        <f>IF(CC4=1, 1, IF(CC5=1, BY21, 0))</f>
        <v>0</v>
      </c>
      <c r="CD22">
        <f>IF(CD4=1, 1, IF(CD5=1, BY21, 0))</f>
        <v>0</v>
      </c>
      <c r="CE22">
        <f>IF(CE4=1, 1, IF(CE5=1, BY21, 0))</f>
        <v>0</v>
      </c>
      <c r="CF22">
        <f>IF(CF4=1, 1, IF(CF5=1, BY21, 0))</f>
        <v>0</v>
      </c>
      <c r="CG22">
        <f>IF(CG4=1, 1, IF(CG5=1, BY21, 0))</f>
        <v>0</v>
      </c>
      <c r="CK22" s="9"/>
      <c r="CN22" s="3" t="s">
        <v>2109</v>
      </c>
      <c r="CO22">
        <f>IF(CO4=1, 1, IF(CO5=1, CO21, 0))</f>
        <v>0</v>
      </c>
      <c r="CP22">
        <f>IF(CP4=1, 1, IF(CP5=1, CO21, 0))</f>
        <v>0</v>
      </c>
      <c r="CQ22">
        <f>IF(CQ4=1, 1, IF(CQ5=1, CO21, 0))</f>
        <v>0</v>
      </c>
      <c r="CR22">
        <f>IF(CR4=1, 1, IF(CR5=1, CO21, 0))</f>
        <v>0</v>
      </c>
      <c r="CS22">
        <f>IF(CS4=1, 1, IF(CS5=1, CO21, 0))</f>
        <v>0</v>
      </c>
      <c r="CT22">
        <f>IF(CT4=1, 1, IF(CT5=1, CO21, 0))</f>
        <v>0</v>
      </c>
      <c r="CU22">
        <f>IF(CU4=1, 1, IF(CU5=1, CO21, 0))</f>
        <v>0</v>
      </c>
      <c r="CV22">
        <f>IF(CV4=1, 1, IF(CV5=1, CO21, 0))</f>
        <v>0</v>
      </c>
      <c r="CW22">
        <f>IF(CW4=1, 1, IF(CW5=1, CO21, 0))</f>
        <v>0</v>
      </c>
      <c r="DA22" s="9"/>
      <c r="DD22" s="3" t="s">
        <v>2111</v>
      </c>
      <c r="DE22">
        <f>IF(DE4=1, 1, IF(DE5=1, DE21, 0))</f>
        <v>0</v>
      </c>
      <c r="DF22">
        <f>IF(DF4=1, 1, IF(DF5=1, DE21, 0))</f>
        <v>0</v>
      </c>
      <c r="DG22">
        <f>IF(DG4=1, 1, IF(DG5=1, DE21, 0))</f>
        <v>0</v>
      </c>
      <c r="DH22">
        <f>IF(DH4=1, 1, IF(DH5=1, DE21, 0))</f>
        <v>0</v>
      </c>
      <c r="DI22">
        <f>IF(DI4=1, 1, IF(DI5=1, DE21, 0))</f>
        <v>0</v>
      </c>
      <c r="DJ22">
        <f>IF(DJ4=1, 1, IF(DJ5=1, DE21, 0))</f>
        <v>0</v>
      </c>
      <c r="DK22">
        <f>IF(DK4=1, 1, IF(DK5=1, DE21, 0))</f>
        <v>0</v>
      </c>
      <c r="DL22">
        <f>IF(DL4=1, 1, IF(DL5=1, DE21, 0))</f>
        <v>0</v>
      </c>
      <c r="DM22">
        <f>IF(DM4=1, 1, IF(DM5=1, DE21, 0))</f>
        <v>0</v>
      </c>
      <c r="DQ22" s="9"/>
      <c r="DT22" s="3" t="s">
        <v>2113</v>
      </c>
      <c r="DU22">
        <f>IF(DU4=1, 1, IF(DU5=1, DU21, 0))</f>
        <v>0</v>
      </c>
      <c r="DV22">
        <f>IF(DV4=1, 1, IF(DV5=1, DU21, 0))</f>
        <v>0</v>
      </c>
      <c r="DW22">
        <f>IF(DW4=1, 1, IF(DW5=1, DU21, 0))</f>
        <v>0</v>
      </c>
      <c r="DX22">
        <f>IF(DX4=1, 1, IF(DX5=1, DU21, 0))</f>
        <v>0</v>
      </c>
      <c r="DY22">
        <f>IF(DY4=1, 1, IF(DY5=1, DU21, 0))</f>
        <v>0</v>
      </c>
      <c r="DZ22">
        <f>IF(DZ4=1, 1, IF(DZ5=1, DU21, 0))</f>
        <v>0</v>
      </c>
      <c r="EA22">
        <f>IF(EA4=1, 1, IF(EA5=1, DU21, 0))</f>
        <v>0</v>
      </c>
      <c r="EB22">
        <f>IF(EB4=1, 1, IF(EB5=1, DU21, 0))</f>
        <v>0</v>
      </c>
      <c r="EC22">
        <f>IF(EC4=1, 1, IF(EC5=1, DU21, 0))</f>
        <v>0</v>
      </c>
      <c r="EG22" s="9"/>
      <c r="EJ22" s="3" t="s">
        <v>2115</v>
      </c>
      <c r="EK22">
        <f>IF(EK4=1, 1, IF(EK5=1, EK21, 0))</f>
        <v>0</v>
      </c>
      <c r="EL22">
        <f>IF(EL4=1, 1, IF(EL5=1, EK21, 0))</f>
        <v>0</v>
      </c>
      <c r="EM22">
        <f>IF(EM4=1, 1, IF(EM5=1, EK21, 0))</f>
        <v>0</v>
      </c>
      <c r="EN22">
        <f>IF(EN4=1, 1, IF(EN5=1, EK21, 0))</f>
        <v>0</v>
      </c>
      <c r="EO22">
        <f>IF(EO4=1, 1, IF(EO5=1, EK21, 0))</f>
        <v>0</v>
      </c>
      <c r="EP22">
        <f>IF(EP4=1, 1, IF(EP5=1, EK21, 0))</f>
        <v>0</v>
      </c>
      <c r="EQ22">
        <f>IF(EQ4=1, 1, IF(EQ5=1, EK21, 0))</f>
        <v>0</v>
      </c>
      <c r="ER22">
        <f>IF(ER4=1, 1, IF(ER5=1, EK21, 0))</f>
        <v>0</v>
      </c>
      <c r="ES22">
        <f>IF(ES4=1, 1, IF(ES5=1, EK21, 0))</f>
        <v>0</v>
      </c>
      <c r="EW22" s="9"/>
      <c r="EZ22" s="3" t="s">
        <v>2117</v>
      </c>
      <c r="FA22">
        <f>IF(FA4=1, 1, IF(FA5=1, FA21, 0))</f>
        <v>0</v>
      </c>
      <c r="FB22">
        <f>IF(FB4=1, 1, IF(FB5=1, FA21, 0))</f>
        <v>0</v>
      </c>
      <c r="FC22">
        <f>IF(FC4=1, 1, IF(FC5=1, FA21, 0))</f>
        <v>0</v>
      </c>
      <c r="FD22">
        <f>IF(FD4=1, 1, IF(FD5=1, FA21, 0))</f>
        <v>0</v>
      </c>
      <c r="FE22">
        <f>IF(FE4=1, 1, IF(FE5=1, FA21, 0))</f>
        <v>0</v>
      </c>
      <c r="FF22">
        <f>IF(FF4=1, 1, IF(FF5=1, FA21, 0))</f>
        <v>0</v>
      </c>
      <c r="FG22">
        <f>IF(FG4=1, 1, IF(FG5=1, FA21, 0))</f>
        <v>0</v>
      </c>
      <c r="FH22">
        <f>IF(FH4=1, 1, IF(FH5=1, FA21, 0))</f>
        <v>0</v>
      </c>
      <c r="FI22">
        <f>IF(FI4=1, 1, IF(FI5=1, FA21, 0))</f>
        <v>0</v>
      </c>
      <c r="FM22" s="9"/>
      <c r="FP22" s="3" t="s">
        <v>2119</v>
      </c>
      <c r="FQ22">
        <f>IF(FQ4=1, 1, IF(FQ5=1, FQ21, 0))</f>
        <v>0</v>
      </c>
      <c r="FR22">
        <f>IF(FR4=1, 1, IF(FR5=1, FQ21, 0))</f>
        <v>0</v>
      </c>
      <c r="FS22">
        <f>IF(FS4=1, 1, IF(FS5=1, FQ21, 0))</f>
        <v>0</v>
      </c>
      <c r="FT22">
        <f>IF(FT4=1, 1, IF(FT5=1, FQ21, 0))</f>
        <v>0</v>
      </c>
      <c r="FU22">
        <f>IF(FU4=1, 1, IF(FU5=1, FQ21, 0))</f>
        <v>0</v>
      </c>
      <c r="FV22">
        <f>IF(FV4=1, 1, IF(FV5=1, FQ21, 0))</f>
        <v>0</v>
      </c>
      <c r="FW22">
        <f>IF(FW4=1, 1, IF(FW5=1, FQ21, 0))</f>
        <v>0</v>
      </c>
      <c r="FX22">
        <f>IF(FX4=1, 1, IF(FX5=1, FQ21, 0))</f>
        <v>0</v>
      </c>
      <c r="FY22">
        <f>IF(FY4=1, 1, IF(FY5=1, FQ21, 0))</f>
        <v>0</v>
      </c>
      <c r="GC22" s="9"/>
      <c r="GF22" s="3" t="s">
        <v>2121</v>
      </c>
      <c r="GG22">
        <f>IF(GG4=1, 1, IF(GG5=1, GG21, 0))</f>
        <v>0</v>
      </c>
      <c r="GH22">
        <f>IF(GH4=1, 1, IF(GH5=1, GG21, 0))</f>
        <v>0</v>
      </c>
      <c r="GI22">
        <f>IF(GI4=1, 1, IF(GI5=1, GG21, 0))</f>
        <v>0</v>
      </c>
      <c r="GJ22">
        <f>IF(GJ4=1, 1, IF(GJ5=1, GG21, 0))</f>
        <v>0</v>
      </c>
      <c r="GK22">
        <f>IF(GK4=1, 1, IF(GK5=1, GG21, 0))</f>
        <v>0</v>
      </c>
      <c r="GL22">
        <f>IF(GL4=1, 1, IF(GL5=1, GG21, 0))</f>
        <v>0</v>
      </c>
      <c r="GM22">
        <f>IF(GM4=1, 1, IF(GM5=1, GG21, 0))</f>
        <v>0</v>
      </c>
      <c r="GN22">
        <f>IF(GN4=1, 1, IF(GN5=1, GG21, 0))</f>
        <v>0</v>
      </c>
      <c r="GO22">
        <f>IF(GO4=1, 1, IF(GO5=1, GG21, 0))</f>
        <v>0</v>
      </c>
      <c r="GS22" s="9"/>
      <c r="GV22" s="3" t="s">
        <v>2123</v>
      </c>
      <c r="GW22">
        <f>IF(GW4=1, 1, IF(GW5=1, GW21, 0))</f>
        <v>0</v>
      </c>
      <c r="GX22">
        <f>IF(GX4=1, 1, IF(GX5=1, GW21, 0))</f>
        <v>0</v>
      </c>
      <c r="GY22">
        <f>IF(GY4=1, 1, IF(GY5=1, GW21, 0))</f>
        <v>0</v>
      </c>
      <c r="GZ22">
        <f>IF(GZ4=1, 1, IF(GZ5=1, GW21, 0))</f>
        <v>0</v>
      </c>
      <c r="HA22">
        <f>IF(HA4=1, 1, IF(HA5=1, GW21, 0))</f>
        <v>0</v>
      </c>
      <c r="HB22">
        <f>IF(HB4=1, 1, IF(HB5=1, GW21, 0))</f>
        <v>0</v>
      </c>
      <c r="HC22">
        <f>IF(HC4=1, 1, IF(HC5=1, GW21, 0))</f>
        <v>0</v>
      </c>
      <c r="HD22">
        <f>IF(HD4=1, 1, IF(HD5=1, GW21, 0))</f>
        <v>0</v>
      </c>
      <c r="HE22">
        <f>IF(HE4=1, 1, IF(HE5=1, GW21, 0))</f>
        <v>0</v>
      </c>
      <c r="HI22" s="9"/>
      <c r="HL22" s="3" t="s">
        <v>2125</v>
      </c>
      <c r="HM22">
        <f>IF(HM4=1, 1, IF(HM5=1, HM21, 0))</f>
        <v>0</v>
      </c>
      <c r="HN22">
        <f>IF(HN4=1, 1, IF(HN5=1, HM21, 0))</f>
        <v>0</v>
      </c>
      <c r="HO22">
        <f>IF(HO4=1, 1, IF(HO5=1, HM21, 0))</f>
        <v>0</v>
      </c>
      <c r="HP22">
        <f>IF(HP4=1, 1, IF(HP5=1, HM21, 0))</f>
        <v>0</v>
      </c>
      <c r="HQ22">
        <f>IF(HQ4=1, 1, IF(HQ5=1, HM21, 0))</f>
        <v>0</v>
      </c>
      <c r="HR22">
        <f>IF(HR4=1, 1, IF(HR5=1, HM21, 0))</f>
        <v>0</v>
      </c>
      <c r="HS22">
        <f>IF(HS4=1, 1, IF(HS5=1, HM21, 0))</f>
        <v>0</v>
      </c>
      <c r="HT22">
        <f>IF(HT4=1, 1, IF(HT5=1, HM21, 0))</f>
        <v>0</v>
      </c>
      <c r="HU22">
        <f>IF(HU4=1, 1, IF(HU5=1, HM21, 0))</f>
        <v>0</v>
      </c>
      <c r="HY22" s="9"/>
      <c r="IB22" s="3" t="s">
        <v>2127</v>
      </c>
      <c r="IC22">
        <f>IF(IC4=1, 1, IF(IC5=1, IC21, 0))</f>
        <v>0</v>
      </c>
      <c r="ID22">
        <f>IF(ID4=1, 1, IF(ID5=1, IC21, 0))</f>
        <v>0</v>
      </c>
      <c r="IE22">
        <f>IF(IE4=1, 1, IF(IE5=1, IC21, 0))</f>
        <v>0</v>
      </c>
      <c r="IF22">
        <f>IF(IF4=1, 1, IF(IF5=1, IC21, 0))</f>
        <v>0</v>
      </c>
      <c r="IG22">
        <f>IF(IG4=1, 1, IF(IG5=1, IC21, 0))</f>
        <v>0</v>
      </c>
      <c r="IH22">
        <f>IF(IH4=1, 1, IF(IH5=1, IC21, 0))</f>
        <v>0</v>
      </c>
      <c r="II22">
        <f>IF(II4=1, 1, IF(II5=1, IC21, 0))</f>
        <v>0</v>
      </c>
      <c r="IJ22">
        <f>IF(IJ4=1, 1, IF(IJ5=1, IC21, 0))</f>
        <v>0</v>
      </c>
      <c r="IK22">
        <f>IF(IK4=1, 1, IF(IK5=1, IC21, 0))</f>
        <v>0</v>
      </c>
      <c r="IO22" s="9"/>
      <c r="IR22" s="3" t="s">
        <v>2129</v>
      </c>
      <c r="IS22">
        <f>IF(IS4=1, 1, IF(IS5=1, IS21, 0))</f>
        <v>0</v>
      </c>
      <c r="IT22">
        <f>IF(IT4=1, 1, IF(IT5=1, IS21, 0))</f>
        <v>0</v>
      </c>
      <c r="IU22">
        <f>IF(IU4=1, 1, IF(IU5=1, IS21, 0))</f>
        <v>0</v>
      </c>
      <c r="IV22">
        <f>IF(IV4=1, 1, IF(IV5=1, IS21, 0))</f>
        <v>0</v>
      </c>
      <c r="IW22">
        <f>IF(IW4=1, 1, IF(IW5=1, IS21, 0))</f>
        <v>0</v>
      </c>
      <c r="IX22">
        <f>IF(IX4=1, 1, IF(IX5=1, IS21, 0))</f>
        <v>0</v>
      </c>
      <c r="IY22">
        <f>IF(IY4=1, 1, IF(IY5=1, IS21, 0))</f>
        <v>0</v>
      </c>
      <c r="IZ22">
        <f>IF(IZ4=1, 1, IF(IZ5=1, IS21, 0))</f>
        <v>0</v>
      </c>
      <c r="JA22">
        <f>IF(JA4=1, 1, IF(JA5=1, IS21, 0))</f>
        <v>0</v>
      </c>
      <c r="JE22" s="9"/>
      <c r="JH22" s="3" t="s">
        <v>2131</v>
      </c>
      <c r="JI22">
        <f>IF(JI4=1, 1, IF(JI5=1, JI21, 0))</f>
        <v>0</v>
      </c>
      <c r="JJ22">
        <f>IF(JJ4=1, 1, IF(JJ5=1, JI21, 0))</f>
        <v>0</v>
      </c>
      <c r="JK22">
        <f>IF(JK4=1, 1, IF(JK5=1, JI21, 0))</f>
        <v>0</v>
      </c>
      <c r="JL22">
        <f>IF(JL4=1, 1, IF(JL5=1, JI21, 0))</f>
        <v>0</v>
      </c>
      <c r="JM22">
        <f>IF(JM4=1, 1, IF(JM5=1, JI21, 0))</f>
        <v>0</v>
      </c>
      <c r="JN22">
        <f>IF(JN4=1, 1, IF(JN5=1, JI21, 0))</f>
        <v>0</v>
      </c>
      <c r="JO22">
        <f>IF(JO4=1, 1, IF(JO5=1, JI21, 0))</f>
        <v>0</v>
      </c>
      <c r="JP22">
        <f>IF(JP4=1, 1, IF(JP5=1, JI21, 0))</f>
        <v>0</v>
      </c>
      <c r="JQ22">
        <f>IF(JQ4=1, 1, IF(JQ5=1, JI21, 0))</f>
        <v>0</v>
      </c>
      <c r="JU22" s="9"/>
      <c r="JX22" s="3" t="s">
        <v>2133</v>
      </c>
      <c r="JY22">
        <f>IF(JY4=1, 1, IF(JY5=1, JY21, 0))</f>
        <v>0</v>
      </c>
      <c r="JZ22">
        <f>IF(JZ4=1, 1, IF(JZ5=1, JY21, 0))</f>
        <v>0</v>
      </c>
      <c r="KA22">
        <f>IF(KA4=1, 1, IF(KA5=1, JY21, 0))</f>
        <v>0</v>
      </c>
      <c r="KB22">
        <f>IF(KB4=1, 1, IF(KB5=1, JY21, 0))</f>
        <v>0</v>
      </c>
      <c r="KC22">
        <f>IF(KC4=1, 1, IF(KC5=1, JY21, 0))</f>
        <v>0</v>
      </c>
      <c r="KD22">
        <f>IF(KD4=1, 1, IF(KD5=1, JY21, 0))</f>
        <v>0</v>
      </c>
      <c r="KE22">
        <f>IF(KE4=1, 1, IF(KE5=1, JY21, 0))</f>
        <v>0</v>
      </c>
      <c r="KF22">
        <f>IF(KF4=1, 1, IF(KF5=1, JY21, 0))</f>
        <v>0</v>
      </c>
      <c r="KG22">
        <f>IF(KG4=1, 1, IF(KG5=1, JY21, 0))</f>
        <v>0</v>
      </c>
      <c r="KK22" s="9"/>
      <c r="KN22" s="3" t="s">
        <v>2135</v>
      </c>
      <c r="KO22">
        <f>IF(KO4=1, 1, IF(KO5=1, KO21, 0))</f>
        <v>0</v>
      </c>
      <c r="KP22">
        <f>IF(KP4=1, 1, IF(KP5=1, KO21, 0))</f>
        <v>0</v>
      </c>
      <c r="KQ22">
        <f>IF(KQ4=1, 1, IF(KQ5=1, KO21, 0))</f>
        <v>0</v>
      </c>
      <c r="KR22">
        <f>IF(KR4=1, 1, IF(KR5=1, KO21, 0))</f>
        <v>0</v>
      </c>
      <c r="KS22">
        <f>IF(KS4=1, 1, IF(KS5=1, KO21, 0))</f>
        <v>0</v>
      </c>
      <c r="KT22">
        <f>IF(KT4=1, 1, IF(KT5=1, KO21, 0))</f>
        <v>0</v>
      </c>
      <c r="KU22">
        <f>IF(KU4=1, 1, IF(KU5=1, KO21, 0))</f>
        <v>0</v>
      </c>
      <c r="KV22">
        <f>IF(KV4=1, 1, IF(KV5=1, KO21, 0))</f>
        <v>0</v>
      </c>
      <c r="KW22">
        <f>IF(KW4=1, 1, IF(KW5=1, KO21, 0))</f>
        <v>0</v>
      </c>
      <c r="LA22" s="9"/>
      <c r="LD22" s="3" t="s">
        <v>2137</v>
      </c>
      <c r="LE22">
        <f>IF(LE4=1, 1, IF(LE5=1, LE21, 0))</f>
        <v>0</v>
      </c>
      <c r="LF22">
        <f>IF(LF4=1, 1, IF(LF5=1, LE21, 0))</f>
        <v>0</v>
      </c>
      <c r="LG22">
        <f>IF(LG4=1, 1, IF(LG5=1, LE21, 0))</f>
        <v>0</v>
      </c>
      <c r="LH22">
        <f>IF(LH4=1, 1, IF(LH5=1, LE21, 0))</f>
        <v>0</v>
      </c>
      <c r="LI22">
        <f>IF(LI4=1, 1, IF(LI5=1, LE21, 0))</f>
        <v>0</v>
      </c>
      <c r="LJ22">
        <f>IF(LJ4=1, 1, IF(LJ5=1, LE21, 0))</f>
        <v>0</v>
      </c>
      <c r="LK22">
        <f>IF(LK4=1, 1, IF(LK5=1, LE21, 0))</f>
        <v>0</v>
      </c>
      <c r="LL22">
        <f>IF(LL4=1, 1, IF(LL5=1, LE21, 0))</f>
        <v>0</v>
      </c>
      <c r="LM22">
        <f>IF(LM4=1, 1, IF(LM5=1, LE21, 0))</f>
        <v>0</v>
      </c>
      <c r="LQ22" s="9"/>
      <c r="LT22" s="3" t="s">
        <v>2139</v>
      </c>
      <c r="LU22">
        <f>IF(LU4=1, 1, IF(LU5=1, LU21, 0))</f>
        <v>0</v>
      </c>
      <c r="LV22">
        <f>IF(LV4=1, 1, IF(LV5=1, LU21, 0))</f>
        <v>0</v>
      </c>
      <c r="LW22">
        <f>IF(LW4=1, 1, IF(LW5=1, LU21, 0))</f>
        <v>0</v>
      </c>
      <c r="LX22">
        <f>IF(LX4=1, 1, IF(LX5=1, LU21, 0))</f>
        <v>0</v>
      </c>
      <c r="LY22">
        <f>IF(LY4=1, 1, IF(LY5=1, LU21, 0))</f>
        <v>0</v>
      </c>
      <c r="LZ22">
        <f>IF(LZ4=1, 1, IF(LZ5=1, LU21, 0))</f>
        <v>0</v>
      </c>
      <c r="MA22">
        <f>IF(MA4=1, 1, IF(MA5=1, LU21, 0))</f>
        <v>0</v>
      </c>
      <c r="MB22">
        <f>IF(MB4=1, 1, IF(MB5=1, LU21, 0))</f>
        <v>0</v>
      </c>
      <c r="MC22">
        <f>IF(MC4=1, 1, IF(MC5=1, LU21, 0))</f>
        <v>0</v>
      </c>
      <c r="MG22" s="9"/>
      <c r="MJ22" s="3" t="s">
        <v>2141</v>
      </c>
      <c r="MK22">
        <f>IF(MK4=1, 1, IF(MK5=1, MK21, 0))</f>
        <v>0</v>
      </c>
      <c r="ML22">
        <f>IF(ML4=1, 1, IF(ML5=1, MK21, 0))</f>
        <v>0</v>
      </c>
      <c r="MM22">
        <f>IF(MM4=1, 1, IF(MM5=1, MK21, 0))</f>
        <v>0</v>
      </c>
      <c r="MN22">
        <f>IF(MN4=1, 1, IF(MN5=1, MK21, 0))</f>
        <v>0</v>
      </c>
      <c r="MO22">
        <f>IF(MO4=1, 1, IF(MO5=1, MK21, 0))</f>
        <v>0</v>
      </c>
      <c r="MP22">
        <f>IF(MP4=1, 1, IF(MP5=1, MK21, 0))</f>
        <v>0</v>
      </c>
      <c r="MQ22">
        <f>IF(MQ4=1, 1, IF(MQ5=1, MK21, 0))</f>
        <v>0</v>
      </c>
      <c r="MR22">
        <f>IF(MR4=1, 1, IF(MR5=1, MK21, 0))</f>
        <v>0</v>
      </c>
      <c r="MS22">
        <f>IF(MS4=1, 1, IF(MS5=1, MK21, 0))</f>
        <v>0</v>
      </c>
      <c r="MW22" s="9"/>
      <c r="MZ22" s="3" t="s">
        <v>2143</v>
      </c>
      <c r="NA22">
        <f>IF(NA4=1, 1, IF(NA5=1, NA21, 0))</f>
        <v>0</v>
      </c>
      <c r="NB22">
        <f>IF(NB4=1, 1, IF(NB5=1, NA21, 0))</f>
        <v>0</v>
      </c>
      <c r="NC22">
        <f>IF(NC4=1, 1, IF(NC5=1, NA21, 0))</f>
        <v>0</v>
      </c>
      <c r="ND22">
        <f>IF(ND4=1, 1, IF(ND5=1, NA21, 0))</f>
        <v>0</v>
      </c>
      <c r="NE22">
        <f>IF(NE4=1, 1, IF(NE5=1, NA21, 0))</f>
        <v>0</v>
      </c>
      <c r="NF22">
        <f>IF(NF4=1, 1, IF(NF5=1, NA21, 0))</f>
        <v>0</v>
      </c>
      <c r="NG22">
        <f>IF(NG4=1, 1, IF(NG5=1, NA21, 0))</f>
        <v>0</v>
      </c>
      <c r="NH22">
        <f>IF(NH4=1, 1, IF(NH5=1, NA21, 0))</f>
        <v>0</v>
      </c>
      <c r="NI22">
        <f>IF(NI4=1, 1, IF(NI5=1, NA21, 0))</f>
        <v>0</v>
      </c>
      <c r="NM22" s="9"/>
      <c r="NP22" s="3" t="s">
        <v>2145</v>
      </c>
      <c r="NQ22">
        <f>IF(NQ4=1, 1, IF(NQ5=1, NQ21, 0))</f>
        <v>0</v>
      </c>
      <c r="NR22">
        <f>IF(NR4=1, 1, IF(NR5=1, NQ21, 0))</f>
        <v>0</v>
      </c>
      <c r="NS22">
        <f>IF(NS4=1, 1, IF(NS5=1, NQ21, 0))</f>
        <v>0</v>
      </c>
      <c r="NT22">
        <f>IF(NT4=1, 1, IF(NT5=1, NQ21, 0))</f>
        <v>0</v>
      </c>
      <c r="NU22">
        <f>IF(NU4=1, 1, IF(NU5=1, NQ21, 0))</f>
        <v>0</v>
      </c>
      <c r="NV22">
        <f>IF(NV4=1, 1, IF(NV5=1, NQ21, 0))</f>
        <v>0</v>
      </c>
      <c r="NW22">
        <f>IF(NW4=1, 1, IF(NW5=1, NQ21, 0))</f>
        <v>0</v>
      </c>
      <c r="NX22">
        <f>IF(NX4=1, 1, IF(NX5=1, NQ21, 0))</f>
        <v>0</v>
      </c>
      <c r="NY22">
        <f>IF(NY4=1, 1, IF(NY5=1, NQ21, 0))</f>
        <v>0</v>
      </c>
      <c r="OC22" s="9"/>
      <c r="OF22" s="3" t="s">
        <v>2147</v>
      </c>
      <c r="OG22">
        <f>IF(OG4=1, 1, IF(OG5=1, OG21, 0))</f>
        <v>0</v>
      </c>
      <c r="OH22">
        <f>IF(OH4=1, 1, IF(OH5=1, OG21, 0))</f>
        <v>0</v>
      </c>
      <c r="OI22">
        <f>IF(OI4=1, 1, IF(OI5=1, OG21, 0))</f>
        <v>0</v>
      </c>
      <c r="OJ22">
        <f>IF(OJ4=1, 1, IF(OJ5=1, OG21, 0))</f>
        <v>0</v>
      </c>
      <c r="OK22">
        <f>IF(OK4=1, 1, IF(OK5=1, OG21, 0))</f>
        <v>0</v>
      </c>
      <c r="OL22">
        <f>IF(OL4=1, 1, IF(OL5=1, OG21, 0))</f>
        <v>0</v>
      </c>
      <c r="OM22">
        <f>IF(OM4=1, 1, IF(OM5=1, OG21, 0))</f>
        <v>0</v>
      </c>
      <c r="ON22">
        <f>IF(ON4=1, 1, IF(ON5=1, OG21, 0))</f>
        <v>0</v>
      </c>
      <c r="OO22">
        <f>IF(OO4=1, 1, IF(OO5=1, OG21, 0))</f>
        <v>0</v>
      </c>
      <c r="OS22" s="9"/>
    </row>
    <row r="23" spans="1:508" x14ac:dyDescent="0.2">
      <c r="BU23" s="9"/>
      <c r="CK23" s="9"/>
      <c r="DA23" s="9"/>
      <c r="DQ23" s="9"/>
      <c r="EG23" s="9"/>
      <c r="EW23" s="9"/>
      <c r="FM23" s="9"/>
      <c r="GC23" s="9"/>
      <c r="GS23" s="9"/>
      <c r="HI23" s="9"/>
      <c r="HY23" s="9"/>
      <c r="IO23" s="9"/>
      <c r="JE23" s="9"/>
      <c r="JU23" s="9"/>
      <c r="KK23" s="9"/>
      <c r="LA23" s="9"/>
      <c r="LQ23" s="9"/>
      <c r="MG23" s="9"/>
      <c r="MW23" s="9"/>
      <c r="NM23" s="9"/>
      <c r="OC23" s="9"/>
      <c r="OS23" s="9"/>
    </row>
    <row r="24" spans="1:508" hidden="1" x14ac:dyDescent="0.2">
      <c r="BU24" s="9"/>
      <c r="CK24" s="9"/>
      <c r="DA24" s="9"/>
      <c r="DQ24" s="9"/>
      <c r="EG24" s="9"/>
      <c r="EW24" s="9"/>
      <c r="FM24" s="9"/>
      <c r="GC24" s="9"/>
      <c r="GS24" s="9"/>
      <c r="HI24" s="9"/>
      <c r="HY24" s="9"/>
      <c r="IO24" s="9"/>
      <c r="JE24" s="9"/>
      <c r="JU24" s="9"/>
      <c r="KK24" s="9"/>
      <c r="LA24" s="9"/>
      <c r="LQ24" s="9"/>
      <c r="MG24" s="9"/>
      <c r="MW24" s="9"/>
      <c r="NM24" s="9"/>
      <c r="OC24" s="9"/>
      <c r="OS24" s="9"/>
    </row>
    <row r="25" spans="1:508" hidden="1" x14ac:dyDescent="0.2">
      <c r="BU25" s="9"/>
      <c r="CK25" s="9"/>
      <c r="DA25" s="9"/>
      <c r="DQ25" s="9"/>
      <c r="EG25" s="9"/>
      <c r="EW25" s="9"/>
      <c r="FM25" s="9"/>
      <c r="GC25" s="9"/>
      <c r="GS25" s="9"/>
      <c r="HI25" s="9"/>
      <c r="HY25" s="9"/>
      <c r="IO25" s="9"/>
      <c r="JE25" s="9"/>
      <c r="JU25" s="9"/>
      <c r="KK25" s="9"/>
      <c r="LA25" s="9"/>
      <c r="LQ25" s="9"/>
      <c r="MG25" s="9"/>
      <c r="MW25" s="9"/>
      <c r="NM25" s="9"/>
      <c r="OC25" s="9"/>
      <c r="OS25" s="9"/>
    </row>
    <row r="26" spans="1:508" hidden="1" x14ac:dyDescent="0.2">
      <c r="BU26" s="9"/>
      <c r="CK26" s="9"/>
      <c r="DA26" s="9"/>
      <c r="DQ26" s="9"/>
      <c r="EG26" s="9"/>
      <c r="EW26" s="9"/>
      <c r="FM26" s="9"/>
      <c r="GC26" s="9"/>
      <c r="GS26" s="9"/>
      <c r="HI26" s="9"/>
      <c r="HY26" s="9"/>
      <c r="IO26" s="9"/>
      <c r="JE26" s="9"/>
      <c r="JU26" s="9"/>
      <c r="KK26" s="9"/>
      <c r="LA26" s="9"/>
      <c r="LQ26" s="9"/>
      <c r="MG26" s="9"/>
      <c r="MW26" s="9"/>
      <c r="NM26" s="9"/>
      <c r="OC26" s="9"/>
      <c r="OS26" s="9"/>
    </row>
    <row r="27" spans="1:508" hidden="1" x14ac:dyDescent="0.2">
      <c r="BU27" s="9"/>
      <c r="CK27" s="9"/>
      <c r="DA27" s="9"/>
      <c r="DQ27" s="9"/>
      <c r="EG27" s="9"/>
      <c r="EW27" s="9"/>
      <c r="FM27" s="9"/>
      <c r="GC27" s="9"/>
      <c r="GS27" s="9"/>
      <c r="HI27" s="9"/>
      <c r="HY27" s="9"/>
      <c r="IO27" s="9"/>
      <c r="JE27" s="9"/>
      <c r="JU27" s="9"/>
      <c r="KK27" s="9"/>
      <c r="LA27" s="9"/>
      <c r="LQ27" s="9"/>
      <c r="MG27" s="9"/>
      <c r="MW27" s="9"/>
      <c r="NM27" s="9"/>
      <c r="OC27" s="9"/>
      <c r="OS27" s="9"/>
    </row>
    <row r="28" spans="1:508" hidden="1" x14ac:dyDescent="0.2">
      <c r="BU28" s="9"/>
      <c r="CK28" s="9"/>
      <c r="DA28" s="9"/>
      <c r="DQ28" s="9"/>
      <c r="EG28" s="9"/>
      <c r="EW28" s="9"/>
      <c r="FM28" s="9"/>
      <c r="GC28" s="9"/>
      <c r="GS28" s="9"/>
      <c r="HI28" s="9"/>
      <c r="HY28" s="9"/>
      <c r="IO28" s="9"/>
      <c r="JE28" s="9"/>
      <c r="JU28" s="9"/>
      <c r="KK28" s="9"/>
      <c r="LA28" s="9"/>
      <c r="LQ28" s="9"/>
      <c r="MG28" s="9"/>
      <c r="MW28" s="9"/>
      <c r="NM28" s="9"/>
      <c r="OC28" s="9"/>
      <c r="OS28" s="9"/>
    </row>
    <row r="29" spans="1:508" hidden="1" x14ac:dyDescent="0.2">
      <c r="BU29" s="9"/>
      <c r="CK29" s="9"/>
      <c r="DA29" s="9"/>
      <c r="DQ29" s="9"/>
      <c r="EG29" s="9"/>
      <c r="EW29" s="9"/>
      <c r="FM29" s="9"/>
      <c r="GC29" s="9"/>
      <c r="GS29" s="9"/>
      <c r="HI29" s="9"/>
      <c r="HY29" s="9"/>
      <c r="IO29" s="9"/>
      <c r="JE29" s="9"/>
      <c r="JU29" s="9"/>
      <c r="KK29" s="9"/>
      <c r="LA29" s="9"/>
      <c r="LQ29" s="9"/>
      <c r="MG29" s="9"/>
      <c r="MW29" s="9"/>
      <c r="NM29" s="9"/>
      <c r="OC29" s="9"/>
      <c r="OS29" s="9"/>
    </row>
    <row r="30" spans="1:508" hidden="1" x14ac:dyDescent="0.2">
      <c r="BU30" s="9"/>
      <c r="CK30" s="9"/>
      <c r="DA30" s="9"/>
      <c r="DQ30" s="9"/>
      <c r="EG30" s="9"/>
      <c r="EW30" s="9"/>
      <c r="FM30" s="9"/>
      <c r="GC30" s="9"/>
      <c r="GS30" s="9"/>
      <c r="HI30" s="9"/>
      <c r="HY30" s="9"/>
      <c r="IO30" s="9"/>
      <c r="JE30" s="9"/>
      <c r="JU30" s="9"/>
      <c r="KK30" s="9"/>
      <c r="LA30" s="9"/>
      <c r="LQ30" s="9"/>
      <c r="MG30" s="9"/>
      <c r="MW30" s="9"/>
      <c r="NM30" s="9"/>
      <c r="OC30" s="9"/>
      <c r="OS30" s="9"/>
    </row>
    <row r="31" spans="1:508" hidden="1" x14ac:dyDescent="0.2">
      <c r="BU31" s="9"/>
      <c r="CK31" s="9"/>
      <c r="DA31" s="9"/>
      <c r="DQ31" s="9"/>
      <c r="EG31" s="9"/>
      <c r="EW31" s="9"/>
      <c r="FM31" s="9"/>
      <c r="GC31" s="9"/>
      <c r="GS31" s="9"/>
      <c r="HI31" s="9"/>
      <c r="HY31" s="9"/>
      <c r="IO31" s="9"/>
      <c r="JE31" s="9"/>
      <c r="JU31" s="9"/>
      <c r="KK31" s="9"/>
      <c r="LA31" s="9"/>
      <c r="LQ31" s="9"/>
      <c r="MG31" s="9"/>
      <c r="MW31" s="9"/>
      <c r="NM31" s="9"/>
      <c r="OC31" s="9"/>
      <c r="OS31" s="9"/>
    </row>
    <row r="32" spans="1:508" hidden="1" x14ac:dyDescent="0.2">
      <c r="BU32" s="9"/>
      <c r="CK32" s="9"/>
      <c r="DA32" s="9"/>
      <c r="DQ32" s="9"/>
      <c r="EG32" s="9"/>
      <c r="EW32" s="9"/>
      <c r="FM32" s="9"/>
      <c r="GC32" s="9"/>
      <c r="GS32" s="9"/>
      <c r="HI32" s="9"/>
      <c r="HY32" s="9"/>
      <c r="IO32" s="9"/>
      <c r="JE32" s="9"/>
      <c r="JU32" s="9"/>
      <c r="KK32" s="9"/>
      <c r="LA32" s="9"/>
      <c r="LQ32" s="9"/>
      <c r="MG32" s="9"/>
      <c r="MW32" s="9"/>
      <c r="NM32" s="9"/>
      <c r="OC32" s="9"/>
      <c r="OS32" s="9"/>
    </row>
    <row r="33" spans="73:409" hidden="1" x14ac:dyDescent="0.2">
      <c r="BU33" s="9"/>
      <c r="CK33" s="9"/>
      <c r="DA33" s="9"/>
      <c r="DQ33" s="9"/>
      <c r="EG33" s="9"/>
      <c r="EW33" s="9"/>
      <c r="FM33" s="9"/>
      <c r="GC33" s="9"/>
      <c r="GS33" s="9"/>
      <c r="HI33" s="9"/>
      <c r="HY33" s="9"/>
      <c r="IO33" s="9"/>
      <c r="JE33" s="9"/>
      <c r="JU33" s="9"/>
      <c r="KK33" s="9"/>
      <c r="LA33" s="9"/>
      <c r="LQ33" s="9"/>
      <c r="MG33" s="9"/>
      <c r="MW33" s="9"/>
      <c r="NM33" s="9"/>
      <c r="OC33" s="9"/>
      <c r="OS33" s="9"/>
    </row>
    <row r="34" spans="73:409" hidden="1" x14ac:dyDescent="0.2">
      <c r="BU34" s="9"/>
      <c r="CK34" s="9"/>
      <c r="DA34" s="9"/>
      <c r="DQ34" s="9"/>
      <c r="EG34" s="9"/>
      <c r="EW34" s="9"/>
      <c r="FM34" s="9"/>
      <c r="GC34" s="9"/>
      <c r="GS34" s="9"/>
      <c r="HI34" s="9"/>
      <c r="HY34" s="9"/>
      <c r="IO34" s="9"/>
      <c r="JE34" s="9"/>
      <c r="JU34" s="9"/>
      <c r="KK34" s="9"/>
      <c r="LA34" s="9"/>
      <c r="LQ34" s="9"/>
      <c r="MG34" s="9"/>
      <c r="MW34" s="9"/>
      <c r="NM34" s="9"/>
      <c r="OC34" s="9"/>
      <c r="OS34" s="9"/>
    </row>
    <row r="35" spans="73:409" hidden="1" x14ac:dyDescent="0.2">
      <c r="BU35" s="9"/>
      <c r="CK35" s="9"/>
      <c r="DA35" s="9"/>
      <c r="DQ35" s="9"/>
      <c r="EG35" s="9"/>
      <c r="EW35" s="9"/>
      <c r="FM35" s="9"/>
      <c r="GC35" s="9"/>
      <c r="GS35" s="9"/>
      <c r="HI35" s="9"/>
      <c r="HY35" s="9"/>
      <c r="IO35" s="9"/>
      <c r="JE35" s="9"/>
      <c r="JU35" s="9"/>
      <c r="KK35" s="9"/>
      <c r="LA35" s="9"/>
      <c r="LQ35" s="9"/>
      <c r="MG35" s="9"/>
      <c r="MW35" s="9"/>
      <c r="NM35" s="9"/>
      <c r="OC35" s="9"/>
      <c r="OS35" s="9"/>
    </row>
    <row r="36" spans="73:409" hidden="1" x14ac:dyDescent="0.2">
      <c r="BU36" s="9"/>
      <c r="CK36" s="9"/>
      <c r="DA36" s="9"/>
      <c r="DQ36" s="9"/>
      <c r="EG36" s="9"/>
      <c r="EW36" s="9"/>
      <c r="FM36" s="9"/>
      <c r="GC36" s="9"/>
      <c r="GS36" s="9"/>
      <c r="HI36" s="9"/>
      <c r="HY36" s="9"/>
      <c r="IO36" s="9"/>
      <c r="JE36" s="9"/>
      <c r="JU36" s="9"/>
      <c r="KK36" s="9"/>
      <c r="LA36" s="9"/>
      <c r="LQ36" s="9"/>
      <c r="MG36" s="9"/>
      <c r="MW36" s="9"/>
      <c r="NM36" s="9"/>
      <c r="OC36" s="9"/>
      <c r="OS36" s="9"/>
    </row>
    <row r="37" spans="73:409" hidden="1" x14ac:dyDescent="0.2">
      <c r="BU37" s="9"/>
      <c r="CK37" s="9"/>
      <c r="DA37" s="9"/>
      <c r="DQ37" s="9"/>
      <c r="EG37" s="9"/>
      <c r="EW37" s="9"/>
      <c r="FM37" s="9"/>
      <c r="GC37" s="9"/>
      <c r="GS37" s="9"/>
      <c r="HI37" s="9"/>
      <c r="HY37" s="9"/>
      <c r="IO37" s="9"/>
      <c r="JE37" s="9"/>
      <c r="JU37" s="9"/>
      <c r="KK37" s="9"/>
      <c r="LA37" s="9"/>
      <c r="LQ37" s="9"/>
      <c r="MG37" s="9"/>
      <c r="MW37" s="9"/>
      <c r="NM37" s="9"/>
      <c r="OC37" s="9"/>
      <c r="OS37" s="9"/>
    </row>
    <row r="38" spans="73:409" hidden="1" x14ac:dyDescent="0.2">
      <c r="BU38" s="9"/>
      <c r="CK38" s="9"/>
      <c r="DA38" s="9"/>
      <c r="DQ38" s="9"/>
      <c r="EG38" s="9"/>
      <c r="EW38" s="9"/>
      <c r="FM38" s="9"/>
      <c r="GC38" s="9"/>
      <c r="GS38" s="9"/>
      <c r="HI38" s="9"/>
      <c r="HY38" s="9"/>
      <c r="IO38" s="9"/>
      <c r="JE38" s="9"/>
      <c r="JU38" s="9"/>
      <c r="KK38" s="9"/>
      <c r="LA38" s="9"/>
      <c r="LQ38" s="9"/>
      <c r="MG38" s="9"/>
      <c r="MW38" s="9"/>
      <c r="NM38" s="9"/>
      <c r="OC38" s="9"/>
      <c r="OS38" s="9"/>
    </row>
    <row r="39" spans="73:409" hidden="1" x14ac:dyDescent="0.2">
      <c r="BU39" s="9"/>
      <c r="CK39" s="9"/>
      <c r="DA39" s="9"/>
      <c r="DQ39" s="9"/>
      <c r="EG39" s="9"/>
      <c r="EW39" s="9"/>
      <c r="FM39" s="9"/>
      <c r="GC39" s="9"/>
      <c r="GS39" s="9"/>
      <c r="HI39" s="9"/>
      <c r="HY39" s="9"/>
      <c r="IO39" s="9"/>
      <c r="JE39" s="9"/>
      <c r="JU39" s="9"/>
      <c r="KK39" s="9"/>
      <c r="LA39" s="9"/>
      <c r="LQ39" s="9"/>
      <c r="MG39" s="9"/>
      <c r="MW39" s="9"/>
      <c r="NM39" s="9"/>
      <c r="OC39" s="9"/>
      <c r="OS39" s="9"/>
    </row>
    <row r="40" spans="73:409" hidden="1" x14ac:dyDescent="0.2">
      <c r="BU40" s="9"/>
      <c r="CK40" s="9"/>
      <c r="DA40" s="9"/>
      <c r="DQ40" s="9"/>
      <c r="EG40" s="9"/>
      <c r="EW40" s="9"/>
      <c r="FM40" s="9"/>
      <c r="GC40" s="9"/>
      <c r="GS40" s="9"/>
      <c r="HI40" s="9"/>
      <c r="HY40" s="9"/>
      <c r="IO40" s="9"/>
      <c r="JE40" s="9"/>
      <c r="JU40" s="9"/>
      <c r="KK40" s="9"/>
      <c r="LA40" s="9"/>
      <c r="LQ40" s="9"/>
      <c r="MG40" s="9"/>
      <c r="MW40" s="9"/>
      <c r="NM40" s="9"/>
      <c r="OC40" s="9"/>
      <c r="OS40" s="9"/>
    </row>
    <row r="41" spans="73:409" hidden="1" x14ac:dyDescent="0.2">
      <c r="BU41" s="9"/>
      <c r="CK41" s="9"/>
      <c r="DA41" s="9"/>
      <c r="DQ41" s="9"/>
      <c r="EG41" s="9"/>
      <c r="EW41" s="9"/>
      <c r="FM41" s="9"/>
      <c r="GC41" s="9"/>
      <c r="GS41" s="9"/>
      <c r="HI41" s="9"/>
      <c r="HY41" s="9"/>
      <c r="IO41" s="9"/>
      <c r="JE41" s="9"/>
      <c r="JU41" s="9"/>
      <c r="KK41" s="9"/>
      <c r="LA41" s="9"/>
      <c r="LQ41" s="9"/>
      <c r="MG41" s="9"/>
      <c r="MW41" s="9"/>
      <c r="NM41" s="9"/>
      <c r="OC41" s="9"/>
      <c r="OS41" s="9"/>
    </row>
    <row r="42" spans="73:409" hidden="1" x14ac:dyDescent="0.2">
      <c r="BU42" s="9"/>
      <c r="CK42" s="9"/>
      <c r="DA42" s="9"/>
      <c r="DQ42" s="9"/>
      <c r="EG42" s="9"/>
      <c r="EW42" s="9"/>
      <c r="FM42" s="9"/>
      <c r="GC42" s="9"/>
      <c r="GS42" s="9"/>
      <c r="HI42" s="9"/>
      <c r="HY42" s="9"/>
      <c r="IO42" s="9"/>
      <c r="JE42" s="9"/>
      <c r="JU42" s="9"/>
      <c r="KK42" s="9"/>
      <c r="LA42" s="9"/>
      <c r="LQ42" s="9"/>
      <c r="MG42" s="9"/>
      <c r="MW42" s="9"/>
      <c r="NM42" s="9"/>
      <c r="OC42" s="9"/>
      <c r="OS42" s="9"/>
    </row>
    <row r="43" spans="73:409" hidden="1" x14ac:dyDescent="0.2">
      <c r="BU43" s="9"/>
      <c r="CK43" s="9"/>
      <c r="DA43" s="9"/>
      <c r="DQ43" s="9"/>
      <c r="EG43" s="9"/>
      <c r="EW43" s="9"/>
      <c r="FM43" s="9"/>
      <c r="GC43" s="9"/>
      <c r="GS43" s="9"/>
      <c r="HI43" s="9"/>
      <c r="HY43" s="9"/>
      <c r="IO43" s="9"/>
      <c r="JE43" s="9"/>
      <c r="JU43" s="9"/>
      <c r="KK43" s="9"/>
      <c r="LA43" s="9"/>
      <c r="LQ43" s="9"/>
      <c r="MG43" s="9"/>
      <c r="MW43" s="9"/>
      <c r="NM43" s="9"/>
      <c r="OC43" s="9"/>
      <c r="OS43" s="9"/>
    </row>
    <row r="44" spans="73:409" hidden="1" x14ac:dyDescent="0.2">
      <c r="BU44" s="9"/>
      <c r="CK44" s="9"/>
      <c r="DA44" s="9"/>
      <c r="DQ44" s="9"/>
      <c r="EG44" s="9"/>
      <c r="EW44" s="9"/>
      <c r="FM44" s="9"/>
      <c r="GC44" s="9"/>
      <c r="GS44" s="9"/>
      <c r="HI44" s="9"/>
      <c r="HY44" s="9"/>
      <c r="IO44" s="9"/>
      <c r="JE44" s="9"/>
      <c r="JU44" s="9"/>
      <c r="KK44" s="9"/>
      <c r="LA44" s="9"/>
      <c r="LQ44" s="9"/>
      <c r="MG44" s="9"/>
      <c r="MW44" s="9"/>
      <c r="NM44" s="9"/>
      <c r="OC44" s="9"/>
      <c r="OS44" s="9"/>
    </row>
    <row r="45" spans="73:409" hidden="1" x14ac:dyDescent="0.2">
      <c r="BU45" s="9"/>
      <c r="CK45" s="9"/>
      <c r="DA45" s="9"/>
      <c r="DQ45" s="9"/>
      <c r="EG45" s="9"/>
      <c r="EW45" s="9"/>
      <c r="FM45" s="9"/>
      <c r="GC45" s="9"/>
      <c r="GS45" s="9"/>
      <c r="HI45" s="9"/>
      <c r="HY45" s="9"/>
      <c r="IO45" s="9"/>
      <c r="JE45" s="9"/>
      <c r="JU45" s="9"/>
      <c r="KK45" s="9"/>
      <c r="LA45" s="9"/>
      <c r="LQ45" s="9"/>
      <c r="MG45" s="9"/>
      <c r="MW45" s="9"/>
      <c r="NM45" s="9"/>
      <c r="OC45" s="9"/>
      <c r="OS45" s="9"/>
    </row>
    <row r="46" spans="73:409" hidden="1" x14ac:dyDescent="0.2">
      <c r="BU46" s="9"/>
      <c r="CK46" s="9"/>
      <c r="DA46" s="9"/>
      <c r="DQ46" s="9"/>
      <c r="EG46" s="9"/>
      <c r="EW46" s="9"/>
      <c r="FM46" s="9"/>
      <c r="GC46" s="9"/>
      <c r="GS46" s="9"/>
      <c r="HI46" s="9"/>
      <c r="HY46" s="9"/>
      <c r="IO46" s="9"/>
      <c r="JE46" s="9"/>
      <c r="JU46" s="9"/>
      <c r="KK46" s="9"/>
      <c r="LA46" s="9"/>
      <c r="LQ46" s="9"/>
      <c r="MG46" s="9"/>
      <c r="MW46" s="9"/>
      <c r="NM46" s="9"/>
      <c r="OC46" s="9"/>
      <c r="OS46" s="9"/>
    </row>
    <row r="47" spans="73:409" hidden="1" x14ac:dyDescent="0.2">
      <c r="BU47" s="9"/>
      <c r="CK47" s="9"/>
      <c r="DA47" s="9"/>
      <c r="DQ47" s="9"/>
      <c r="EG47" s="9"/>
      <c r="EW47" s="9"/>
      <c r="FM47" s="9"/>
      <c r="GC47" s="9"/>
      <c r="GS47" s="9"/>
      <c r="HI47" s="9"/>
      <c r="HY47" s="9"/>
      <c r="IO47" s="9"/>
      <c r="JE47" s="9"/>
      <c r="JU47" s="9"/>
      <c r="KK47" s="9"/>
      <c r="LA47" s="9"/>
      <c r="LQ47" s="9"/>
      <c r="MG47" s="9"/>
      <c r="MW47" s="9"/>
      <c r="NM47" s="9"/>
      <c r="OC47" s="9"/>
      <c r="OS47" s="9"/>
    </row>
    <row r="48" spans="73:409" hidden="1" x14ac:dyDescent="0.2">
      <c r="BU48" s="9"/>
      <c r="CK48" s="9"/>
      <c r="DA48" s="9"/>
      <c r="DQ48" s="9"/>
      <c r="EG48" s="9"/>
      <c r="EW48" s="9"/>
      <c r="FM48" s="9"/>
      <c r="GC48" s="9"/>
      <c r="GS48" s="9"/>
      <c r="HI48" s="9"/>
      <c r="HY48" s="9"/>
      <c r="IO48" s="9"/>
      <c r="JE48" s="9"/>
      <c r="JU48" s="9"/>
      <c r="KK48" s="9"/>
      <c r="LA48" s="9"/>
      <c r="LQ48" s="9"/>
      <c r="MG48" s="9"/>
      <c r="MW48" s="9"/>
      <c r="NM48" s="9"/>
      <c r="OC48" s="9"/>
      <c r="OS48" s="9"/>
    </row>
    <row r="49" spans="1:410" hidden="1" x14ac:dyDescent="0.2">
      <c r="BU49" s="9"/>
      <c r="CK49" s="9"/>
      <c r="DA49" s="9"/>
      <c r="DQ49" s="9"/>
      <c r="EG49" s="9"/>
      <c r="EW49" s="9"/>
      <c r="FM49" s="9"/>
      <c r="GC49" s="9"/>
      <c r="GS49" s="9"/>
      <c r="HI49" s="9"/>
      <c r="HY49" s="9"/>
      <c r="IO49" s="9"/>
      <c r="JE49" s="9"/>
      <c r="JU49" s="9"/>
      <c r="KK49" s="9"/>
      <c r="LA49" s="9"/>
      <c r="LQ49" s="9"/>
      <c r="MG49" s="9"/>
      <c r="MW49" s="9"/>
      <c r="NM49" s="9"/>
      <c r="OC49" s="9"/>
      <c r="OS49" s="9"/>
    </row>
    <row r="50" spans="1:410" hidden="1" x14ac:dyDescent="0.2">
      <c r="BU50" s="9"/>
      <c r="CK50" s="9"/>
      <c r="DA50" s="9"/>
      <c r="DQ50" s="9"/>
      <c r="EG50" s="9"/>
      <c r="EW50" s="9"/>
      <c r="FM50" s="9"/>
      <c r="GC50" s="9"/>
      <c r="GS50" s="9"/>
      <c r="HI50" s="9"/>
      <c r="HY50" s="9"/>
      <c r="IO50" s="9"/>
      <c r="JE50" s="9"/>
      <c r="JU50" s="9"/>
      <c r="KK50" s="9"/>
      <c r="LA50" s="9"/>
      <c r="LQ50" s="9"/>
      <c r="MG50" s="9"/>
      <c r="MW50" s="9"/>
      <c r="NM50" s="9"/>
      <c r="OC50" s="9"/>
      <c r="OS50" s="9"/>
    </row>
    <row r="51" spans="1:410" hidden="1" x14ac:dyDescent="0.2">
      <c r="BU51" s="9"/>
      <c r="CK51" s="9"/>
      <c r="DA51" s="9"/>
      <c r="DQ51" s="9"/>
      <c r="EG51" s="9"/>
      <c r="EW51" s="9"/>
      <c r="FM51" s="9"/>
      <c r="GC51" s="9"/>
      <c r="GS51" s="9"/>
      <c r="HI51" s="9"/>
      <c r="HY51" s="9"/>
      <c r="IO51" s="9"/>
      <c r="JE51" s="9"/>
      <c r="JU51" s="9"/>
      <c r="KK51" s="9"/>
      <c r="LA51" s="9"/>
      <c r="LQ51" s="9"/>
      <c r="MG51" s="9"/>
      <c r="MW51" s="9"/>
      <c r="NM51" s="9"/>
      <c r="OC51" s="9"/>
      <c r="OS51" s="9"/>
    </row>
    <row r="52" spans="1:410" hidden="1" x14ac:dyDescent="0.2">
      <c r="BU52" s="9"/>
      <c r="CK52" s="9"/>
      <c r="DA52" s="9"/>
      <c r="DQ52" s="9"/>
      <c r="EG52" s="9"/>
      <c r="EW52" s="9"/>
      <c r="FM52" s="9"/>
      <c r="GC52" s="9"/>
      <c r="GS52" s="9"/>
      <c r="HI52" s="9"/>
      <c r="HY52" s="9"/>
      <c r="IO52" s="9"/>
      <c r="JE52" s="9"/>
      <c r="JU52" s="9"/>
      <c r="KK52" s="9"/>
      <c r="LA52" s="9"/>
      <c r="LQ52" s="9"/>
      <c r="MG52" s="9"/>
      <c r="MW52" s="9"/>
      <c r="NM52" s="9"/>
      <c r="OC52" s="9"/>
      <c r="OS52" s="9"/>
    </row>
    <row r="53" spans="1:410" hidden="1" x14ac:dyDescent="0.2">
      <c r="BU53" s="9"/>
      <c r="CK53" s="9"/>
      <c r="DA53" s="9"/>
      <c r="DQ53" s="9"/>
      <c r="EG53" s="9"/>
      <c r="EW53" s="9"/>
      <c r="FM53" s="9"/>
      <c r="GC53" s="9"/>
      <c r="GS53" s="9"/>
      <c r="HI53" s="9"/>
      <c r="HY53" s="9"/>
      <c r="IO53" s="9"/>
      <c r="JE53" s="9"/>
      <c r="JU53" s="9"/>
      <c r="KK53" s="9"/>
      <c r="LA53" s="9"/>
      <c r="LQ53" s="9"/>
      <c r="MG53" s="9"/>
      <c r="MW53" s="9"/>
      <c r="NM53" s="9"/>
      <c r="OC53" s="9"/>
      <c r="OS53" s="9"/>
    </row>
    <row r="54" spans="1:410" hidden="1" x14ac:dyDescent="0.2">
      <c r="BU54" s="9"/>
      <c r="CK54" s="9"/>
      <c r="DA54" s="9"/>
      <c r="DQ54" s="9"/>
      <c r="EG54" s="9"/>
      <c r="EW54" s="9"/>
      <c r="FM54" s="9"/>
      <c r="GC54" s="9"/>
      <c r="GS54" s="9"/>
      <c r="HI54" s="9"/>
      <c r="HY54" s="9"/>
      <c r="IO54" s="9"/>
      <c r="JE54" s="9"/>
      <c r="JU54" s="9"/>
      <c r="KK54" s="9"/>
      <c r="LA54" s="9"/>
      <c r="LQ54" s="9"/>
      <c r="MG54" s="9"/>
      <c r="MW54" s="9"/>
      <c r="NM54" s="9"/>
      <c r="OC54" s="9"/>
      <c r="OS54" s="9"/>
    </row>
    <row r="55" spans="1:410" hidden="1" x14ac:dyDescent="0.2">
      <c r="BU55" s="9"/>
      <c r="CK55" s="9"/>
      <c r="DA55" s="9"/>
      <c r="DQ55" s="9"/>
      <c r="EG55" s="9"/>
      <c r="EW55" s="9"/>
      <c r="FM55" s="9"/>
      <c r="GC55" s="9"/>
      <c r="GS55" s="9"/>
      <c r="HI55" s="9"/>
      <c r="HY55" s="9"/>
      <c r="IO55" s="9"/>
      <c r="JE55" s="9"/>
      <c r="JU55" s="9"/>
      <c r="KK55" s="9"/>
      <c r="LA55" s="9"/>
      <c r="LQ55" s="9"/>
      <c r="MG55" s="9"/>
      <c r="MW55" s="9"/>
      <c r="NM55" s="9"/>
      <c r="OC55" s="9"/>
      <c r="OS55" s="9"/>
    </row>
    <row r="56" spans="1:410" hidden="1" x14ac:dyDescent="0.2">
      <c r="BU56" s="9"/>
      <c r="CK56" s="9"/>
      <c r="DA56" s="9"/>
      <c r="DQ56" s="9"/>
      <c r="EG56" s="9"/>
      <c r="EW56" s="9"/>
      <c r="FM56" s="9"/>
      <c r="GC56" s="9"/>
      <c r="GS56" s="9"/>
      <c r="HI56" s="9"/>
      <c r="HY56" s="9"/>
      <c r="IO56" s="9"/>
      <c r="JE56" s="9"/>
      <c r="JU56" s="9"/>
      <c r="KK56" s="9"/>
      <c r="LA56" s="9"/>
      <c r="LQ56" s="9"/>
      <c r="MG56" s="9"/>
      <c r="MW56" s="9"/>
      <c r="NM56" s="9"/>
      <c r="OC56" s="9"/>
      <c r="OS56" s="9"/>
    </row>
    <row r="57" spans="1:410" hidden="1" x14ac:dyDescent="0.2">
      <c r="BU57" s="9"/>
      <c r="CK57" s="9"/>
      <c r="DA57" s="9"/>
      <c r="DQ57" s="9"/>
      <c r="EG57" s="9"/>
      <c r="EW57" s="9"/>
      <c r="FM57" s="9"/>
      <c r="GC57" s="9"/>
      <c r="GS57" s="9"/>
      <c r="HI57" s="9"/>
      <c r="HY57" s="9"/>
      <c r="IO57" s="9"/>
      <c r="JE57" s="9"/>
      <c r="JU57" s="9"/>
      <c r="KK57" s="9"/>
      <c r="LA57" s="9"/>
      <c r="LQ57" s="9"/>
      <c r="MG57" s="9"/>
      <c r="MW57" s="9"/>
      <c r="NM57" s="9"/>
      <c r="OC57" s="9"/>
      <c r="OS57" s="9"/>
    </row>
    <row r="58" spans="1:410" hidden="1" x14ac:dyDescent="0.2">
      <c r="BU58" s="9"/>
      <c r="CK58" s="9"/>
      <c r="DA58" s="9"/>
      <c r="DQ58" s="9"/>
      <c r="EG58" s="9"/>
      <c r="EW58" s="9"/>
      <c r="FM58" s="9"/>
      <c r="GC58" s="9"/>
      <c r="GS58" s="9"/>
      <c r="HI58" s="9"/>
      <c r="HY58" s="9"/>
      <c r="IO58" s="9"/>
      <c r="JE58" s="9"/>
      <c r="JU58" s="9"/>
      <c r="KK58" s="9"/>
      <c r="LA58" s="9"/>
      <c r="LQ58" s="9"/>
      <c r="MG58" s="9"/>
      <c r="MW58" s="9"/>
      <c r="NM58" s="9"/>
      <c r="OC58" s="9"/>
      <c r="OS58" s="9"/>
    </row>
    <row r="59" spans="1:410" hidden="1" x14ac:dyDescent="0.2">
      <c r="BU59" s="9"/>
      <c r="CK59" s="9"/>
      <c r="DA59" s="9"/>
      <c r="DQ59" s="9"/>
      <c r="EG59" s="9"/>
      <c r="EW59" s="9"/>
      <c r="FM59" s="9"/>
      <c r="GC59" s="9"/>
      <c r="GS59" s="9"/>
      <c r="HI59" s="9"/>
      <c r="HY59" s="9"/>
      <c r="IO59" s="9"/>
      <c r="JE59" s="9"/>
      <c r="JU59" s="9"/>
      <c r="KK59" s="9"/>
      <c r="LA59" s="9"/>
      <c r="LQ59" s="9"/>
      <c r="MG59" s="9"/>
      <c r="MW59" s="9"/>
      <c r="NM59" s="9"/>
      <c r="OC59" s="9"/>
      <c r="OS59" s="9"/>
    </row>
    <row r="60" spans="1:410" hidden="1" x14ac:dyDescent="0.2">
      <c r="BU60" s="9"/>
      <c r="CK60" s="9"/>
      <c r="DA60" s="9"/>
      <c r="DQ60" s="9"/>
      <c r="EG60" s="9"/>
      <c r="EW60" s="9"/>
      <c r="FM60" s="9"/>
      <c r="GC60" s="9"/>
      <c r="GS60" s="9"/>
      <c r="HI60" s="9"/>
      <c r="HY60" s="9"/>
      <c r="IO60" s="9"/>
      <c r="JE60" s="9"/>
      <c r="JU60" s="9"/>
      <c r="KK60" s="9"/>
      <c r="LA60" s="9"/>
      <c r="LQ60" s="9"/>
      <c r="MG60" s="9"/>
      <c r="MW60" s="9"/>
      <c r="NM60" s="9"/>
      <c r="OC60" s="9"/>
      <c r="OS60" s="9"/>
    </row>
    <row r="61" spans="1:410" hidden="1" x14ac:dyDescent="0.2">
      <c r="BU61" s="9"/>
      <c r="CK61" s="9"/>
      <c r="DA61" s="9"/>
      <c r="DQ61" s="9"/>
      <c r="EG61" s="9"/>
      <c r="EW61" s="9"/>
      <c r="FM61" s="9"/>
      <c r="GC61" s="9"/>
      <c r="GS61" s="9"/>
      <c r="HI61" s="9"/>
      <c r="HY61" s="9"/>
      <c r="IO61" s="9"/>
      <c r="JE61" s="9"/>
      <c r="JU61" s="9"/>
      <c r="KK61" s="9"/>
      <c r="LA61" s="9"/>
      <c r="LQ61" s="9"/>
      <c r="MG61" s="9"/>
      <c r="MW61" s="9"/>
      <c r="NM61" s="9"/>
      <c r="OC61" s="9"/>
      <c r="OS61" s="9"/>
    </row>
    <row r="62" spans="1:410" x14ac:dyDescent="0.2">
      <c r="BI62" s="16"/>
      <c r="BJ62" s="16"/>
      <c r="BK62" s="16"/>
      <c r="BL62" s="16"/>
      <c r="BM62" s="30"/>
      <c r="BN62" s="30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30"/>
      <c r="CB62" s="16"/>
      <c r="CC62" s="16"/>
      <c r="CD62" s="30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30"/>
      <c r="DG62" s="30"/>
      <c r="DH62" s="30"/>
      <c r="DI62" s="16"/>
      <c r="DJ62" s="30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30"/>
      <c r="DY62" s="16"/>
      <c r="DZ62" s="30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30"/>
      <c r="EL62" s="16"/>
      <c r="EM62" s="29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30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30" t="s">
        <v>1307</v>
      </c>
      <c r="GN62" s="30" t="s">
        <v>1308</v>
      </c>
      <c r="GO62" s="30" t="s">
        <v>1309</v>
      </c>
      <c r="GP62" s="16"/>
      <c r="GQ62" s="16"/>
      <c r="GR62" s="16"/>
      <c r="GS62" s="16"/>
      <c r="GT62" s="16"/>
      <c r="GU62" s="16"/>
      <c r="GV62" s="16"/>
      <c r="GW62" s="16"/>
      <c r="GX62" s="16"/>
      <c r="GY62" s="29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30"/>
      <c r="HN62" s="30"/>
      <c r="HO62" s="29"/>
      <c r="HP62" s="16"/>
      <c r="HQ62" s="16"/>
      <c r="HR62" s="30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29"/>
      <c r="IF62" s="30"/>
      <c r="IG62" s="16"/>
      <c r="IH62" s="30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29"/>
      <c r="JP62" s="16"/>
      <c r="JQ62" s="16"/>
      <c r="JU62" s="9"/>
      <c r="KK62" s="9"/>
      <c r="LA62" s="9"/>
      <c r="LQ62" s="9"/>
      <c r="MG62" s="9"/>
      <c r="MW62" s="9"/>
      <c r="NM62" s="9"/>
      <c r="OC62" s="9"/>
      <c r="OS62" s="9"/>
    </row>
    <row r="63" spans="1:410" x14ac:dyDescent="0.2">
      <c r="A63" s="5" t="s">
        <v>45</v>
      </c>
      <c r="AQ63" s="12"/>
      <c r="AR63" s="12"/>
      <c r="AS63" s="12"/>
      <c r="AT63" s="12"/>
      <c r="AU63" s="12"/>
      <c r="AV63" s="12"/>
      <c r="AW63" s="12"/>
      <c r="AX63" s="12"/>
      <c r="AY63" s="12"/>
      <c r="BU63" s="9"/>
      <c r="CK63" s="9"/>
      <c r="DA63" s="9"/>
      <c r="DQ63" s="9"/>
      <c r="EG63" s="9"/>
      <c r="EW63" s="9"/>
      <c r="FM63" s="9"/>
      <c r="GC63" s="9"/>
      <c r="GS63" s="9"/>
      <c r="HI63" s="9"/>
      <c r="HY63" s="9"/>
      <c r="IO63" s="9"/>
      <c r="JE63" s="9"/>
      <c r="JU63" s="9"/>
      <c r="KK63" s="9"/>
      <c r="LA63" s="9"/>
      <c r="LQ63" s="9"/>
      <c r="MG63" s="9"/>
      <c r="MW63" s="9"/>
      <c r="NM63" s="9"/>
      <c r="OC63" s="9"/>
      <c r="OS63" s="9"/>
    </row>
    <row r="64" spans="1:410" x14ac:dyDescent="0.2">
      <c r="A64" t="s">
        <v>1291</v>
      </c>
      <c r="B64" s="12">
        <f t="shared" ref="B64:H69" si="318">M64+Y64+AQ64+BI64+BY64+CO64+DE64+DU64+EK64+FA64+FQ64+GG64+GW64+HM64+IC64+IS64+JI64+JY64+KO64+LE64+LU64+MK64+NA64+NQ64+OG64</f>
        <v>0</v>
      </c>
      <c r="C64" s="12">
        <f t="shared" si="318"/>
        <v>0</v>
      </c>
      <c r="D64" s="12">
        <f t="shared" si="318"/>
        <v>0</v>
      </c>
      <c r="E64" s="12">
        <f t="shared" si="318"/>
        <v>0</v>
      </c>
      <c r="F64" s="12">
        <f t="shared" si="318"/>
        <v>0</v>
      </c>
      <c r="G64" s="12">
        <f t="shared" si="318"/>
        <v>0</v>
      </c>
      <c r="H64" s="12">
        <f t="shared" si="318"/>
        <v>0</v>
      </c>
      <c r="I64" s="12">
        <f t="shared" ref="I64:J69" si="319">AF64+AX64+BP64+CF64+CV64+DL64+EB64+ER64+FH64+FX64+GN64+HD64+HT64+IJ64+IZ64+JP64+KF64+KV64+LL64+MB64+MR64+NH64+NX64+ON64</f>
        <v>0</v>
      </c>
      <c r="J64" s="12">
        <f t="shared" si="319"/>
        <v>0</v>
      </c>
      <c r="M64">
        <f t="shared" ref="M64:M69" si="320">M$5*V64</f>
        <v>0</v>
      </c>
      <c r="N64">
        <f t="shared" ref="N64:N69" si="321">N$5*V64</f>
        <v>0</v>
      </c>
      <c r="O64">
        <f t="shared" ref="O64:O69" si="322">O$5*V64</f>
        <v>0</v>
      </c>
      <c r="P64">
        <f t="shared" ref="P64:P69" si="323">P$5*V64</f>
        <v>0</v>
      </c>
      <c r="Q64">
        <f t="shared" ref="Q64:Q69" si="324">Q$5*V64</f>
        <v>0</v>
      </c>
      <c r="R64">
        <f t="shared" ref="R64:R69" si="325">R$5*V64</f>
        <v>0</v>
      </c>
      <c r="S64">
        <f t="shared" ref="S64:S69" si="326">S$5*V64</f>
        <v>0</v>
      </c>
      <c r="U64" t="s">
        <v>1307</v>
      </c>
      <c r="V64">
        <f>_xlfn.XLOOKUP(U64,'KPI Impacts'!$B$2:$H$2,'KPI Impacts'!$B64:$H64)</f>
        <v>1</v>
      </c>
      <c r="Y64" s="12" cm="1">
        <f t="array" ref="Y64">_xlfn.SWITCH(Y$4, 0,0, 1, AJ64,2,AL64,3,AN64,0)</f>
        <v>0</v>
      </c>
      <c r="Z64" s="12" cm="1">
        <f t="array" ref="Z64">_xlfn.SWITCH(Z$4, 0,0, 1, AJ64,2,AL64,3,AN64,0)+Y64</f>
        <v>0</v>
      </c>
      <c r="AA64" s="12" cm="1">
        <f t="array" ref="AA64">_xlfn.SWITCH(AA$4, 0,0, 1, AJ64,2,AL64,3,AN64,0)+Z64</f>
        <v>0</v>
      </c>
      <c r="AB64" s="12" cm="1">
        <f t="array" ref="AB64">_xlfn.SWITCH(AB$4, 0,0, 1, AJ64,2,AL64,3,AN64,0)+AA64</f>
        <v>0</v>
      </c>
      <c r="AC64" s="12" cm="1">
        <f t="array" ref="AC64">_xlfn.SWITCH(AC$4, 0,0, 1, AJ64,2,AL64,3,AN64,0)+AB64</f>
        <v>0</v>
      </c>
      <c r="AD64" s="12" cm="1">
        <f t="array" ref="AD64">_xlfn.SWITCH(AD$4, 0,0, 1, AJ64,2,AL64,3,AN64,0)+AC64</f>
        <v>0</v>
      </c>
      <c r="AE64" s="12" cm="1">
        <f t="array" ref="AE64">_xlfn.SWITCH(AE$4, 0,0, 1, AJ64,2,AL64,3,AN64,0)+AD64</f>
        <v>0</v>
      </c>
      <c r="AF64" s="12" cm="1">
        <f t="array" ref="AF64">_xlfn.SWITCH(AF$4, 0,0, 1, AJ64,2,AL64,3,AN64,0)+AE64</f>
        <v>0</v>
      </c>
      <c r="AG64" s="12" cm="1">
        <f t="array" ref="AG64">_xlfn.SWITCH(AG$4, 0,0, 1, AJ64,2,AL64,3,AN64,0)+AF64</f>
        <v>0</v>
      </c>
      <c r="AI64" t="s">
        <v>1303</v>
      </c>
      <c r="AJ64">
        <f>_xlfn.XLOOKUP(AI64,'KPI Impacts'!$K$2:$Q$2,'KPI Impacts'!$K64:$Q64)</f>
        <v>0</v>
      </c>
      <c r="AK64" t="s">
        <v>1303</v>
      </c>
      <c r="AL64">
        <f>_xlfn.XLOOKUP(AK64,'KPI Impacts'!$K$2:$Q$2,'KPI Impacts'!$K64:$Q64)</f>
        <v>0</v>
      </c>
      <c r="AM64" t="s">
        <v>1303</v>
      </c>
      <c r="AN64">
        <f>_xlfn.XLOOKUP(AM64,'KPI Impacts'!$K$2:$Q$2,'KPI Impacts'!$K64:$Q64)</f>
        <v>0</v>
      </c>
      <c r="AQ64" s="12" cm="1">
        <f t="array" ref="AQ64">_xlfn.SWITCH(AQ$4, 0,0, 1, BB64,2,BD64,3,BF64,0)</f>
        <v>0</v>
      </c>
      <c r="AR64" s="12" cm="1">
        <f t="array" ref="AR64">_xlfn.SWITCH(AR$4, 0,0, 1, BB64,2,BD64,3,BF64,0)+AQ64</f>
        <v>0</v>
      </c>
      <c r="AS64" s="12" cm="1">
        <f t="array" ref="AS64">_xlfn.SWITCH(AS$4, 0,0, 1, BB64,2,BD64,3,BF64,0)+AR64</f>
        <v>0</v>
      </c>
      <c r="AT64" s="12" cm="1">
        <f t="array" ref="AT64">_xlfn.SWITCH(AT$4, 0,0, 1, BB64,2,BD64,3,BF64,0)+AS64</f>
        <v>0</v>
      </c>
      <c r="AU64" s="12" cm="1">
        <f t="array" ref="AU64">_xlfn.SWITCH(AU$4, 0,0, 1, BB64,2,BD64,3,BF64,0)+AT64</f>
        <v>0</v>
      </c>
      <c r="AV64" s="12" cm="1">
        <f t="array" ref="AV64">_xlfn.SWITCH(AV$4, 0,0, 1, BB64,2,BD64,3,BF64,0)+AU64</f>
        <v>0</v>
      </c>
      <c r="AW64" s="12" cm="1">
        <f t="array" ref="AW64">_xlfn.SWITCH(AW$4, 0,0, 1, BB64,2,BD64,3,BF64,0)+AV64</f>
        <v>0</v>
      </c>
      <c r="AX64" s="12" cm="1">
        <f t="array" ref="AX64">_xlfn.SWITCH(AX$4, 0,0, 1, BB64,2,BD64,3,BF64,0)+AW64</f>
        <v>0</v>
      </c>
      <c r="AY64" s="12" cm="1">
        <f t="array" ref="AY64">_xlfn.SWITCH(AY$4, 0,0, 1, BB64,2,BD64,3,BF64,0)+AX64</f>
        <v>0</v>
      </c>
      <c r="BA64" t="s">
        <v>1307</v>
      </c>
      <c r="BB64">
        <f>_xlfn.XLOOKUP(BA64,'KPI Impacts'!$K$2:$Q$2,'KPI Impacts'!$K64:$Q64)</f>
        <v>0.3</v>
      </c>
      <c r="BC64" t="s">
        <v>1309</v>
      </c>
      <c r="BD64">
        <f>_xlfn.XLOOKUP(BC64,'KPI Impacts'!$K$2:$Q$2,'KPI Impacts'!$K64:$Q64)</f>
        <v>0.44999999999999996</v>
      </c>
      <c r="BE64" t="s">
        <v>1308</v>
      </c>
      <c r="BF64">
        <f>_xlfn.XLOOKUP(BE64,'KPI Impacts'!$K$2:$Q$2,'KPI Impacts'!$K64:$Q64)</f>
        <v>0.6</v>
      </c>
      <c r="BI64" s="12">
        <f t="shared" ref="BI64:BI69" si="327">BI$22*BT64</f>
        <v>0</v>
      </c>
      <c r="BJ64" s="12">
        <f t="shared" ref="BJ64:BJ69" si="328">BJ$22 * IF(AND(BI$5=1,BI$20=1), BV64, BT64)</f>
        <v>0</v>
      </c>
      <c r="BK64" s="12">
        <f t="shared" ref="BK64:BK69" si="329">BK$22 * IF(AND(BJ$5=1,BI$20=1), BV64, BT64)</f>
        <v>0</v>
      </c>
      <c r="BL64" s="12">
        <f t="shared" ref="BL64:BL69" si="330">BL$22 * IF(AND(BK$5=1,BI$20=1), BV64, BT64)</f>
        <v>0</v>
      </c>
      <c r="BM64" s="12">
        <f t="shared" ref="BM64:BM69" si="331">BM$22 * IF(AND(BL$5=1,BI$20=1), BV64, BT64)</f>
        <v>0</v>
      </c>
      <c r="BN64" s="12">
        <f t="shared" ref="BN64:BN69" si="332">BN$22 * IF(AND(BM$5=1,BI$20=1), BV64, BT64)</f>
        <v>0</v>
      </c>
      <c r="BO64" s="12">
        <f t="shared" ref="BO64:BO69" si="333">BO$22 * IF(AND(BN$5=1,BI$20=1), BV64, BT64)</f>
        <v>0</v>
      </c>
      <c r="BP64" s="12">
        <f t="shared" ref="BP64:BP69" si="334">BP$22 * IF(AND(BO$5=1,BI$20=1), BV64, BT64)</f>
        <v>0</v>
      </c>
      <c r="BQ64" s="12">
        <f t="shared" ref="BQ64:BQ69" si="335">BQ$22 * IF(AND(BP$5=1,BI$20=1), BV64, BT64)</f>
        <v>0</v>
      </c>
      <c r="BS64" s="16" t="s">
        <v>1303</v>
      </c>
      <c r="BT64">
        <f>_xlfn.XLOOKUP(BS64,'KPI Impacts'!$B$2:$H$2,'KPI Impacts'!$B64:$H64)</f>
        <v>0</v>
      </c>
      <c r="BU64" s="35" t="s">
        <v>1303</v>
      </c>
      <c r="BV64">
        <f>_xlfn.XLOOKUP(BU64,'KPI Impacts'!$B$2:$H$2,'KPI Impacts'!$B64:$H64)</f>
        <v>0</v>
      </c>
      <c r="BY64" s="12">
        <f t="shared" ref="BY64:BY69" si="336">BY$22*CJ64</f>
        <v>0</v>
      </c>
      <c r="BZ64" s="12">
        <f t="shared" ref="BZ64:BZ69" si="337">BZ$22 * IF(AND(BY$5=1,BY$20=1), CL64, CJ64)</f>
        <v>0</v>
      </c>
      <c r="CA64" s="12">
        <f t="shared" ref="CA64:CA69" si="338">CA$22 * IF(AND(BZ$5=1,BY$20=1), CL64, CJ64)</f>
        <v>0</v>
      </c>
      <c r="CB64" s="12">
        <f t="shared" ref="CB64:CB69" si="339">CB$22 * IF(AND(CA$5=1,BY$20=1), CL64, CJ64)</f>
        <v>0</v>
      </c>
      <c r="CC64" s="12">
        <f t="shared" ref="CC64:CC69" si="340">CC$22 * IF(AND(CB$5=1,BY$20=1), CL64, CJ64)</f>
        <v>0</v>
      </c>
      <c r="CD64" s="12">
        <f t="shared" ref="CD64:CD69" si="341">CD$22 * IF(AND(CC$5=1,BY$20=1), CL64, CJ64)</f>
        <v>0</v>
      </c>
      <c r="CE64" s="12">
        <f t="shared" ref="CE64:CE69" si="342">CE$22 * IF(AND(CD$5=1,BY$20=1), CL64, CJ64)</f>
        <v>0</v>
      </c>
      <c r="CF64" s="12">
        <f t="shared" ref="CF64:CF69" si="343">CF$22 * IF(AND(CE$5=1,BY$20=1), CL64, CJ64)</f>
        <v>0</v>
      </c>
      <c r="CG64" s="12">
        <f t="shared" ref="CG64:CG69" si="344">CG$22 * IF(AND(CF$5=1,BY$20=1), CL64, CJ64)</f>
        <v>0</v>
      </c>
      <c r="CI64" s="16" t="s">
        <v>1303</v>
      </c>
      <c r="CJ64">
        <f>_xlfn.XLOOKUP(CI64,'KPI Impacts'!$B$2:$H$2,'KPI Impacts'!$B64:$H64)</f>
        <v>0</v>
      </c>
      <c r="CK64" s="35" t="s">
        <v>1303</v>
      </c>
      <c r="CL64">
        <f>_xlfn.XLOOKUP(CK64,'KPI Impacts'!$B$2:$H$2,'KPI Impacts'!$B64:$H64)</f>
        <v>0</v>
      </c>
      <c r="CO64" s="12">
        <f t="shared" ref="CO64:CO69" si="345">CO$22*CZ64</f>
        <v>0</v>
      </c>
      <c r="CP64" s="12">
        <f t="shared" ref="CP64:CP69" si="346">CP$22 * IF(AND(CO$5=1,CO$20=1), DB64, CZ64)</f>
        <v>0</v>
      </c>
      <c r="CQ64" s="12">
        <f t="shared" ref="CQ64:CQ69" si="347">CQ$22 * IF(AND(CP$5=1,CO$20=1), DB64, CZ64)</f>
        <v>0</v>
      </c>
      <c r="CR64" s="12">
        <f t="shared" ref="CR64:CR69" si="348">CR$22 * IF(AND(CQ$5=1,CO$20=1), DB64, CZ64)</f>
        <v>0</v>
      </c>
      <c r="CS64" s="12">
        <f t="shared" ref="CS64:CS69" si="349">CS$22 * IF(AND(CR$5=1,CO$20=1), DB64, CZ64)</f>
        <v>0</v>
      </c>
      <c r="CT64" s="12">
        <f t="shared" ref="CT64:CT69" si="350">CT$22 * IF(AND(CS$5=1,CO$20=1), DB64, CZ64)</f>
        <v>0</v>
      </c>
      <c r="CU64" s="12">
        <f t="shared" ref="CU64:CU69" si="351">CU$22 * IF(AND(CT$5=1,CO$20=1), DB64, CZ64)</f>
        <v>0</v>
      </c>
      <c r="CV64" s="12">
        <f t="shared" ref="CV64:CV69" si="352">CV$22 * IF(AND(CU$5=1,CO$20=1), DB64, CZ64)</f>
        <v>0</v>
      </c>
      <c r="CW64" s="12">
        <f t="shared" ref="CW64:CW69" si="353">CW$22 * IF(AND(CV$5=1,CO$20=1), DB64, CZ64)</f>
        <v>0</v>
      </c>
      <c r="CY64" s="16" t="s">
        <v>1303</v>
      </c>
      <c r="CZ64">
        <f>_xlfn.XLOOKUP(CY64,'KPI Impacts'!$B$2:$H$2,'KPI Impacts'!$B64:$H64)</f>
        <v>0</v>
      </c>
      <c r="DA64" s="35" t="s">
        <v>1303</v>
      </c>
      <c r="DB64">
        <f>_xlfn.XLOOKUP(DA64,'KPI Impacts'!$B$2:$H$2,'KPI Impacts'!$B64:$H64)</f>
        <v>0</v>
      </c>
      <c r="DE64" s="12">
        <f t="shared" ref="DE64:DE69" si="354">DE$22*DP64</f>
        <v>0</v>
      </c>
      <c r="DF64" s="12">
        <f t="shared" ref="DF64:DF69" si="355">DF$22 * IF(AND(DE$5=1,DE$20=1), DR64, DP64)</f>
        <v>0</v>
      </c>
      <c r="DG64" s="12">
        <f t="shared" ref="DG64:DG69" si="356">DG$22 * IF(AND(DF$5=1,DE$20=1), DR64, DP64)</f>
        <v>0</v>
      </c>
      <c r="DH64" s="12">
        <f t="shared" ref="DH64:DH69" si="357">DH$22 * IF(AND(DG$5=1,DE$20=1), DR64, DP64)</f>
        <v>0</v>
      </c>
      <c r="DI64" s="12">
        <f t="shared" ref="DI64:DI69" si="358">DI$22 * IF(AND(DH$5=1,DE$20=1), DR64, DP64)</f>
        <v>0</v>
      </c>
      <c r="DJ64" s="12">
        <f t="shared" ref="DJ64:DJ69" si="359">DJ$22 * IF(AND(DI$5=1,DE$20=1), DR64, DP64)</f>
        <v>0</v>
      </c>
      <c r="DK64" s="12">
        <f t="shared" ref="DK64:DK69" si="360">DK$22 * IF(AND(DJ$5=1,DE$20=1), DR64, DP64)</f>
        <v>0</v>
      </c>
      <c r="DL64" s="12">
        <f t="shared" ref="DL64:DL69" si="361">DL$22 * IF(AND(DK$5=1,DE$20=1), DR64, DP64)</f>
        <v>0</v>
      </c>
      <c r="DM64" s="12">
        <f t="shared" ref="DM64:DM69" si="362">DM$22 * IF(AND(DL$5=1,DE$20=1), DR64, DP64)</f>
        <v>0</v>
      </c>
      <c r="DO64" s="16" t="s">
        <v>1303</v>
      </c>
      <c r="DP64">
        <f>_xlfn.XLOOKUP(DO64,'KPI Impacts'!$B$2:$H$2,'KPI Impacts'!$B64:$H64)</f>
        <v>0</v>
      </c>
      <c r="DQ64" s="35" t="s">
        <v>1303</v>
      </c>
      <c r="DR64">
        <f>_xlfn.XLOOKUP(DQ64,'KPI Impacts'!$B$2:$H$2,'KPI Impacts'!$B64:$H64)</f>
        <v>0</v>
      </c>
      <c r="DU64" s="12">
        <f t="shared" ref="DU64:DU69" si="363">DU$22*EF64</f>
        <v>0</v>
      </c>
      <c r="DV64" s="12">
        <f t="shared" ref="DV64:DV69" si="364">DV$22 * IF(AND(DU$5=1,DU$20=1), EH64, EF64)</f>
        <v>0</v>
      </c>
      <c r="DW64" s="12">
        <f t="shared" ref="DW64:DW69" si="365">DW$22 * IF(AND(DV$5=1,DU$20=1), EH64, EF64)</f>
        <v>0</v>
      </c>
      <c r="DX64" s="12">
        <f t="shared" ref="DX64:DX69" si="366">DX$22 * IF(AND(DW$5=1,DU$20=1), EH64, EF64)</f>
        <v>0</v>
      </c>
      <c r="DY64" s="12">
        <f t="shared" ref="DY64:DY69" si="367">DY$22 * IF(AND(DX$5=1,DU$20=1), EH64, EF64)</f>
        <v>0</v>
      </c>
      <c r="DZ64" s="12">
        <f t="shared" ref="DZ64:DZ69" si="368">DZ$22 * IF(AND(DY$5=1,DU$20=1), EH64, EF64)</f>
        <v>0</v>
      </c>
      <c r="EA64" s="12">
        <f t="shared" ref="EA64:EA69" si="369">EA$22 * IF(AND(DZ$5=1,DU$20=1), EH64, EF64)</f>
        <v>0</v>
      </c>
      <c r="EB64" s="12">
        <f t="shared" ref="EB64:EB69" si="370">EB$22 * IF(AND(EA$5=1,DU$20=1), EH64, EF64)</f>
        <v>0</v>
      </c>
      <c r="EC64" s="12">
        <f t="shared" ref="EC64:EC69" si="371">EC$22 * IF(AND(EB$5=1,DU$20=1), EH64, EF64)</f>
        <v>0</v>
      </c>
      <c r="EE64" s="16" t="s">
        <v>1303</v>
      </c>
      <c r="EF64">
        <f>_xlfn.XLOOKUP(EE64,'KPI Impacts'!$B$2:$H$2,'KPI Impacts'!$B64:$H64)</f>
        <v>0</v>
      </c>
      <c r="EG64" s="35" t="s">
        <v>1303</v>
      </c>
      <c r="EH64">
        <f>_xlfn.XLOOKUP(EG64,'KPI Impacts'!$B$2:$H$2,'KPI Impacts'!$B64:$H64)</f>
        <v>0</v>
      </c>
      <c r="EK64" s="12">
        <f t="shared" ref="EK64:EK69" si="372">EK$22*EV64</f>
        <v>0</v>
      </c>
      <c r="EL64" s="12">
        <f t="shared" ref="EL64:EL69" si="373">EL$22 * IF(AND(EK$5=1,EK$20=1), EX64, EV64)</f>
        <v>0</v>
      </c>
      <c r="EM64" s="12">
        <f t="shared" ref="EM64:EM69" si="374">EM$22 * IF(AND(EL$5=1,EK$20=1), EX64, EV64)</f>
        <v>0</v>
      </c>
      <c r="EN64" s="12">
        <f t="shared" ref="EN64:EN69" si="375">EN$22 * IF(AND(EM$5=1,EK$20=1), EX64, EV64)</f>
        <v>0</v>
      </c>
      <c r="EO64" s="12">
        <f t="shared" ref="EO64:EO69" si="376">EO$22 * IF(AND(EN$5=1,EK$20=1), EX64, EV64)</f>
        <v>0</v>
      </c>
      <c r="EP64" s="12">
        <f t="shared" ref="EP64:EP69" si="377">EP$22 * IF(AND(EO$5=1,EK$20=1), EX64, EV64)</f>
        <v>0</v>
      </c>
      <c r="EQ64" s="12">
        <f t="shared" ref="EQ64:EQ69" si="378">EQ$22 * IF(AND(EP$5=1,EK$20=1), EX64, EV64)</f>
        <v>0</v>
      </c>
      <c r="ER64" s="12">
        <f t="shared" ref="ER64:ER69" si="379">ER$22 * IF(AND(EQ$5=1,EK$20=1), EX64, EV64)</f>
        <v>0</v>
      </c>
      <c r="ES64" s="12">
        <f t="shared" ref="ES64:ES69" si="380">ES$22 * IF(AND(ER$5=1,EK$20=1), EX64, EV64)</f>
        <v>0</v>
      </c>
      <c r="EU64" s="30" t="s">
        <v>1307</v>
      </c>
      <c r="EV64">
        <f>_xlfn.XLOOKUP(EU64,'KPI Impacts'!$B$2:$H$2,'KPI Impacts'!$B64:$H64)</f>
        <v>1</v>
      </c>
      <c r="EW64" s="35" t="s">
        <v>1303</v>
      </c>
      <c r="EX64">
        <f>_xlfn.XLOOKUP(EW64,'KPI Impacts'!$B$2:$H$2,'KPI Impacts'!$B64:$H64)</f>
        <v>0</v>
      </c>
      <c r="FA64" s="12">
        <f t="shared" ref="FA64:FA69" si="381">FA$22*FL64</f>
        <v>0</v>
      </c>
      <c r="FB64" s="12">
        <f t="shared" ref="FB64:FB69" si="382">FB$22 * IF(AND(FA$5=1,FA$20=1), FN64, FL64)</f>
        <v>0</v>
      </c>
      <c r="FC64" s="12">
        <f t="shared" ref="FC64:FC69" si="383">FC$22 * IF(AND(FB$5=1,FA$20=1), FN64, FL64)</f>
        <v>0</v>
      </c>
      <c r="FD64" s="12">
        <f t="shared" ref="FD64:FD69" si="384">FD$22 * IF(AND(FC$5=1,FA$20=1), FN64, FL64)</f>
        <v>0</v>
      </c>
      <c r="FE64" s="12">
        <f t="shared" ref="FE64:FE69" si="385">FE$22 * IF(AND(FD$5=1,FA$20=1), FN64, FL64)</f>
        <v>0</v>
      </c>
      <c r="FF64" s="12">
        <f t="shared" ref="FF64:FF69" si="386">FF$22 * IF(AND(FE$5=1,FA$20=1), FN64, FL64)</f>
        <v>0</v>
      </c>
      <c r="FG64" s="12">
        <f t="shared" ref="FG64:FG69" si="387">FG$22 * IF(AND(FF$5=1,FA$20=1), FN64, FL64)</f>
        <v>0</v>
      </c>
      <c r="FH64" s="12">
        <f t="shared" ref="FH64:FH69" si="388">FH$22 * IF(AND(FG$5=1,FA$20=1), FN64, FL64)</f>
        <v>0</v>
      </c>
      <c r="FI64" s="12">
        <f t="shared" ref="FI64:FI69" si="389">FI$22 * IF(AND(FH$5=1,FA$20=1), FN64, FL64)</f>
        <v>0</v>
      </c>
      <c r="FK64" s="16" t="s">
        <v>1303</v>
      </c>
      <c r="FL64">
        <f>_xlfn.XLOOKUP(FK64,'KPI Impacts'!$B$2:$H$2,'KPI Impacts'!$B64:$H64)</f>
        <v>0</v>
      </c>
      <c r="FM64" s="30" t="s">
        <v>1309</v>
      </c>
      <c r="FN64">
        <f>_xlfn.XLOOKUP(FM64,'KPI Impacts'!$B$2:$H$2,'KPI Impacts'!$B64:$H64)</f>
        <v>2</v>
      </c>
      <c r="FQ64" s="12">
        <f t="shared" ref="FQ64:FQ69" si="390">FQ$22*GB64</f>
        <v>0</v>
      </c>
      <c r="FR64" s="12">
        <f t="shared" ref="FR64:FR69" si="391">FR$22 * IF(AND(FQ$5=1,FQ$20=1), GD64, GB64)</f>
        <v>0</v>
      </c>
      <c r="FS64" s="12">
        <f t="shared" ref="FS64:FS69" si="392">FS$22 * IF(AND(FR$5=1,FQ$20=1), GD64, GB64)</f>
        <v>0</v>
      </c>
      <c r="FT64" s="12">
        <f t="shared" ref="FT64:FT69" si="393">FT$22 * IF(AND(FS$5=1,FQ$20=1), GD64, GB64)</f>
        <v>0</v>
      </c>
      <c r="FU64" s="12">
        <f t="shared" ref="FU64:FU69" si="394">FU$22 * IF(AND(FT$5=1,FQ$20=1), GD64, GB64)</f>
        <v>0</v>
      </c>
      <c r="FV64" s="12">
        <f t="shared" ref="FV64:FV69" si="395">FV$22 * IF(AND(FU$5=1,FQ$20=1), GD64, GB64)</f>
        <v>0</v>
      </c>
      <c r="FW64" s="12">
        <f t="shared" ref="FW64:FW69" si="396">FW$22 * IF(AND(FV$5=1,FQ$20=1), GD64, GB64)</f>
        <v>0</v>
      </c>
      <c r="FX64" s="12">
        <f t="shared" ref="FX64:FX69" si="397">FX$22 * IF(AND(FW$5=1,FQ$20=1), GD64, GB64)</f>
        <v>0</v>
      </c>
      <c r="FY64" s="12">
        <f t="shared" ref="FY64:FY69" si="398">FY$22 * IF(AND(FX$5=1,FQ$20=1), GD64, GB64)</f>
        <v>0</v>
      </c>
      <c r="GA64" s="30" t="s">
        <v>1307</v>
      </c>
      <c r="GB64">
        <f>_xlfn.XLOOKUP(GA64,'KPI Impacts'!$B$2:$H$2,'KPI Impacts'!$B64:$H64)</f>
        <v>1</v>
      </c>
      <c r="GC64" s="9" t="s">
        <v>1303</v>
      </c>
      <c r="GD64">
        <f>_xlfn.XLOOKUP(GC64,'KPI Impacts'!$B$2:$H$2,'KPI Impacts'!$B64:$H64)</f>
        <v>0</v>
      </c>
      <c r="GG64" s="12">
        <f t="shared" ref="GG64:GG69" si="399">GG$22*GR64</f>
        <v>0</v>
      </c>
      <c r="GH64" s="12">
        <f t="shared" ref="GH64:GH69" si="400">GH$22 * IF(AND(GG$5=1,GG$20=1), GT64, GR64)</f>
        <v>0</v>
      </c>
      <c r="GI64" s="12">
        <f t="shared" ref="GI64:GI69" si="401">GI$22 * IF(AND(GH$5=1,GG$20=1), GT64, GR64)</f>
        <v>0</v>
      </c>
      <c r="GJ64" s="12">
        <f t="shared" ref="GJ64:GJ69" si="402">GJ$22 * IF(AND(GI$5=1,GG$20=1), GT64, GR64)</f>
        <v>0</v>
      </c>
      <c r="GK64" s="12">
        <f t="shared" ref="GK64:GK69" si="403">GK$22 * IF(AND(GJ$5=1,GG$20=1), GT64, GR64)</f>
        <v>0</v>
      </c>
      <c r="GL64" s="12">
        <f t="shared" ref="GL64:GL69" si="404">GL$22 * IF(AND(GK$5=1,GG$20=1), GT64, GR64)</f>
        <v>0</v>
      </c>
      <c r="GM64" s="12">
        <f t="shared" ref="GM64:GM69" si="405">GM$22 * IF(AND(GL$5=1,GG$20=1), GT64, GR64)</f>
        <v>0</v>
      </c>
      <c r="GN64" s="12">
        <f t="shared" ref="GN64:GN69" si="406">GN$22 * IF(AND(GM$5=1,GG$20=1), GT64, GR64)</f>
        <v>0</v>
      </c>
      <c r="GO64" s="12">
        <f t="shared" ref="GO64:GO69" si="407">GO$22 * IF(AND(GN$5=1,GG$20=1), GT64, GR64)</f>
        <v>0</v>
      </c>
      <c r="GQ64" s="30" t="s">
        <v>1307</v>
      </c>
      <c r="GR64">
        <f>_xlfn.XLOOKUP(GQ64,'KPI Impacts'!$B$2:$H$2,'KPI Impacts'!$B64:$H64)</f>
        <v>1</v>
      </c>
      <c r="GS64" s="9" t="s">
        <v>1303</v>
      </c>
      <c r="GT64">
        <f>_xlfn.XLOOKUP(GS64,'KPI Impacts'!$B$2:$H$2,'KPI Impacts'!$B64:$H64)</f>
        <v>0</v>
      </c>
      <c r="GW64" s="12">
        <f t="shared" ref="GW64:GW69" si="408">GW$22*HH64</f>
        <v>0</v>
      </c>
      <c r="GX64" s="12">
        <f t="shared" ref="GX64:GX69" si="409">GX$22 * IF(AND(GW$5=1,GW$20=1), HJ64, HH64)</f>
        <v>0</v>
      </c>
      <c r="GY64" s="12">
        <f t="shared" ref="GY64:GY69" si="410">GY$22 * IF(AND(GX$5=1,GW$20=1), HJ64, HH64)</f>
        <v>0</v>
      </c>
      <c r="GZ64" s="12">
        <f t="shared" ref="GZ64:GZ69" si="411">GZ$22 * IF(AND(GY$5=1,GW$20=1), HJ64, HH64)</f>
        <v>0</v>
      </c>
      <c r="HA64" s="12">
        <f t="shared" ref="HA64:HA69" si="412">HA$22 * IF(AND(GZ$5=1,GW$20=1), HJ64, HH64)</f>
        <v>0</v>
      </c>
      <c r="HB64" s="12">
        <f t="shared" ref="HB64:HB69" si="413">HB$22 * IF(AND(HA$5=1,GW$20=1), HJ64, HH64)</f>
        <v>0</v>
      </c>
      <c r="HC64" s="12">
        <f t="shared" ref="HC64:HC69" si="414">HC$22 * IF(AND(HB$5=1,GW$20=1), HJ64, HH64)</f>
        <v>0</v>
      </c>
      <c r="HD64" s="12">
        <f t="shared" ref="HD64:HD69" si="415">HD$22 * IF(AND(HC$5=1,GW$20=1), HJ64, HH64)</f>
        <v>0</v>
      </c>
      <c r="HE64" s="12">
        <f t="shared" ref="HE64:HE69" si="416">HE$22 * IF(AND(HD$5=1,GW$20=1), HJ64, HH64)</f>
        <v>0</v>
      </c>
      <c r="HG64" s="16" t="s">
        <v>1303</v>
      </c>
      <c r="HH64">
        <f>_xlfn.XLOOKUP(HG64,'KPI Impacts'!$B$2:$H$2,'KPI Impacts'!$B64:$H64)</f>
        <v>0</v>
      </c>
      <c r="HI64" s="9" t="s">
        <v>1303</v>
      </c>
      <c r="HJ64">
        <f>_xlfn.XLOOKUP(HI64,'KPI Impacts'!$B$2:$H$2,'KPI Impacts'!$B64:$H64)</f>
        <v>0</v>
      </c>
      <c r="HM64" s="12">
        <f t="shared" ref="HM64:HM69" si="417">HM$22*HX64</f>
        <v>0</v>
      </c>
      <c r="HN64" s="12">
        <f t="shared" ref="HN64:HN69" si="418">HN$22 * IF(AND(HM$5=1,HM$20=1), HZ64, HX64)</f>
        <v>0</v>
      </c>
      <c r="HO64" s="12">
        <f t="shared" ref="HO64:HO69" si="419">HO$22 * IF(AND(HN$5=1,HM$20=1), HZ64, HX64)</f>
        <v>0</v>
      </c>
      <c r="HP64" s="12">
        <f t="shared" ref="HP64:HP69" si="420">HP$22 * IF(AND(HO$5=1,HM$20=1), HZ64, HX64)</f>
        <v>0</v>
      </c>
      <c r="HQ64" s="12">
        <f t="shared" ref="HQ64:HQ69" si="421">HQ$22 * IF(AND(HP$5=1,HM$20=1), HZ64, HX64)</f>
        <v>0</v>
      </c>
      <c r="HR64" s="12">
        <f t="shared" ref="HR64:HR69" si="422">HR$22 * IF(AND(HQ$5=1,HM$20=1), HZ64, HX64)</f>
        <v>0</v>
      </c>
      <c r="HS64" s="12">
        <f t="shared" ref="HS64:HS69" si="423">HS$22 * IF(AND(HR$5=1,HM$20=1), HZ64, HX64)</f>
        <v>0</v>
      </c>
      <c r="HT64" s="12">
        <f t="shared" ref="HT64:HT69" si="424">HT$22 * IF(AND(HS$5=1,HM$20=1), HZ64, HX64)</f>
        <v>0</v>
      </c>
      <c r="HU64" s="12">
        <f t="shared" ref="HU64:HU69" si="425">HU$22 * IF(AND(HT$5=1,HM$20=1), HZ64, HX64)</f>
        <v>0</v>
      </c>
      <c r="HW64" s="30" t="s">
        <v>1307</v>
      </c>
      <c r="HX64">
        <f>_xlfn.XLOOKUP(HW64,'KPI Impacts'!$B$2:$H$2,'KPI Impacts'!$B64:$H64)</f>
        <v>1</v>
      </c>
      <c r="HY64" s="9" t="s">
        <v>1303</v>
      </c>
      <c r="HZ64">
        <f>_xlfn.XLOOKUP(HY64,'KPI Impacts'!$B$2:$H$2,'KPI Impacts'!$B64:$H64)</f>
        <v>0</v>
      </c>
      <c r="IC64" s="12">
        <f t="shared" ref="IC64:IC69" si="426">IC$22*IN64</f>
        <v>0</v>
      </c>
      <c r="ID64" s="12">
        <f t="shared" ref="ID64:ID69" si="427">ID$22 * IF(AND(IC$5=1,IC$20=1), IP64, IN64)</f>
        <v>0</v>
      </c>
      <c r="IE64" s="12">
        <f t="shared" ref="IE64:IE69" si="428">IE$22 * IF(AND(ID$5=1,IC$20=1), IP64, IN64)</f>
        <v>0</v>
      </c>
      <c r="IF64" s="12">
        <f t="shared" ref="IF64:IF69" si="429">IF$22 * IF(AND(IE$5=1,IC$20=1), IP64, IN64)</f>
        <v>0</v>
      </c>
      <c r="IG64" s="12">
        <f t="shared" ref="IG64:IG69" si="430">IG$22 * IF(AND(IF$5=1,IC$20=1), IP64, IN64)</f>
        <v>0</v>
      </c>
      <c r="IH64" s="12">
        <f t="shared" ref="IH64:IH69" si="431">IH$22 * IF(AND(IG$5=1,IC$20=1), IP64, IN64)</f>
        <v>0</v>
      </c>
      <c r="II64" s="12">
        <f t="shared" ref="II64:II69" si="432">II$22 * IF(AND(IH$5=1,IC$20=1), IP64, IN64)</f>
        <v>0</v>
      </c>
      <c r="IJ64" s="12">
        <f t="shared" ref="IJ64:IJ69" si="433">IJ$22 * IF(AND(II$5=1,IC$20=1), IP64, IN64)</f>
        <v>0</v>
      </c>
      <c r="IK64" s="12">
        <f t="shared" ref="IK64:IK69" si="434">IK$22 * IF(AND(IJ$5=1,IC$20=1), IP64, IN64)</f>
        <v>0</v>
      </c>
      <c r="IM64" s="16" t="s">
        <v>1303</v>
      </c>
      <c r="IN64">
        <f>_xlfn.XLOOKUP(IM64,'KPI Impacts'!$B$2:$H$2,'KPI Impacts'!$B64:$H64)</f>
        <v>0</v>
      </c>
      <c r="IO64" s="9" t="s">
        <v>1303</v>
      </c>
      <c r="IP64">
        <f>_xlfn.XLOOKUP(IO64,'KPI Impacts'!$B$2:$H$2,'KPI Impacts'!$B64:$H64)</f>
        <v>0</v>
      </c>
      <c r="IS64" s="12">
        <f t="shared" ref="IS64:IS69" si="435">IS$22*JD64</f>
        <v>0</v>
      </c>
      <c r="IT64" s="12">
        <f t="shared" ref="IT64:IT69" si="436">IT$22 * IF(AND(IS$5=1,IS$20=1), JF64, JD64)</f>
        <v>0</v>
      </c>
      <c r="IU64" s="12">
        <f t="shared" ref="IU64:IU69" si="437">IU$22 * IF(AND(IT$5=1,IS$20=1), JF64, JD64)</f>
        <v>0</v>
      </c>
      <c r="IV64" s="12">
        <f t="shared" ref="IV64:IV69" si="438">IV$22 * IF(AND(IU$5=1,IS$20=1), JF64, JD64)</f>
        <v>0</v>
      </c>
      <c r="IW64" s="12">
        <f t="shared" ref="IW64:IW69" si="439">IW$22 * IF(AND(IV$5=1,IS$20=1), JF64, JD64)</f>
        <v>0</v>
      </c>
      <c r="IX64" s="12">
        <f t="shared" ref="IX64:IX69" si="440">IX$22 * IF(AND(IW$5=1,IS$20=1), JF64, JD64)</f>
        <v>0</v>
      </c>
      <c r="IY64" s="12">
        <f t="shared" ref="IY64:IY69" si="441">IY$22 * IF(AND(IX$5=1,IS$20=1), JF64, JD64)</f>
        <v>0</v>
      </c>
      <c r="IZ64" s="12">
        <f t="shared" ref="IZ64:IZ69" si="442">IZ$22 * IF(AND(IY$5=1,IS$20=1), JF64, JD64)</f>
        <v>0</v>
      </c>
      <c r="JA64" s="12">
        <f t="shared" ref="JA64:JA69" si="443">JA$22 * IF(AND(IZ$5=1,IS$20=1), JF64, JD64)</f>
        <v>0</v>
      </c>
      <c r="JC64" t="s">
        <v>1303</v>
      </c>
      <c r="JD64">
        <f>_xlfn.XLOOKUP(JC64,'KPI Impacts'!$B$2:$H$2,'KPI Impacts'!$B64:$H64)</f>
        <v>0</v>
      </c>
      <c r="JE64" s="9" t="s">
        <v>1303</v>
      </c>
      <c r="JF64">
        <f>_xlfn.XLOOKUP(JE64,'KPI Impacts'!$B$2:$H$2,'KPI Impacts'!$B64:$H64)</f>
        <v>0</v>
      </c>
      <c r="JI64" s="12">
        <f t="shared" ref="JI64:JI69" si="444">JI$22*JT64</f>
        <v>0</v>
      </c>
      <c r="JJ64" s="12">
        <f t="shared" ref="JJ64:JJ69" si="445">JJ$22 * IF(AND(JI$5=1,JI$20=1), JV64, JT64)</f>
        <v>0</v>
      </c>
      <c r="JK64" s="12">
        <f t="shared" ref="JK64:JK69" si="446">JK$22 * IF(AND(JJ$5=1,JI$20=1), JV64, JT64)</f>
        <v>0</v>
      </c>
      <c r="JL64" s="12">
        <f t="shared" ref="JL64:JL69" si="447">JL$22 * IF(AND(JK$5=1,JI$20=1), JV64, JT64)</f>
        <v>0</v>
      </c>
      <c r="JM64" s="12">
        <f t="shared" ref="JM64:JM69" si="448">JM$22 * IF(AND(JL$5=1,JI$20=1), JV64, JT64)</f>
        <v>0</v>
      </c>
      <c r="JN64" s="12">
        <f t="shared" ref="JN64:JN69" si="449">JN$22 * IF(AND(JM$5=1,JI$20=1), JV64, JT64)</f>
        <v>0</v>
      </c>
      <c r="JO64" s="12">
        <f t="shared" ref="JO64:JO69" si="450">JO$22 * IF(AND(JN$5=1,JI$20=1), JV64, JT64)</f>
        <v>0</v>
      </c>
      <c r="JP64" s="12">
        <f t="shared" ref="JP64:JP69" si="451">JP$22 * IF(AND(JO$5=1,JI$20=1), JV64, JT64)</f>
        <v>0</v>
      </c>
      <c r="JQ64" s="12">
        <f t="shared" ref="JQ64:JQ69" si="452">JQ$22 * IF(AND(JP$5=1,JI$20=1), JV64, JT64)</f>
        <v>0</v>
      </c>
      <c r="JS64" t="s">
        <v>1303</v>
      </c>
      <c r="JT64">
        <f>_xlfn.XLOOKUP(JS64,'KPI Impacts'!$B$2:$H$2,'KPI Impacts'!$B64:$H64)</f>
        <v>0</v>
      </c>
      <c r="JU64" s="9" t="s">
        <v>1303</v>
      </c>
      <c r="JV64">
        <f>_xlfn.XLOOKUP(JU64,'KPI Impacts'!$B$2:$H$2,'KPI Impacts'!$B64:$H64)</f>
        <v>0</v>
      </c>
      <c r="JY64" s="12">
        <f t="shared" ref="JY64:JY69" si="453">JY$22*KJ64</f>
        <v>0</v>
      </c>
      <c r="JZ64" s="12">
        <f t="shared" ref="JZ64:JZ69" si="454">JZ$22 * IF(AND(JY$5=1,JY$20=1), KL64, KJ64)</f>
        <v>0</v>
      </c>
      <c r="KA64" s="12">
        <f t="shared" ref="KA64:KA69" si="455">KA$22 * IF(AND(JZ$5=1,JY$20=1), KL64, KJ64)</f>
        <v>0</v>
      </c>
      <c r="KB64" s="12">
        <f t="shared" ref="KB64:KB69" si="456">KB$22 * IF(AND(KA$5=1,JY$20=1), KL64, KJ64)</f>
        <v>0</v>
      </c>
      <c r="KC64" s="12">
        <f t="shared" ref="KC64:KC69" si="457">KC$22 * IF(AND(KB$5=1,JY$20=1), KL64, KJ64)</f>
        <v>0</v>
      </c>
      <c r="KD64" s="12">
        <f t="shared" ref="KD64:KD69" si="458">KD$22 * IF(AND(KC$5=1,JY$20=1), KL64, KJ64)</f>
        <v>0</v>
      </c>
      <c r="KE64" s="12">
        <f t="shared" ref="KE64:KE69" si="459">KE$22 * IF(AND(KD$5=1,JY$20=1), KL64, KJ64)</f>
        <v>0</v>
      </c>
      <c r="KF64" s="12">
        <f t="shared" ref="KF64:KF69" si="460">KF$22 * IF(AND(KE$5=1,JY$20=1), KL64, KJ64)</f>
        <v>0</v>
      </c>
      <c r="KG64" s="12">
        <f t="shared" ref="KG64:KG69" si="461">KG$22 * IF(AND(KF$5=1,JY$20=1), KL64, KJ64)</f>
        <v>0</v>
      </c>
      <c r="KI64" t="s">
        <v>1303</v>
      </c>
      <c r="KJ64">
        <f>_xlfn.XLOOKUP(KI64,'KPI Impacts'!$B$2:$H$2,'KPI Impacts'!$B64:$H64)</f>
        <v>0</v>
      </c>
      <c r="KK64" s="9" t="s">
        <v>1303</v>
      </c>
      <c r="KL64">
        <f>_xlfn.XLOOKUP(KK64,'KPI Impacts'!$B$2:$H$2,'KPI Impacts'!$B64:$H64)</f>
        <v>0</v>
      </c>
      <c r="KO64" s="12">
        <f t="shared" ref="KO64:KO69" si="462">KO$22*KZ64</f>
        <v>0</v>
      </c>
      <c r="KP64" s="12">
        <f t="shared" ref="KP64:KP69" si="463">KP$22 * IF(AND(KO$5=1,KO$20=1), LB64, KZ64)</f>
        <v>0</v>
      </c>
      <c r="KQ64" s="12">
        <f t="shared" ref="KQ64:KQ69" si="464">KQ$22 * IF(AND(KP$5=1,KO$20=1), LB64, KZ64)</f>
        <v>0</v>
      </c>
      <c r="KR64" s="12">
        <f t="shared" ref="KR64:KR69" si="465">KR$22 * IF(AND(KQ$5=1,KO$20=1), LB64, KZ64)</f>
        <v>0</v>
      </c>
      <c r="KS64" s="12">
        <f t="shared" ref="KS64:KS69" si="466">KS$22 * IF(AND(KR$5=1,KO$20=1), LB64, KZ64)</f>
        <v>0</v>
      </c>
      <c r="KT64" s="12">
        <f t="shared" ref="KT64:KT69" si="467">KT$22 * IF(AND(KS$5=1,KO$20=1), LB64, KZ64)</f>
        <v>0</v>
      </c>
      <c r="KU64" s="12">
        <f t="shared" ref="KU64:KU69" si="468">KU$22 * IF(AND(KT$5=1,KO$20=1), LB64, KZ64)</f>
        <v>0</v>
      </c>
      <c r="KV64" s="12">
        <f t="shared" ref="KV64:KV69" si="469">KV$22 * IF(AND(KU$5=1,KO$20=1), LB64, KZ64)</f>
        <v>0</v>
      </c>
      <c r="KW64" s="12">
        <f t="shared" ref="KW64:KW69" si="470">KW$22 * IF(AND(KV$5=1,KO$20=1), LB64, KZ64)</f>
        <v>0</v>
      </c>
      <c r="KY64" t="s">
        <v>1303</v>
      </c>
      <c r="KZ64">
        <f>_xlfn.XLOOKUP(KY64,'KPI Impacts'!$B$2:$H$2,'KPI Impacts'!$B64:$H64)</f>
        <v>0</v>
      </c>
      <c r="LA64" s="9" t="s">
        <v>1303</v>
      </c>
      <c r="LB64">
        <f>_xlfn.XLOOKUP(LA64,'KPI Impacts'!$B$2:$H$2,'KPI Impacts'!$B64:$H64)</f>
        <v>0</v>
      </c>
      <c r="LE64" s="12">
        <f t="shared" ref="LE64:LE69" si="471">LE$22*LP64</f>
        <v>0</v>
      </c>
      <c r="LF64" s="12">
        <f t="shared" ref="LF64:LF69" si="472">LF$22 * IF(AND(LE$5=1,LE$20=1), LR64, LP64)</f>
        <v>0</v>
      </c>
      <c r="LG64" s="12">
        <f t="shared" ref="LG64:LG69" si="473">LG$22 * IF(AND(LF$5=1,LE$20=1), LR64, LP64)</f>
        <v>0</v>
      </c>
      <c r="LH64" s="12">
        <f t="shared" ref="LH64:LH69" si="474">LH$22 * IF(AND(LG$5=1,LE$20=1), LR64, LP64)</f>
        <v>0</v>
      </c>
      <c r="LI64" s="12">
        <f t="shared" ref="LI64:LI69" si="475">LI$22 * IF(AND(LH$5=1,LE$20=1), LR64, LP64)</f>
        <v>0</v>
      </c>
      <c r="LJ64" s="12">
        <f t="shared" ref="LJ64:LJ69" si="476">LJ$22 * IF(AND(LI$5=1,LE$20=1), LR64, LP64)</f>
        <v>0</v>
      </c>
      <c r="LK64" s="12">
        <f t="shared" ref="LK64:LK69" si="477">LK$22 * IF(AND(LJ$5=1,LE$20=1), LR64, LP64)</f>
        <v>0</v>
      </c>
      <c r="LL64" s="12">
        <f t="shared" ref="LL64:LL69" si="478">LL$22 * IF(AND(LK$5=1,LE$20=1), LR64, LP64)</f>
        <v>0</v>
      </c>
      <c r="LM64" s="12">
        <f t="shared" ref="LM64:LM69" si="479">LM$22 * IF(AND(LL$5=1,LE$20=1), LR64, LP64)</f>
        <v>0</v>
      </c>
      <c r="LO64" t="s">
        <v>1303</v>
      </c>
      <c r="LP64">
        <f>_xlfn.XLOOKUP(LO64,'KPI Impacts'!$B$2:$H$2,'KPI Impacts'!$B64:$H64)</f>
        <v>0</v>
      </c>
      <c r="LQ64" s="9" t="s">
        <v>1303</v>
      </c>
      <c r="LR64">
        <f>_xlfn.XLOOKUP(LQ64,'KPI Impacts'!$B$2:$H$2,'KPI Impacts'!$B64:$H64)</f>
        <v>0</v>
      </c>
      <c r="LU64" s="12">
        <f t="shared" ref="LU64:LU69" si="480">LU$22*MF64</f>
        <v>0</v>
      </c>
      <c r="LV64" s="12">
        <f t="shared" ref="LV64:LV69" si="481">LV$22 * IF(AND(LU$5=1,LU$20=1), MH64, MF64)</f>
        <v>0</v>
      </c>
      <c r="LW64" s="12">
        <f t="shared" ref="LW64:LW69" si="482">LW$22 * IF(AND(LV$5=1,LU$20=1), MH64, MF64)</f>
        <v>0</v>
      </c>
      <c r="LX64" s="12">
        <f t="shared" ref="LX64:LX69" si="483">LX$22 * IF(AND(LW$5=1,LU$20=1), MH64, MF64)</f>
        <v>0</v>
      </c>
      <c r="LY64" s="12">
        <f t="shared" ref="LY64:LY69" si="484">LY$22 * IF(AND(LX$5=1,LU$20=1), MH64, MF64)</f>
        <v>0</v>
      </c>
      <c r="LZ64" s="12">
        <f t="shared" ref="LZ64:LZ69" si="485">LZ$22 * IF(AND(LY$5=1,LU$20=1), MH64, MF64)</f>
        <v>0</v>
      </c>
      <c r="MA64" s="12">
        <f t="shared" ref="MA64:MA69" si="486">MA$22 * IF(AND(LZ$5=1,LU$20=1), MH64, MF64)</f>
        <v>0</v>
      </c>
      <c r="MB64" s="12">
        <f t="shared" ref="MB64:MB69" si="487">MB$22 * IF(AND(MA$5=1,LU$20=1), MH64, MF64)</f>
        <v>0</v>
      </c>
      <c r="MC64" s="12">
        <f t="shared" ref="MC64:MC69" si="488">MC$22 * IF(AND(MB$5=1,LU$20=1), MH64, MF64)</f>
        <v>0</v>
      </c>
      <c r="ME64" t="s">
        <v>1303</v>
      </c>
      <c r="MF64">
        <f>_xlfn.XLOOKUP(ME64,'KPI Impacts'!$B$2:$H$2,'KPI Impacts'!$B64:$H64)</f>
        <v>0</v>
      </c>
      <c r="MG64" s="9" t="s">
        <v>1303</v>
      </c>
      <c r="MH64">
        <f>_xlfn.XLOOKUP(MG64,'KPI Impacts'!$B$2:$H$2,'KPI Impacts'!$B64:$H64)</f>
        <v>0</v>
      </c>
      <c r="MK64" s="12">
        <f t="shared" ref="MK64:MK69" si="489">MK$22*MV64</f>
        <v>0</v>
      </c>
      <c r="ML64" s="12">
        <f t="shared" ref="ML64:ML69" si="490">ML$22 * IF(AND(MK$5=1,MK$20=1), MX64, MV64)</f>
        <v>0</v>
      </c>
      <c r="MM64" s="12">
        <f t="shared" ref="MM64:MM69" si="491">MM$22 * IF(AND(ML$5=1,MK$20=1), MX64, MV64)</f>
        <v>0</v>
      </c>
      <c r="MN64" s="12">
        <f t="shared" ref="MN64:MN69" si="492">MN$22 * IF(AND(MM$5=1,MK$20=1), MX64, MV64)</f>
        <v>0</v>
      </c>
      <c r="MO64" s="12">
        <f t="shared" ref="MO64:MO69" si="493">MO$22 * IF(AND(MN$5=1,MK$20=1), MX64, MV64)</f>
        <v>0</v>
      </c>
      <c r="MP64" s="12">
        <f t="shared" ref="MP64:MP69" si="494">MP$22 * IF(AND(MO$5=1,MK$20=1), MX64, MV64)</f>
        <v>0</v>
      </c>
      <c r="MQ64" s="12">
        <f t="shared" ref="MQ64:MQ69" si="495">MQ$22 * IF(AND(MP$5=1,MK$20=1), MX64, MV64)</f>
        <v>0</v>
      </c>
      <c r="MR64" s="12">
        <f t="shared" ref="MR64:MR69" si="496">MR$22 * IF(AND(MQ$5=1,MK$20=1), MX64, MV64)</f>
        <v>0</v>
      </c>
      <c r="MS64" s="12">
        <f t="shared" ref="MS64:MS69" si="497">MS$22 * IF(AND(MR$5=1,MK$20=1), MX64, MV64)</f>
        <v>0</v>
      </c>
      <c r="MU64" t="s">
        <v>1303</v>
      </c>
      <c r="MV64">
        <f>_xlfn.XLOOKUP(MU64,'KPI Impacts'!$B$2:$H$2,'KPI Impacts'!$B64:$H64)</f>
        <v>0</v>
      </c>
      <c r="MW64" s="9" t="s">
        <v>1303</v>
      </c>
      <c r="MX64">
        <f>_xlfn.XLOOKUP(MW64,'KPI Impacts'!$B$2:$H$2,'KPI Impacts'!$B64:$H64)</f>
        <v>0</v>
      </c>
      <c r="NA64" s="12">
        <f t="shared" ref="NA64:NA69" si="498">NA$22*NL64</f>
        <v>0</v>
      </c>
      <c r="NB64" s="12">
        <f t="shared" ref="NB64:NB69" si="499">NB$22 * IF(AND(NA$5=1,NA$20=1), NN64, NL64)</f>
        <v>0</v>
      </c>
      <c r="NC64" s="12">
        <f t="shared" ref="NC64:NC69" si="500">NC$22 * IF(AND(NB$5=1,NA$20=1), NN64, NL64)</f>
        <v>0</v>
      </c>
      <c r="ND64" s="12">
        <f t="shared" ref="ND64:ND69" si="501">ND$22 * IF(AND(NC$5=1,NA$20=1), NN64, NL64)</f>
        <v>0</v>
      </c>
      <c r="NE64" s="12">
        <f t="shared" ref="NE64:NE69" si="502">NE$22 * IF(AND(ND$5=1,NA$20=1), NN64, NL64)</f>
        <v>0</v>
      </c>
      <c r="NF64" s="12">
        <f t="shared" ref="NF64:NF69" si="503">NF$22 * IF(AND(NE$5=1,NA$20=1), NN64, NL64)</f>
        <v>0</v>
      </c>
      <c r="NG64" s="12">
        <f t="shared" ref="NG64:NG69" si="504">NG$22 * IF(AND(NF$5=1,NA$20=1), NN64, NL64)</f>
        <v>0</v>
      </c>
      <c r="NH64" s="12">
        <f t="shared" ref="NH64:NH69" si="505">NH$22 * IF(AND(NG$5=1,NA$20=1), NN64, NL64)</f>
        <v>0</v>
      </c>
      <c r="NI64" s="12">
        <f t="shared" ref="NI64:NI69" si="506">NI$22 * IF(AND(NH$5=1,NA$20=1), NN64, NL64)</f>
        <v>0</v>
      </c>
      <c r="NK64" t="s">
        <v>1303</v>
      </c>
      <c r="NL64">
        <f>_xlfn.XLOOKUP(NK64,'KPI Impacts'!$B$2:$H$2,'KPI Impacts'!$B64:$H64)</f>
        <v>0</v>
      </c>
      <c r="NM64" s="9" t="s">
        <v>1303</v>
      </c>
      <c r="NN64">
        <f>_xlfn.XLOOKUP(NM64,'KPI Impacts'!$B$2:$H$2,'KPI Impacts'!$B64:$H64)</f>
        <v>0</v>
      </c>
      <c r="NQ64" s="12">
        <f t="shared" ref="NQ64:NQ69" si="507">NQ$22*OB64</f>
        <v>0</v>
      </c>
      <c r="NR64" s="12">
        <f t="shared" ref="NR64:NR69" si="508">NR$22 * IF(AND(NQ$5=1,NQ$20=1), OD64, OB64)</f>
        <v>0</v>
      </c>
      <c r="NS64" s="12">
        <f t="shared" ref="NS64:NS69" si="509">NS$22 * IF(AND(NR$5=1,NQ$20=1), OD64, OB64)</f>
        <v>0</v>
      </c>
      <c r="NT64" s="12">
        <f t="shared" ref="NT64:NT69" si="510">NT$22 * IF(AND(NS$5=1,NQ$20=1), OD64, OB64)</f>
        <v>0</v>
      </c>
      <c r="NU64" s="12">
        <f t="shared" ref="NU64:NU69" si="511">NU$22 * IF(AND(NT$5=1,NQ$20=1), OD64, OB64)</f>
        <v>0</v>
      </c>
      <c r="NV64" s="12">
        <f t="shared" ref="NV64:NV69" si="512">NV$22 * IF(AND(NU$5=1,NQ$20=1), OD64, OB64)</f>
        <v>0</v>
      </c>
      <c r="NW64" s="12">
        <f t="shared" ref="NW64:NW69" si="513">NW$22 * IF(AND(NV$5=1,NQ$20=1), OD64, OB64)</f>
        <v>0</v>
      </c>
      <c r="NX64" s="12">
        <f t="shared" ref="NX64:NX69" si="514">NX$22 * IF(AND(NW$5=1,NQ$20=1), OD64, OB64)</f>
        <v>0</v>
      </c>
      <c r="NY64" s="12">
        <f t="shared" ref="NY64:NY69" si="515">NY$22 * IF(AND(NX$5=1,NQ$20=1), OD64, OB64)</f>
        <v>0</v>
      </c>
      <c r="OA64" t="s">
        <v>1303</v>
      </c>
      <c r="OB64">
        <f>_xlfn.XLOOKUP(OA64,'KPI Impacts'!$B$2:$H$2,'KPI Impacts'!$B64:$H64)</f>
        <v>0</v>
      </c>
      <c r="OC64" s="9" t="s">
        <v>1303</v>
      </c>
      <c r="OD64">
        <f>_xlfn.XLOOKUP(OC64,'KPI Impacts'!$B$2:$H$2,'KPI Impacts'!$B64:$H64)</f>
        <v>0</v>
      </c>
      <c r="OG64" s="12">
        <f t="shared" ref="OG64:OG69" si="516">OG$22*OR64</f>
        <v>0</v>
      </c>
      <c r="OH64" s="12">
        <f t="shared" ref="OH64:OH69" si="517">OH$22 * IF(AND(OG$5=1,OG$20=1), OT64, OR64)</f>
        <v>0</v>
      </c>
      <c r="OI64" s="12">
        <f t="shared" ref="OI64:OI69" si="518">OI$22 * IF(AND(OH$5=1,OG$20=1), OT64, OR64)</f>
        <v>0</v>
      </c>
      <c r="OJ64" s="12">
        <f t="shared" ref="OJ64:OJ69" si="519">OJ$22 * IF(AND(OI$5=1,OG$20=1), OT64, OR64)</f>
        <v>0</v>
      </c>
      <c r="OK64" s="12">
        <f t="shared" ref="OK64:OK69" si="520">OK$22 * IF(AND(OJ$5=1,OG$20=1), OT64, OR64)</f>
        <v>0</v>
      </c>
      <c r="OL64" s="12">
        <f t="shared" ref="OL64:OL69" si="521">OL$22 * IF(AND(OK$5=1,OG$20=1), OT64, OR64)</f>
        <v>0</v>
      </c>
      <c r="OM64" s="12">
        <f t="shared" ref="OM64:OM69" si="522">OM$22 * IF(AND(OL$5=1,OG$20=1), OT64, OR64)</f>
        <v>0</v>
      </c>
      <c r="ON64" s="12">
        <f t="shared" ref="ON64:ON69" si="523">ON$22 * IF(AND(OM$5=1,OG$20=1), OT64, OR64)</f>
        <v>0</v>
      </c>
      <c r="OO64" s="12">
        <f t="shared" ref="OO64:OO69" si="524">OO$22 * IF(AND(ON$5=1,OG$20=1), OT64, OR64)</f>
        <v>0</v>
      </c>
      <c r="OQ64" t="s">
        <v>1303</v>
      </c>
      <c r="OR64">
        <f>_xlfn.XLOOKUP(OQ64,'KPI Impacts'!$B$2:$H$2,'KPI Impacts'!$B64:$H64)</f>
        <v>0</v>
      </c>
      <c r="OS64" s="9" t="s">
        <v>1303</v>
      </c>
      <c r="OT64">
        <f>_xlfn.XLOOKUP(OS64,'KPI Impacts'!$B$2:$H$2,'KPI Impacts'!$B64:$H64)</f>
        <v>0</v>
      </c>
    </row>
    <row r="65" spans="1:410" x14ac:dyDescent="0.2">
      <c r="A65" t="s">
        <v>47</v>
      </c>
      <c r="B65" s="12">
        <f t="shared" si="318"/>
        <v>0</v>
      </c>
      <c r="C65" s="12">
        <f t="shared" si="318"/>
        <v>0</v>
      </c>
      <c r="D65" s="12">
        <f t="shared" si="318"/>
        <v>0</v>
      </c>
      <c r="E65" s="12">
        <f t="shared" si="318"/>
        <v>0</v>
      </c>
      <c r="F65" s="12">
        <f t="shared" si="318"/>
        <v>0</v>
      </c>
      <c r="G65" s="12">
        <f t="shared" si="318"/>
        <v>0</v>
      </c>
      <c r="H65" s="12">
        <f t="shared" si="318"/>
        <v>0</v>
      </c>
      <c r="I65" s="12">
        <f t="shared" si="319"/>
        <v>0</v>
      </c>
      <c r="J65" s="12">
        <f t="shared" si="319"/>
        <v>0</v>
      </c>
      <c r="M65">
        <f t="shared" si="320"/>
        <v>0</v>
      </c>
      <c r="N65">
        <f t="shared" si="321"/>
        <v>0</v>
      </c>
      <c r="O65">
        <f t="shared" si="322"/>
        <v>0</v>
      </c>
      <c r="P65">
        <f t="shared" si="323"/>
        <v>0</v>
      </c>
      <c r="Q65">
        <f t="shared" si="324"/>
        <v>0</v>
      </c>
      <c r="R65">
        <f t="shared" si="325"/>
        <v>0</v>
      </c>
      <c r="S65">
        <f t="shared" si="326"/>
        <v>0</v>
      </c>
      <c r="U65" t="s">
        <v>1303</v>
      </c>
      <c r="V65">
        <f>_xlfn.XLOOKUP(U65,'KPI Impacts'!$B$2:$H$2,'KPI Impacts'!$B65:$H65)</f>
        <v>0</v>
      </c>
      <c r="Y65" s="12" cm="1">
        <f t="array" ref="Y65">_xlfn.SWITCH(Y$4, 0,0, 1, AJ65,2,AL65,3,AN65,0)</f>
        <v>0</v>
      </c>
      <c r="Z65" s="12" cm="1">
        <f t="array" ref="Z65">_xlfn.SWITCH(Z$4, 0,0, 1, AJ65,2,AL65,3,AN65,0)+Y65</f>
        <v>0</v>
      </c>
      <c r="AA65" s="12" cm="1">
        <f t="array" ref="AA65">_xlfn.SWITCH(AA$4, 0,0, 1, AJ65,2,AL65,3,AN65,0)+Z65</f>
        <v>0</v>
      </c>
      <c r="AB65" s="12" cm="1">
        <f t="array" ref="AB65">_xlfn.SWITCH(AB$4, 0,0, 1, AJ65,2,AL65,3,AN65,0)+AA65</f>
        <v>0</v>
      </c>
      <c r="AC65" s="12" cm="1">
        <f t="array" ref="AC65">_xlfn.SWITCH(AC$4, 0,0, 1, AJ65,2,AL65,3,AN65,0)+AB65</f>
        <v>0</v>
      </c>
      <c r="AD65" s="12" cm="1">
        <f t="array" ref="AD65">_xlfn.SWITCH(AD$4, 0,0, 1, AJ65,2,AL65,3,AN65,0)+AC65</f>
        <v>0</v>
      </c>
      <c r="AE65" s="12" cm="1">
        <f t="array" ref="AE65">_xlfn.SWITCH(AE$4, 0,0, 1, AJ65,2,AL65,3,AN65,0)+AD65</f>
        <v>0</v>
      </c>
      <c r="AF65" s="12" cm="1">
        <f t="array" ref="AF65">_xlfn.SWITCH(AF$4, 0,0, 1, AJ65,2,AL65,3,AN65,0)+AE65</f>
        <v>0</v>
      </c>
      <c r="AG65" s="12" cm="1">
        <f t="array" ref="AG65">_xlfn.SWITCH(AG$4, 0,0, 1, AJ65,2,AL65,3,AN65,0)+AF65</f>
        <v>0</v>
      </c>
      <c r="AI65" t="s">
        <v>1303</v>
      </c>
      <c r="AJ65">
        <f>_xlfn.XLOOKUP(AI65,'KPI Impacts'!$K$2:$Q$2,'KPI Impacts'!$K65:$Q65)</f>
        <v>0</v>
      </c>
      <c r="AK65" t="s">
        <v>1303</v>
      </c>
      <c r="AL65">
        <f>_xlfn.XLOOKUP(AK65,'KPI Impacts'!$K$2:$Q$2,'KPI Impacts'!$K65:$Q65)</f>
        <v>0</v>
      </c>
      <c r="AM65" t="s">
        <v>1303</v>
      </c>
      <c r="AN65">
        <f>_xlfn.XLOOKUP(AM65,'KPI Impacts'!$K$2:$Q$2,'KPI Impacts'!$K65:$Q65)</f>
        <v>0</v>
      </c>
      <c r="AQ65" s="12" cm="1">
        <f t="array" ref="AQ65">_xlfn.SWITCH(AQ$4, 0,0, 1, BB65,2,BD65,3,BF65,0)</f>
        <v>0</v>
      </c>
      <c r="AR65" s="12" cm="1">
        <f t="array" ref="AR65">_xlfn.SWITCH(AR$4, 0,0, 1, BB65,2,BD65,3,BF65,0)+AQ65</f>
        <v>0</v>
      </c>
      <c r="AS65" s="12" cm="1">
        <f t="array" ref="AS65">_xlfn.SWITCH(AS$4, 0,0, 1, BB65,2,BD65,3,BF65,0)+AR65</f>
        <v>0</v>
      </c>
      <c r="AT65" s="12" cm="1">
        <f t="array" ref="AT65">_xlfn.SWITCH(AT$4, 0,0, 1, BB65,2,BD65,3,BF65,0)+AS65</f>
        <v>0</v>
      </c>
      <c r="AU65" s="12" cm="1">
        <f t="array" ref="AU65">_xlfn.SWITCH(AU$4, 0,0, 1, BB65,2,BD65,3,BF65,0)+AT65</f>
        <v>0</v>
      </c>
      <c r="AV65" s="12" cm="1">
        <f t="array" ref="AV65">_xlfn.SWITCH(AV$4, 0,0, 1, BB65,2,BD65,3,BF65,0)+AU65</f>
        <v>0</v>
      </c>
      <c r="AW65" s="12" cm="1">
        <f t="array" ref="AW65">_xlfn.SWITCH(AW$4, 0,0, 1, BB65,2,BD65,3,BF65,0)+AV65</f>
        <v>0</v>
      </c>
      <c r="AX65" s="12" cm="1">
        <f t="array" ref="AX65">_xlfn.SWITCH(AX$4, 0,0, 1, BB65,2,BD65,3,BF65,0)+AW65</f>
        <v>0</v>
      </c>
      <c r="AY65" s="12" cm="1">
        <f t="array" ref="AY65">_xlfn.SWITCH(AY$4, 0,0, 1, BB65,2,BD65,3,BF65,0)+AX65</f>
        <v>0</v>
      </c>
      <c r="BA65" t="s">
        <v>1303</v>
      </c>
      <c r="BB65">
        <f>_xlfn.XLOOKUP(BA65,'KPI Impacts'!$K$2:$Q$2,'KPI Impacts'!$K65:$Q65)</f>
        <v>0</v>
      </c>
      <c r="BC65" t="s">
        <v>1303</v>
      </c>
      <c r="BD65">
        <f>_xlfn.XLOOKUP(BC65,'KPI Impacts'!$K$2:$Q$2,'KPI Impacts'!$K65:$Q65)</f>
        <v>0</v>
      </c>
      <c r="BE65" t="s">
        <v>1303</v>
      </c>
      <c r="BF65">
        <f>_xlfn.XLOOKUP(BE65,'KPI Impacts'!$K$2:$Q$2,'KPI Impacts'!$K65:$Q65)</f>
        <v>0</v>
      </c>
      <c r="BI65" s="12">
        <f t="shared" si="327"/>
        <v>0</v>
      </c>
      <c r="BJ65" s="12">
        <f t="shared" si="328"/>
        <v>0</v>
      </c>
      <c r="BK65" s="12">
        <f t="shared" si="329"/>
        <v>0</v>
      </c>
      <c r="BL65" s="12">
        <f t="shared" si="330"/>
        <v>0</v>
      </c>
      <c r="BM65" s="12">
        <f t="shared" si="331"/>
        <v>0</v>
      </c>
      <c r="BN65" s="12">
        <f t="shared" si="332"/>
        <v>0</v>
      </c>
      <c r="BO65" s="12">
        <f t="shared" si="333"/>
        <v>0</v>
      </c>
      <c r="BP65" s="12">
        <f t="shared" si="334"/>
        <v>0</v>
      </c>
      <c r="BQ65" s="12">
        <f t="shared" si="335"/>
        <v>0</v>
      </c>
      <c r="BS65" s="16" t="s">
        <v>1303</v>
      </c>
      <c r="BT65">
        <f>_xlfn.XLOOKUP(BS65,'KPI Impacts'!$B$2:$H$2,'KPI Impacts'!$B65:$H65)</f>
        <v>0</v>
      </c>
      <c r="BU65" s="35" t="s">
        <v>1303</v>
      </c>
      <c r="BV65">
        <f>_xlfn.XLOOKUP(BU65,'KPI Impacts'!$B$2:$H$2,'KPI Impacts'!$B65:$H65)</f>
        <v>0</v>
      </c>
      <c r="BY65" s="12">
        <f t="shared" si="336"/>
        <v>0</v>
      </c>
      <c r="BZ65" s="12">
        <f t="shared" si="337"/>
        <v>0</v>
      </c>
      <c r="CA65" s="12">
        <f t="shared" si="338"/>
        <v>0</v>
      </c>
      <c r="CB65" s="12">
        <f t="shared" si="339"/>
        <v>0</v>
      </c>
      <c r="CC65" s="12">
        <f t="shared" si="340"/>
        <v>0</v>
      </c>
      <c r="CD65" s="12">
        <f t="shared" si="341"/>
        <v>0</v>
      </c>
      <c r="CE65" s="12">
        <f t="shared" si="342"/>
        <v>0</v>
      </c>
      <c r="CF65" s="12">
        <f t="shared" si="343"/>
        <v>0</v>
      </c>
      <c r="CG65" s="12">
        <f t="shared" si="344"/>
        <v>0</v>
      </c>
      <c r="CI65" s="16" t="s">
        <v>1303</v>
      </c>
      <c r="CJ65">
        <f>_xlfn.XLOOKUP(CI65,'KPI Impacts'!$B$2:$H$2,'KPI Impacts'!$B65:$H65)</f>
        <v>0</v>
      </c>
      <c r="CK65" s="35" t="s">
        <v>1303</v>
      </c>
      <c r="CL65">
        <f>_xlfn.XLOOKUP(CK65,'KPI Impacts'!$B$2:$H$2,'KPI Impacts'!$B65:$H65)</f>
        <v>0</v>
      </c>
      <c r="CO65" s="12">
        <f t="shared" si="345"/>
        <v>0</v>
      </c>
      <c r="CP65" s="12">
        <f t="shared" si="346"/>
        <v>0</v>
      </c>
      <c r="CQ65" s="12">
        <f t="shared" si="347"/>
        <v>0</v>
      </c>
      <c r="CR65" s="12">
        <f t="shared" si="348"/>
        <v>0</v>
      </c>
      <c r="CS65" s="12">
        <f t="shared" si="349"/>
        <v>0</v>
      </c>
      <c r="CT65" s="12">
        <f t="shared" si="350"/>
        <v>0</v>
      </c>
      <c r="CU65" s="12">
        <f t="shared" si="351"/>
        <v>0</v>
      </c>
      <c r="CV65" s="12">
        <f t="shared" si="352"/>
        <v>0</v>
      </c>
      <c r="CW65" s="12">
        <f t="shared" si="353"/>
        <v>0</v>
      </c>
      <c r="CY65" s="16" t="s">
        <v>1303</v>
      </c>
      <c r="CZ65">
        <f>_xlfn.XLOOKUP(CY65,'KPI Impacts'!$B$2:$H$2,'KPI Impacts'!$B65:$H65)</f>
        <v>0</v>
      </c>
      <c r="DA65" s="35" t="s">
        <v>1303</v>
      </c>
      <c r="DB65">
        <f>_xlfn.XLOOKUP(DA65,'KPI Impacts'!$B$2:$H$2,'KPI Impacts'!$B65:$H65)</f>
        <v>0</v>
      </c>
      <c r="DE65" s="12">
        <f t="shared" si="354"/>
        <v>0</v>
      </c>
      <c r="DF65" s="12">
        <f t="shared" si="355"/>
        <v>0</v>
      </c>
      <c r="DG65" s="12">
        <f t="shared" si="356"/>
        <v>0</v>
      </c>
      <c r="DH65" s="12">
        <f t="shared" si="357"/>
        <v>0</v>
      </c>
      <c r="DI65" s="12">
        <f t="shared" si="358"/>
        <v>0</v>
      </c>
      <c r="DJ65" s="12">
        <f t="shared" si="359"/>
        <v>0</v>
      </c>
      <c r="DK65" s="12">
        <f t="shared" si="360"/>
        <v>0</v>
      </c>
      <c r="DL65" s="12">
        <f t="shared" si="361"/>
        <v>0</v>
      </c>
      <c r="DM65" s="12">
        <f t="shared" si="362"/>
        <v>0</v>
      </c>
      <c r="DO65" s="30" t="s">
        <v>1309</v>
      </c>
      <c r="DP65">
        <f>_xlfn.XLOOKUP(DO65,'KPI Impacts'!$B$2:$H$2,'KPI Impacts'!$B65:$H65)</f>
        <v>2</v>
      </c>
      <c r="DQ65" s="35" t="s">
        <v>1303</v>
      </c>
      <c r="DR65">
        <f>_xlfn.XLOOKUP(DQ65,'KPI Impacts'!$B$2:$H$2,'KPI Impacts'!$B65:$H65)</f>
        <v>0</v>
      </c>
      <c r="DU65" s="12">
        <f t="shared" si="363"/>
        <v>0</v>
      </c>
      <c r="DV65" s="12">
        <f t="shared" si="364"/>
        <v>0</v>
      </c>
      <c r="DW65" s="12">
        <f t="shared" si="365"/>
        <v>0</v>
      </c>
      <c r="DX65" s="12">
        <f t="shared" si="366"/>
        <v>0</v>
      </c>
      <c r="DY65" s="12">
        <f t="shared" si="367"/>
        <v>0</v>
      </c>
      <c r="DZ65" s="12">
        <f t="shared" si="368"/>
        <v>0</v>
      </c>
      <c r="EA65" s="12">
        <f t="shared" si="369"/>
        <v>0</v>
      </c>
      <c r="EB65" s="12">
        <f t="shared" si="370"/>
        <v>0</v>
      </c>
      <c r="EC65" s="12">
        <f t="shared" si="371"/>
        <v>0</v>
      </c>
      <c r="EE65" s="16" t="s">
        <v>1303</v>
      </c>
      <c r="EF65">
        <f>_xlfn.XLOOKUP(EE65,'KPI Impacts'!$B$2:$H$2,'KPI Impacts'!$B65:$H65)</f>
        <v>0</v>
      </c>
      <c r="EG65" s="35" t="s">
        <v>1303</v>
      </c>
      <c r="EH65">
        <f>_xlfn.XLOOKUP(EG65,'KPI Impacts'!$B$2:$H$2,'KPI Impacts'!$B65:$H65)</f>
        <v>0</v>
      </c>
      <c r="EK65" s="12">
        <f t="shared" si="372"/>
        <v>0</v>
      </c>
      <c r="EL65" s="12">
        <f t="shared" si="373"/>
        <v>0</v>
      </c>
      <c r="EM65" s="12">
        <f t="shared" si="374"/>
        <v>0</v>
      </c>
      <c r="EN65" s="12">
        <f t="shared" si="375"/>
        <v>0</v>
      </c>
      <c r="EO65" s="12">
        <f t="shared" si="376"/>
        <v>0</v>
      </c>
      <c r="EP65" s="12">
        <f t="shared" si="377"/>
        <v>0</v>
      </c>
      <c r="EQ65" s="12">
        <f t="shared" si="378"/>
        <v>0</v>
      </c>
      <c r="ER65" s="12">
        <f t="shared" si="379"/>
        <v>0</v>
      </c>
      <c r="ES65" s="12">
        <f t="shared" si="380"/>
        <v>0</v>
      </c>
      <c r="EU65" s="16" t="s">
        <v>1303</v>
      </c>
      <c r="EV65">
        <f>_xlfn.XLOOKUP(EU65,'KPI Impacts'!$B$2:$H$2,'KPI Impacts'!$B65:$H65)</f>
        <v>0</v>
      </c>
      <c r="EW65" s="35" t="s">
        <v>1303</v>
      </c>
      <c r="EX65">
        <f>_xlfn.XLOOKUP(EW65,'KPI Impacts'!$B$2:$H$2,'KPI Impacts'!$B65:$H65)</f>
        <v>0</v>
      </c>
      <c r="FA65" s="12">
        <f t="shared" si="381"/>
        <v>0</v>
      </c>
      <c r="FB65" s="12">
        <f t="shared" si="382"/>
        <v>0</v>
      </c>
      <c r="FC65" s="12">
        <f t="shared" si="383"/>
        <v>0</v>
      </c>
      <c r="FD65" s="12">
        <f t="shared" si="384"/>
        <v>0</v>
      </c>
      <c r="FE65" s="12">
        <f t="shared" si="385"/>
        <v>0</v>
      </c>
      <c r="FF65" s="12">
        <f t="shared" si="386"/>
        <v>0</v>
      </c>
      <c r="FG65" s="12">
        <f t="shared" si="387"/>
        <v>0</v>
      </c>
      <c r="FH65" s="12">
        <f t="shared" si="388"/>
        <v>0</v>
      </c>
      <c r="FI65" s="12">
        <f t="shared" si="389"/>
        <v>0</v>
      </c>
      <c r="FK65" s="16" t="s">
        <v>1303</v>
      </c>
      <c r="FL65">
        <f>_xlfn.XLOOKUP(FK65,'KPI Impacts'!$B$2:$H$2,'KPI Impacts'!$B65:$H65)</f>
        <v>0</v>
      </c>
      <c r="FM65" s="16" t="s">
        <v>1303</v>
      </c>
      <c r="FN65">
        <f>_xlfn.XLOOKUP(FM65,'KPI Impacts'!$B$2:$H$2,'KPI Impacts'!$B65:$H65)</f>
        <v>0</v>
      </c>
      <c r="FQ65" s="12">
        <f t="shared" si="390"/>
        <v>0</v>
      </c>
      <c r="FR65" s="12">
        <f t="shared" si="391"/>
        <v>0</v>
      </c>
      <c r="FS65" s="12">
        <f t="shared" si="392"/>
        <v>0</v>
      </c>
      <c r="FT65" s="12">
        <f t="shared" si="393"/>
        <v>0</v>
      </c>
      <c r="FU65" s="12">
        <f t="shared" si="394"/>
        <v>0</v>
      </c>
      <c r="FV65" s="12">
        <f t="shared" si="395"/>
        <v>0</v>
      </c>
      <c r="FW65" s="12">
        <f t="shared" si="396"/>
        <v>0</v>
      </c>
      <c r="FX65" s="12">
        <f t="shared" si="397"/>
        <v>0</v>
      </c>
      <c r="FY65" s="12">
        <f t="shared" si="398"/>
        <v>0</v>
      </c>
      <c r="GA65" s="16" t="s">
        <v>1303</v>
      </c>
      <c r="GB65">
        <f>_xlfn.XLOOKUP(GA65,'KPI Impacts'!$B$2:$H$2,'KPI Impacts'!$B65:$H65)</f>
        <v>0</v>
      </c>
      <c r="GC65" s="9" t="s">
        <v>1303</v>
      </c>
      <c r="GD65">
        <f>_xlfn.XLOOKUP(GC65,'KPI Impacts'!$B$2:$H$2,'KPI Impacts'!$B65:$H65)</f>
        <v>0</v>
      </c>
      <c r="GG65" s="12">
        <f t="shared" si="399"/>
        <v>0</v>
      </c>
      <c r="GH65" s="12">
        <f t="shared" si="400"/>
        <v>0</v>
      </c>
      <c r="GI65" s="12">
        <f t="shared" si="401"/>
        <v>0</v>
      </c>
      <c r="GJ65" s="12">
        <f t="shared" si="402"/>
        <v>0</v>
      </c>
      <c r="GK65" s="12">
        <f t="shared" si="403"/>
        <v>0</v>
      </c>
      <c r="GL65" s="12">
        <f t="shared" si="404"/>
        <v>0</v>
      </c>
      <c r="GM65" s="12">
        <f t="shared" si="405"/>
        <v>0</v>
      </c>
      <c r="GN65" s="12">
        <f t="shared" si="406"/>
        <v>0</v>
      </c>
      <c r="GO65" s="12">
        <f t="shared" si="407"/>
        <v>0</v>
      </c>
      <c r="GQ65" s="30" t="s">
        <v>1308</v>
      </c>
      <c r="GR65">
        <f>_xlfn.XLOOKUP(GQ65,'KPI Impacts'!$B$2:$H$2,'KPI Impacts'!$B65:$H65)</f>
        <v>3</v>
      </c>
      <c r="GS65" s="9" t="s">
        <v>1303</v>
      </c>
      <c r="GT65">
        <f>_xlfn.XLOOKUP(GS65,'KPI Impacts'!$B$2:$H$2,'KPI Impacts'!$B65:$H65)</f>
        <v>0</v>
      </c>
      <c r="GW65" s="12">
        <f t="shared" si="408"/>
        <v>0</v>
      </c>
      <c r="GX65" s="12">
        <f t="shared" si="409"/>
        <v>0</v>
      </c>
      <c r="GY65" s="12">
        <f t="shared" si="410"/>
        <v>0</v>
      </c>
      <c r="GZ65" s="12">
        <f t="shared" si="411"/>
        <v>0</v>
      </c>
      <c r="HA65" s="12">
        <f t="shared" si="412"/>
        <v>0</v>
      </c>
      <c r="HB65" s="12">
        <f t="shared" si="413"/>
        <v>0</v>
      </c>
      <c r="HC65" s="12">
        <f t="shared" si="414"/>
        <v>0</v>
      </c>
      <c r="HD65" s="12">
        <f t="shared" si="415"/>
        <v>0</v>
      </c>
      <c r="HE65" s="12">
        <f t="shared" si="416"/>
        <v>0</v>
      </c>
      <c r="HG65" s="16" t="s">
        <v>1303</v>
      </c>
      <c r="HH65">
        <f>_xlfn.XLOOKUP(HG65,'KPI Impacts'!$B$2:$H$2,'KPI Impacts'!$B65:$H65)</f>
        <v>0</v>
      </c>
      <c r="HI65" s="9" t="s">
        <v>1303</v>
      </c>
      <c r="HJ65">
        <f>_xlfn.XLOOKUP(HI65,'KPI Impacts'!$B$2:$H$2,'KPI Impacts'!$B65:$H65)</f>
        <v>0</v>
      </c>
      <c r="HM65" s="12">
        <f t="shared" si="417"/>
        <v>0</v>
      </c>
      <c r="HN65" s="12">
        <f t="shared" si="418"/>
        <v>0</v>
      </c>
      <c r="HO65" s="12">
        <f t="shared" si="419"/>
        <v>0</v>
      </c>
      <c r="HP65" s="12">
        <f t="shared" si="420"/>
        <v>0</v>
      </c>
      <c r="HQ65" s="12">
        <f t="shared" si="421"/>
        <v>0</v>
      </c>
      <c r="HR65" s="12">
        <f t="shared" si="422"/>
        <v>0</v>
      </c>
      <c r="HS65" s="12">
        <f t="shared" si="423"/>
        <v>0</v>
      </c>
      <c r="HT65" s="12">
        <f t="shared" si="424"/>
        <v>0</v>
      </c>
      <c r="HU65" s="12">
        <f t="shared" si="425"/>
        <v>0</v>
      </c>
      <c r="HW65" s="30" t="s">
        <v>1309</v>
      </c>
      <c r="HX65">
        <f>_xlfn.XLOOKUP(HW65,'KPI Impacts'!$B$2:$H$2,'KPI Impacts'!$B65:$H65)</f>
        <v>2</v>
      </c>
      <c r="HY65" s="9" t="s">
        <v>1303</v>
      </c>
      <c r="HZ65">
        <f>_xlfn.XLOOKUP(HY65,'KPI Impacts'!$B$2:$H$2,'KPI Impacts'!$B65:$H65)</f>
        <v>0</v>
      </c>
      <c r="IC65" s="12">
        <f t="shared" si="426"/>
        <v>0</v>
      </c>
      <c r="ID65" s="12">
        <f t="shared" si="427"/>
        <v>0</v>
      </c>
      <c r="IE65" s="12">
        <f t="shared" si="428"/>
        <v>0</v>
      </c>
      <c r="IF65" s="12">
        <f t="shared" si="429"/>
        <v>0</v>
      </c>
      <c r="IG65" s="12">
        <f t="shared" si="430"/>
        <v>0</v>
      </c>
      <c r="IH65" s="12">
        <f t="shared" si="431"/>
        <v>0</v>
      </c>
      <c r="II65" s="12">
        <f t="shared" si="432"/>
        <v>0</v>
      </c>
      <c r="IJ65" s="12">
        <f t="shared" si="433"/>
        <v>0</v>
      </c>
      <c r="IK65" s="12">
        <f t="shared" si="434"/>
        <v>0</v>
      </c>
      <c r="IM65" s="16" t="s">
        <v>1303</v>
      </c>
      <c r="IN65">
        <f>_xlfn.XLOOKUP(IM65,'KPI Impacts'!$B$2:$H$2,'KPI Impacts'!$B65:$H65)</f>
        <v>0</v>
      </c>
      <c r="IO65" s="9" t="s">
        <v>1303</v>
      </c>
      <c r="IP65">
        <f>_xlfn.XLOOKUP(IO65,'KPI Impacts'!$B$2:$H$2,'KPI Impacts'!$B65:$H65)</f>
        <v>0</v>
      </c>
      <c r="IS65" s="12">
        <f t="shared" si="435"/>
        <v>0</v>
      </c>
      <c r="IT65" s="12">
        <f t="shared" si="436"/>
        <v>0</v>
      </c>
      <c r="IU65" s="12">
        <f t="shared" si="437"/>
        <v>0</v>
      </c>
      <c r="IV65" s="12">
        <f t="shared" si="438"/>
        <v>0</v>
      </c>
      <c r="IW65" s="12">
        <f t="shared" si="439"/>
        <v>0</v>
      </c>
      <c r="IX65" s="12">
        <f t="shared" si="440"/>
        <v>0</v>
      </c>
      <c r="IY65" s="12">
        <f t="shared" si="441"/>
        <v>0</v>
      </c>
      <c r="IZ65" s="12">
        <f t="shared" si="442"/>
        <v>0</v>
      </c>
      <c r="JA65" s="12">
        <f t="shared" si="443"/>
        <v>0</v>
      </c>
      <c r="JC65" t="s">
        <v>1303</v>
      </c>
      <c r="JD65">
        <f>_xlfn.XLOOKUP(JC65,'KPI Impacts'!$B$2:$H$2,'KPI Impacts'!$B65:$H65)</f>
        <v>0</v>
      </c>
      <c r="JE65" s="9" t="s">
        <v>1303</v>
      </c>
      <c r="JF65">
        <f>_xlfn.XLOOKUP(JE65,'KPI Impacts'!$B$2:$H$2,'KPI Impacts'!$B65:$H65)</f>
        <v>0</v>
      </c>
      <c r="JI65" s="12">
        <f t="shared" si="444"/>
        <v>0</v>
      </c>
      <c r="JJ65" s="12">
        <f t="shared" si="445"/>
        <v>0</v>
      </c>
      <c r="JK65" s="12">
        <f t="shared" si="446"/>
        <v>0</v>
      </c>
      <c r="JL65" s="12">
        <f t="shared" si="447"/>
        <v>0</v>
      </c>
      <c r="JM65" s="12">
        <f t="shared" si="448"/>
        <v>0</v>
      </c>
      <c r="JN65" s="12">
        <f t="shared" si="449"/>
        <v>0</v>
      </c>
      <c r="JO65" s="12">
        <f t="shared" si="450"/>
        <v>0</v>
      </c>
      <c r="JP65" s="12">
        <f t="shared" si="451"/>
        <v>0</v>
      </c>
      <c r="JQ65" s="12">
        <f t="shared" si="452"/>
        <v>0</v>
      </c>
      <c r="JS65" t="s">
        <v>1303</v>
      </c>
      <c r="JT65">
        <f>_xlfn.XLOOKUP(JS65,'KPI Impacts'!$B$2:$H$2,'KPI Impacts'!$B65:$H65)</f>
        <v>0</v>
      </c>
      <c r="JU65" s="9" t="s">
        <v>1303</v>
      </c>
      <c r="JV65">
        <f>_xlfn.XLOOKUP(JU65,'KPI Impacts'!$B$2:$H$2,'KPI Impacts'!$B65:$H65)</f>
        <v>0</v>
      </c>
      <c r="JY65" s="12">
        <f t="shared" si="453"/>
        <v>0</v>
      </c>
      <c r="JZ65" s="12">
        <f t="shared" si="454"/>
        <v>0</v>
      </c>
      <c r="KA65" s="12">
        <f t="shared" si="455"/>
        <v>0</v>
      </c>
      <c r="KB65" s="12">
        <f t="shared" si="456"/>
        <v>0</v>
      </c>
      <c r="KC65" s="12">
        <f t="shared" si="457"/>
        <v>0</v>
      </c>
      <c r="KD65" s="12">
        <f t="shared" si="458"/>
        <v>0</v>
      </c>
      <c r="KE65" s="12">
        <f t="shared" si="459"/>
        <v>0</v>
      </c>
      <c r="KF65" s="12">
        <f t="shared" si="460"/>
        <v>0</v>
      </c>
      <c r="KG65" s="12">
        <f t="shared" si="461"/>
        <v>0</v>
      </c>
      <c r="KI65" t="s">
        <v>1303</v>
      </c>
      <c r="KJ65">
        <f>_xlfn.XLOOKUP(KI65,'KPI Impacts'!$B$2:$H$2,'KPI Impacts'!$B65:$H65)</f>
        <v>0</v>
      </c>
      <c r="KK65" s="9" t="s">
        <v>1303</v>
      </c>
      <c r="KL65">
        <f>_xlfn.XLOOKUP(KK65,'KPI Impacts'!$B$2:$H$2,'KPI Impacts'!$B65:$H65)</f>
        <v>0</v>
      </c>
      <c r="KO65" s="12">
        <f t="shared" si="462"/>
        <v>0</v>
      </c>
      <c r="KP65" s="12">
        <f t="shared" si="463"/>
        <v>0</v>
      </c>
      <c r="KQ65" s="12">
        <f t="shared" si="464"/>
        <v>0</v>
      </c>
      <c r="KR65" s="12">
        <f t="shared" si="465"/>
        <v>0</v>
      </c>
      <c r="KS65" s="12">
        <f t="shared" si="466"/>
        <v>0</v>
      </c>
      <c r="KT65" s="12">
        <f t="shared" si="467"/>
        <v>0</v>
      </c>
      <c r="KU65" s="12">
        <f t="shared" si="468"/>
        <v>0</v>
      </c>
      <c r="KV65" s="12">
        <f t="shared" si="469"/>
        <v>0</v>
      </c>
      <c r="KW65" s="12">
        <f t="shared" si="470"/>
        <v>0</v>
      </c>
      <c r="KY65" t="s">
        <v>1303</v>
      </c>
      <c r="KZ65">
        <f>_xlfn.XLOOKUP(KY65,'KPI Impacts'!$B$2:$H$2,'KPI Impacts'!$B65:$H65)</f>
        <v>0</v>
      </c>
      <c r="LA65" s="9" t="s">
        <v>1303</v>
      </c>
      <c r="LB65">
        <f>_xlfn.XLOOKUP(LA65,'KPI Impacts'!$B$2:$H$2,'KPI Impacts'!$B65:$H65)</f>
        <v>0</v>
      </c>
      <c r="LE65" s="12">
        <f t="shared" si="471"/>
        <v>0</v>
      </c>
      <c r="LF65" s="12">
        <f t="shared" si="472"/>
        <v>0</v>
      </c>
      <c r="LG65" s="12">
        <f t="shared" si="473"/>
        <v>0</v>
      </c>
      <c r="LH65" s="12">
        <f t="shared" si="474"/>
        <v>0</v>
      </c>
      <c r="LI65" s="12">
        <f t="shared" si="475"/>
        <v>0</v>
      </c>
      <c r="LJ65" s="12">
        <f t="shared" si="476"/>
        <v>0</v>
      </c>
      <c r="LK65" s="12">
        <f t="shared" si="477"/>
        <v>0</v>
      </c>
      <c r="LL65" s="12">
        <f t="shared" si="478"/>
        <v>0</v>
      </c>
      <c r="LM65" s="12">
        <f t="shared" si="479"/>
        <v>0</v>
      </c>
      <c r="LO65" t="s">
        <v>1303</v>
      </c>
      <c r="LP65">
        <f>_xlfn.XLOOKUP(LO65,'KPI Impacts'!$B$2:$H$2,'KPI Impacts'!$B65:$H65)</f>
        <v>0</v>
      </c>
      <c r="LQ65" s="9" t="s">
        <v>1303</v>
      </c>
      <c r="LR65">
        <f>_xlfn.XLOOKUP(LQ65,'KPI Impacts'!$B$2:$H$2,'KPI Impacts'!$B65:$H65)</f>
        <v>0</v>
      </c>
      <c r="LU65" s="12">
        <f t="shared" si="480"/>
        <v>0</v>
      </c>
      <c r="LV65" s="12">
        <f t="shared" si="481"/>
        <v>0</v>
      </c>
      <c r="LW65" s="12">
        <f t="shared" si="482"/>
        <v>0</v>
      </c>
      <c r="LX65" s="12">
        <f t="shared" si="483"/>
        <v>0</v>
      </c>
      <c r="LY65" s="12">
        <f t="shared" si="484"/>
        <v>0</v>
      </c>
      <c r="LZ65" s="12">
        <f t="shared" si="485"/>
        <v>0</v>
      </c>
      <c r="MA65" s="12">
        <f t="shared" si="486"/>
        <v>0</v>
      </c>
      <c r="MB65" s="12">
        <f t="shared" si="487"/>
        <v>0</v>
      </c>
      <c r="MC65" s="12">
        <f t="shared" si="488"/>
        <v>0</v>
      </c>
      <c r="ME65" t="s">
        <v>1303</v>
      </c>
      <c r="MF65">
        <f>_xlfn.XLOOKUP(ME65,'KPI Impacts'!$B$2:$H$2,'KPI Impacts'!$B65:$H65)</f>
        <v>0</v>
      </c>
      <c r="MG65" s="9" t="s">
        <v>1303</v>
      </c>
      <c r="MH65">
        <f>_xlfn.XLOOKUP(MG65,'KPI Impacts'!$B$2:$H$2,'KPI Impacts'!$B65:$H65)</f>
        <v>0</v>
      </c>
      <c r="MK65" s="12">
        <f t="shared" si="489"/>
        <v>0</v>
      </c>
      <c r="ML65" s="12">
        <f t="shared" si="490"/>
        <v>0</v>
      </c>
      <c r="MM65" s="12">
        <f t="shared" si="491"/>
        <v>0</v>
      </c>
      <c r="MN65" s="12">
        <f t="shared" si="492"/>
        <v>0</v>
      </c>
      <c r="MO65" s="12">
        <f t="shared" si="493"/>
        <v>0</v>
      </c>
      <c r="MP65" s="12">
        <f t="shared" si="494"/>
        <v>0</v>
      </c>
      <c r="MQ65" s="12">
        <f t="shared" si="495"/>
        <v>0</v>
      </c>
      <c r="MR65" s="12">
        <f t="shared" si="496"/>
        <v>0</v>
      </c>
      <c r="MS65" s="12">
        <f t="shared" si="497"/>
        <v>0</v>
      </c>
      <c r="MU65" t="s">
        <v>1303</v>
      </c>
      <c r="MV65">
        <f>_xlfn.XLOOKUP(MU65,'KPI Impacts'!$B$2:$H$2,'KPI Impacts'!$B65:$H65)</f>
        <v>0</v>
      </c>
      <c r="MW65" s="9" t="s">
        <v>1303</v>
      </c>
      <c r="MX65">
        <f>_xlfn.XLOOKUP(MW65,'KPI Impacts'!$B$2:$H$2,'KPI Impacts'!$B65:$H65)</f>
        <v>0</v>
      </c>
      <c r="NA65" s="12">
        <f t="shared" si="498"/>
        <v>0</v>
      </c>
      <c r="NB65" s="12">
        <f t="shared" si="499"/>
        <v>0</v>
      </c>
      <c r="NC65" s="12">
        <f t="shared" si="500"/>
        <v>0</v>
      </c>
      <c r="ND65" s="12">
        <f t="shared" si="501"/>
        <v>0</v>
      </c>
      <c r="NE65" s="12">
        <f t="shared" si="502"/>
        <v>0</v>
      </c>
      <c r="NF65" s="12">
        <f t="shared" si="503"/>
        <v>0</v>
      </c>
      <c r="NG65" s="12">
        <f t="shared" si="504"/>
        <v>0</v>
      </c>
      <c r="NH65" s="12">
        <f t="shared" si="505"/>
        <v>0</v>
      </c>
      <c r="NI65" s="12">
        <f t="shared" si="506"/>
        <v>0</v>
      </c>
      <c r="NK65" t="s">
        <v>1303</v>
      </c>
      <c r="NL65">
        <f>_xlfn.XLOOKUP(NK65,'KPI Impacts'!$B$2:$H$2,'KPI Impacts'!$B65:$H65)</f>
        <v>0</v>
      </c>
      <c r="NM65" s="9" t="s">
        <v>1303</v>
      </c>
      <c r="NN65">
        <f>_xlfn.XLOOKUP(NM65,'KPI Impacts'!$B$2:$H$2,'KPI Impacts'!$B65:$H65)</f>
        <v>0</v>
      </c>
      <c r="NQ65" s="12">
        <f t="shared" si="507"/>
        <v>0</v>
      </c>
      <c r="NR65" s="12">
        <f t="shared" si="508"/>
        <v>0</v>
      </c>
      <c r="NS65" s="12">
        <f t="shared" si="509"/>
        <v>0</v>
      </c>
      <c r="NT65" s="12">
        <f t="shared" si="510"/>
        <v>0</v>
      </c>
      <c r="NU65" s="12">
        <f t="shared" si="511"/>
        <v>0</v>
      </c>
      <c r="NV65" s="12">
        <f t="shared" si="512"/>
        <v>0</v>
      </c>
      <c r="NW65" s="12">
        <f t="shared" si="513"/>
        <v>0</v>
      </c>
      <c r="NX65" s="12">
        <f t="shared" si="514"/>
        <v>0</v>
      </c>
      <c r="NY65" s="12">
        <f t="shared" si="515"/>
        <v>0</v>
      </c>
      <c r="OA65" t="s">
        <v>1303</v>
      </c>
      <c r="OB65">
        <f>_xlfn.XLOOKUP(OA65,'KPI Impacts'!$B$2:$H$2,'KPI Impacts'!$B65:$H65)</f>
        <v>0</v>
      </c>
      <c r="OC65" s="9" t="s">
        <v>1303</v>
      </c>
      <c r="OD65">
        <f>_xlfn.XLOOKUP(OC65,'KPI Impacts'!$B$2:$H$2,'KPI Impacts'!$B65:$H65)</f>
        <v>0</v>
      </c>
      <c r="OG65" s="12">
        <f t="shared" si="516"/>
        <v>0</v>
      </c>
      <c r="OH65" s="12">
        <f t="shared" si="517"/>
        <v>0</v>
      </c>
      <c r="OI65" s="12">
        <f t="shared" si="518"/>
        <v>0</v>
      </c>
      <c r="OJ65" s="12">
        <f t="shared" si="519"/>
        <v>0</v>
      </c>
      <c r="OK65" s="12">
        <f t="shared" si="520"/>
        <v>0</v>
      </c>
      <c r="OL65" s="12">
        <f t="shared" si="521"/>
        <v>0</v>
      </c>
      <c r="OM65" s="12">
        <f t="shared" si="522"/>
        <v>0</v>
      </c>
      <c r="ON65" s="12">
        <f t="shared" si="523"/>
        <v>0</v>
      </c>
      <c r="OO65" s="12">
        <f t="shared" si="524"/>
        <v>0</v>
      </c>
      <c r="OQ65" t="s">
        <v>1303</v>
      </c>
      <c r="OR65">
        <f>_xlfn.XLOOKUP(OQ65,'KPI Impacts'!$B$2:$H$2,'KPI Impacts'!$B65:$H65)</f>
        <v>0</v>
      </c>
      <c r="OS65" s="9" t="s">
        <v>1303</v>
      </c>
      <c r="OT65">
        <f>_xlfn.XLOOKUP(OS65,'KPI Impacts'!$B$2:$H$2,'KPI Impacts'!$B65:$H65)</f>
        <v>0</v>
      </c>
    </row>
    <row r="66" spans="1:410" x14ac:dyDescent="0.2">
      <c r="A66" t="s">
        <v>1292</v>
      </c>
      <c r="B66" s="12">
        <f t="shared" si="318"/>
        <v>0</v>
      </c>
      <c r="C66" s="12">
        <f t="shared" si="318"/>
        <v>0</v>
      </c>
      <c r="D66" s="12">
        <f t="shared" si="318"/>
        <v>0</v>
      </c>
      <c r="E66" s="12">
        <f t="shared" si="318"/>
        <v>0</v>
      </c>
      <c r="F66" s="12">
        <f t="shared" si="318"/>
        <v>0</v>
      </c>
      <c r="G66" s="12">
        <f t="shared" si="318"/>
        <v>0</v>
      </c>
      <c r="H66" s="12">
        <f t="shared" si="318"/>
        <v>0</v>
      </c>
      <c r="I66" s="12">
        <f t="shared" si="319"/>
        <v>0</v>
      </c>
      <c r="J66" s="12">
        <f t="shared" si="319"/>
        <v>0</v>
      </c>
      <c r="M66">
        <f t="shared" si="320"/>
        <v>0</v>
      </c>
      <c r="N66">
        <f t="shared" si="321"/>
        <v>0</v>
      </c>
      <c r="O66">
        <f t="shared" si="322"/>
        <v>0</v>
      </c>
      <c r="P66">
        <f t="shared" si="323"/>
        <v>0</v>
      </c>
      <c r="Q66">
        <f t="shared" si="324"/>
        <v>0</v>
      </c>
      <c r="R66">
        <f t="shared" si="325"/>
        <v>0</v>
      </c>
      <c r="S66">
        <f t="shared" si="326"/>
        <v>0</v>
      </c>
      <c r="U66" t="s">
        <v>1303</v>
      </c>
      <c r="V66">
        <f>_xlfn.XLOOKUP(U66,'KPI Impacts'!$B$2:$H$2,'KPI Impacts'!$B66:$H66)</f>
        <v>0</v>
      </c>
      <c r="Y66" s="12" cm="1">
        <f t="array" ref="Y66">_xlfn.SWITCH(Y$4, 0,0, 1, AJ66,2,AL66,3,AN66,0)</f>
        <v>0</v>
      </c>
      <c r="Z66" s="12" cm="1">
        <f t="array" ref="Z66">_xlfn.SWITCH(Z$4, 0,0, 1, AJ66,2,AL66,3,AN66,0)+Y66</f>
        <v>0</v>
      </c>
      <c r="AA66" s="12" cm="1">
        <f t="array" ref="AA66">_xlfn.SWITCH(AA$4, 0,0, 1, AJ66,2,AL66,3,AN66,0)+Z66</f>
        <v>0</v>
      </c>
      <c r="AB66" s="12" cm="1">
        <f t="array" ref="AB66">_xlfn.SWITCH(AB$4, 0,0, 1, AJ66,2,AL66,3,AN66,0)+AA66</f>
        <v>0</v>
      </c>
      <c r="AC66" s="12" cm="1">
        <f t="array" ref="AC66">_xlfn.SWITCH(AC$4, 0,0, 1, AJ66,2,AL66,3,AN66,0)+AB66</f>
        <v>0</v>
      </c>
      <c r="AD66" s="12" cm="1">
        <f t="array" ref="AD66">_xlfn.SWITCH(AD$4, 0,0, 1, AJ66,2,AL66,3,AN66,0)+AC66</f>
        <v>0</v>
      </c>
      <c r="AE66" s="12" cm="1">
        <f t="array" ref="AE66">_xlfn.SWITCH(AE$4, 0,0, 1, AJ66,2,AL66,3,AN66,0)+AD66</f>
        <v>0</v>
      </c>
      <c r="AF66" s="12" cm="1">
        <f t="array" ref="AF66">_xlfn.SWITCH(AF$4, 0,0, 1, AJ66,2,AL66,3,AN66,0)+AE66</f>
        <v>0</v>
      </c>
      <c r="AG66" s="12" cm="1">
        <f t="array" ref="AG66">_xlfn.SWITCH(AG$4, 0,0, 1, AJ66,2,AL66,3,AN66,0)+AF66</f>
        <v>0</v>
      </c>
      <c r="AI66" t="s">
        <v>1303</v>
      </c>
      <c r="AJ66">
        <f>_xlfn.XLOOKUP(AI66,'KPI Impacts'!$K$2:$Q$2,'KPI Impacts'!$K66:$Q66)</f>
        <v>0</v>
      </c>
      <c r="AK66" t="s">
        <v>1303</v>
      </c>
      <c r="AL66">
        <f>_xlfn.XLOOKUP(AK66,'KPI Impacts'!$K$2:$Q$2,'KPI Impacts'!$K66:$Q66)</f>
        <v>0</v>
      </c>
      <c r="AM66" t="s">
        <v>1303</v>
      </c>
      <c r="AN66">
        <f>_xlfn.XLOOKUP(AM66,'KPI Impacts'!$K$2:$Q$2,'KPI Impacts'!$K66:$Q66)</f>
        <v>0</v>
      </c>
      <c r="AQ66" s="12" cm="1">
        <f t="array" ref="AQ66">_xlfn.SWITCH(AQ$4, 0,0, 1, BB66,2,BD66,3,BF66,0)</f>
        <v>0</v>
      </c>
      <c r="AR66" s="12" cm="1">
        <f t="array" ref="AR66">_xlfn.SWITCH(AR$4, 0,0, 1, BB66,2,BD66,3,BF66,0)+AQ66</f>
        <v>0</v>
      </c>
      <c r="AS66" s="12" cm="1">
        <f t="array" ref="AS66">_xlfn.SWITCH(AS$4, 0,0, 1, BB66,2,BD66,3,BF66,0)+AR66</f>
        <v>0</v>
      </c>
      <c r="AT66" s="12" cm="1">
        <f t="array" ref="AT66">_xlfn.SWITCH(AT$4, 0,0, 1, BB66,2,BD66,3,BF66,0)+AS66</f>
        <v>0</v>
      </c>
      <c r="AU66" s="12" cm="1">
        <f t="array" ref="AU66">_xlfn.SWITCH(AU$4, 0,0, 1, BB66,2,BD66,3,BF66,0)+AT66</f>
        <v>0</v>
      </c>
      <c r="AV66" s="12" cm="1">
        <f t="array" ref="AV66">_xlfn.SWITCH(AV$4, 0,0, 1, BB66,2,BD66,3,BF66,0)+AU66</f>
        <v>0</v>
      </c>
      <c r="AW66" s="12" cm="1">
        <f t="array" ref="AW66">_xlfn.SWITCH(AW$4, 0,0, 1, BB66,2,BD66,3,BF66,0)+AV66</f>
        <v>0</v>
      </c>
      <c r="AX66" s="12" cm="1">
        <f t="array" ref="AX66">_xlfn.SWITCH(AX$4, 0,0, 1, BB66,2,BD66,3,BF66,0)+AW66</f>
        <v>0</v>
      </c>
      <c r="AY66" s="12" cm="1">
        <f t="array" ref="AY66">_xlfn.SWITCH(AY$4, 0,0, 1, BB66,2,BD66,3,BF66,0)+AX66</f>
        <v>0</v>
      </c>
      <c r="BA66" t="s">
        <v>1303</v>
      </c>
      <c r="BB66">
        <f>_xlfn.XLOOKUP(BA66,'KPI Impacts'!$K$2:$Q$2,'KPI Impacts'!$K66:$Q66)</f>
        <v>0</v>
      </c>
      <c r="BC66" t="s">
        <v>1303</v>
      </c>
      <c r="BD66">
        <f>_xlfn.XLOOKUP(BC66,'KPI Impacts'!$K$2:$Q$2,'KPI Impacts'!$K66:$Q66)</f>
        <v>0</v>
      </c>
      <c r="BE66" t="s">
        <v>1303</v>
      </c>
      <c r="BF66">
        <f>_xlfn.XLOOKUP(BE66,'KPI Impacts'!$K$2:$Q$2,'KPI Impacts'!$K66:$Q66)</f>
        <v>0</v>
      </c>
      <c r="BI66" s="12">
        <f t="shared" si="327"/>
        <v>0</v>
      </c>
      <c r="BJ66" s="12">
        <f t="shared" si="328"/>
        <v>0</v>
      </c>
      <c r="BK66" s="12">
        <f t="shared" si="329"/>
        <v>0</v>
      </c>
      <c r="BL66" s="12">
        <f t="shared" si="330"/>
        <v>0</v>
      </c>
      <c r="BM66" s="12">
        <f t="shared" si="331"/>
        <v>0</v>
      </c>
      <c r="BN66" s="12">
        <f t="shared" si="332"/>
        <v>0</v>
      </c>
      <c r="BO66" s="12">
        <f t="shared" si="333"/>
        <v>0</v>
      </c>
      <c r="BP66" s="12">
        <f t="shared" si="334"/>
        <v>0</v>
      </c>
      <c r="BQ66" s="12">
        <f t="shared" si="335"/>
        <v>0</v>
      </c>
      <c r="BS66" s="16" t="s">
        <v>1303</v>
      </c>
      <c r="BT66">
        <f>_xlfn.XLOOKUP(BS66,'KPI Impacts'!$B$2:$H$2,'KPI Impacts'!$B66:$H66)</f>
        <v>0</v>
      </c>
      <c r="BU66" s="35" t="s">
        <v>1303</v>
      </c>
      <c r="BV66">
        <f>_xlfn.XLOOKUP(BU66,'KPI Impacts'!$B$2:$H$2,'KPI Impacts'!$B66:$H66)</f>
        <v>0</v>
      </c>
      <c r="BY66" s="12">
        <f t="shared" si="336"/>
        <v>0</v>
      </c>
      <c r="BZ66" s="12">
        <f t="shared" si="337"/>
        <v>0</v>
      </c>
      <c r="CA66" s="12">
        <f t="shared" si="338"/>
        <v>0</v>
      </c>
      <c r="CB66" s="12">
        <f t="shared" si="339"/>
        <v>0</v>
      </c>
      <c r="CC66" s="12">
        <f t="shared" si="340"/>
        <v>0</v>
      </c>
      <c r="CD66" s="12">
        <f t="shared" si="341"/>
        <v>0</v>
      </c>
      <c r="CE66" s="12">
        <f t="shared" si="342"/>
        <v>0</v>
      </c>
      <c r="CF66" s="12">
        <f t="shared" si="343"/>
        <v>0</v>
      </c>
      <c r="CG66" s="12">
        <f t="shared" si="344"/>
        <v>0</v>
      </c>
      <c r="CI66" s="30" t="s">
        <v>1307</v>
      </c>
      <c r="CJ66">
        <f>_xlfn.XLOOKUP(CI66,'KPI Impacts'!$B$2:$H$2,'KPI Impacts'!$B66:$H66)</f>
        <v>2</v>
      </c>
      <c r="CK66" s="35" t="s">
        <v>1303</v>
      </c>
      <c r="CL66">
        <f>_xlfn.XLOOKUP(CK66,'KPI Impacts'!$B$2:$H$2,'KPI Impacts'!$B66:$H66)</f>
        <v>0</v>
      </c>
      <c r="CO66" s="12">
        <f t="shared" si="345"/>
        <v>0</v>
      </c>
      <c r="CP66" s="12">
        <f t="shared" si="346"/>
        <v>0</v>
      </c>
      <c r="CQ66" s="12">
        <f t="shared" si="347"/>
        <v>0</v>
      </c>
      <c r="CR66" s="12">
        <f t="shared" si="348"/>
        <v>0</v>
      </c>
      <c r="CS66" s="12">
        <f t="shared" si="349"/>
        <v>0</v>
      </c>
      <c r="CT66" s="12">
        <f t="shared" si="350"/>
        <v>0</v>
      </c>
      <c r="CU66" s="12">
        <f t="shared" si="351"/>
        <v>0</v>
      </c>
      <c r="CV66" s="12">
        <f t="shared" si="352"/>
        <v>0</v>
      </c>
      <c r="CW66" s="12">
        <f t="shared" si="353"/>
        <v>0</v>
      </c>
      <c r="CY66" s="16" t="s">
        <v>1303</v>
      </c>
      <c r="CZ66">
        <f>_xlfn.XLOOKUP(CY66,'KPI Impacts'!$B$2:$H$2,'KPI Impacts'!$B66:$H66)</f>
        <v>0</v>
      </c>
      <c r="DA66" s="35" t="s">
        <v>1303</v>
      </c>
      <c r="DB66">
        <f>_xlfn.XLOOKUP(DA66,'KPI Impacts'!$B$2:$H$2,'KPI Impacts'!$B66:$H66)</f>
        <v>0</v>
      </c>
      <c r="DE66" s="12">
        <f t="shared" si="354"/>
        <v>0</v>
      </c>
      <c r="DF66" s="12">
        <f t="shared" si="355"/>
        <v>0</v>
      </c>
      <c r="DG66" s="12">
        <f t="shared" si="356"/>
        <v>0</v>
      </c>
      <c r="DH66" s="12">
        <f t="shared" si="357"/>
        <v>0</v>
      </c>
      <c r="DI66" s="12">
        <f t="shared" si="358"/>
        <v>0</v>
      </c>
      <c r="DJ66" s="12">
        <f t="shared" si="359"/>
        <v>0</v>
      </c>
      <c r="DK66" s="12">
        <f t="shared" si="360"/>
        <v>0</v>
      </c>
      <c r="DL66" s="12">
        <f t="shared" si="361"/>
        <v>0</v>
      </c>
      <c r="DM66" s="12">
        <f t="shared" si="362"/>
        <v>0</v>
      </c>
      <c r="DO66" s="30" t="s">
        <v>1308</v>
      </c>
      <c r="DP66">
        <f>_xlfn.XLOOKUP(DO66,'KPI Impacts'!$B$2:$H$2,'KPI Impacts'!$B66:$H66)</f>
        <v>6</v>
      </c>
      <c r="DQ66" s="35" t="s">
        <v>1303</v>
      </c>
      <c r="DR66">
        <f>_xlfn.XLOOKUP(DQ66,'KPI Impacts'!$B$2:$H$2,'KPI Impacts'!$B66:$H66)</f>
        <v>0</v>
      </c>
      <c r="DU66" s="12">
        <f t="shared" si="363"/>
        <v>0</v>
      </c>
      <c r="DV66" s="12">
        <f t="shared" si="364"/>
        <v>0</v>
      </c>
      <c r="DW66" s="12">
        <f t="shared" si="365"/>
        <v>0</v>
      </c>
      <c r="DX66" s="12">
        <f t="shared" si="366"/>
        <v>0</v>
      </c>
      <c r="DY66" s="12">
        <f t="shared" si="367"/>
        <v>0</v>
      </c>
      <c r="DZ66" s="12">
        <f t="shared" si="368"/>
        <v>0</v>
      </c>
      <c r="EA66" s="12">
        <f t="shared" si="369"/>
        <v>0</v>
      </c>
      <c r="EB66" s="12">
        <f t="shared" si="370"/>
        <v>0</v>
      </c>
      <c r="EC66" s="12">
        <f t="shared" si="371"/>
        <v>0</v>
      </c>
      <c r="EE66" s="16" t="s">
        <v>1303</v>
      </c>
      <c r="EF66">
        <f>_xlfn.XLOOKUP(EE66,'KPI Impacts'!$B$2:$H$2,'KPI Impacts'!$B66:$H66)</f>
        <v>0</v>
      </c>
      <c r="EG66" s="35" t="s">
        <v>1303</v>
      </c>
      <c r="EH66">
        <f>_xlfn.XLOOKUP(EG66,'KPI Impacts'!$B$2:$H$2,'KPI Impacts'!$B66:$H66)</f>
        <v>0</v>
      </c>
      <c r="EK66" s="12">
        <f t="shared" si="372"/>
        <v>0</v>
      </c>
      <c r="EL66" s="12">
        <f t="shared" si="373"/>
        <v>0</v>
      </c>
      <c r="EM66" s="12">
        <f t="shared" si="374"/>
        <v>0</v>
      </c>
      <c r="EN66" s="12">
        <f t="shared" si="375"/>
        <v>0</v>
      </c>
      <c r="EO66" s="12">
        <f t="shared" si="376"/>
        <v>0</v>
      </c>
      <c r="EP66" s="12">
        <f t="shared" si="377"/>
        <v>0</v>
      </c>
      <c r="EQ66" s="12">
        <f t="shared" si="378"/>
        <v>0</v>
      </c>
      <c r="ER66" s="12">
        <f t="shared" si="379"/>
        <v>0</v>
      </c>
      <c r="ES66" s="12">
        <f t="shared" si="380"/>
        <v>0</v>
      </c>
      <c r="EU66" s="29" t="s">
        <v>1304</v>
      </c>
      <c r="EV66">
        <f>_xlfn.XLOOKUP(EU66,'KPI Impacts'!$B$2:$H$2,'KPI Impacts'!$B66:$H66)</f>
        <v>-1.6</v>
      </c>
      <c r="EW66" s="35" t="s">
        <v>1303</v>
      </c>
      <c r="EX66">
        <f>_xlfn.XLOOKUP(EW66,'KPI Impacts'!$B$2:$H$2,'KPI Impacts'!$B66:$H66)</f>
        <v>0</v>
      </c>
      <c r="FA66" s="12">
        <f t="shared" si="381"/>
        <v>0</v>
      </c>
      <c r="FB66" s="12">
        <f t="shared" si="382"/>
        <v>0</v>
      </c>
      <c r="FC66" s="12">
        <f t="shared" si="383"/>
        <v>0</v>
      </c>
      <c r="FD66" s="12">
        <f t="shared" si="384"/>
        <v>0</v>
      </c>
      <c r="FE66" s="12">
        <f t="shared" si="385"/>
        <v>0</v>
      </c>
      <c r="FF66" s="12">
        <f t="shared" si="386"/>
        <v>0</v>
      </c>
      <c r="FG66" s="12">
        <f t="shared" si="387"/>
        <v>0</v>
      </c>
      <c r="FH66" s="12">
        <f t="shared" si="388"/>
        <v>0</v>
      </c>
      <c r="FI66" s="12">
        <f t="shared" si="389"/>
        <v>0</v>
      </c>
      <c r="FK66" s="16" t="s">
        <v>1303</v>
      </c>
      <c r="FL66">
        <f>_xlfn.XLOOKUP(FK66,'KPI Impacts'!$B$2:$H$2,'KPI Impacts'!$B66:$H66)</f>
        <v>0</v>
      </c>
      <c r="FM66" s="16" t="s">
        <v>1303</v>
      </c>
      <c r="FN66">
        <f>_xlfn.XLOOKUP(FM66,'KPI Impacts'!$B$2:$H$2,'KPI Impacts'!$B66:$H66)</f>
        <v>0</v>
      </c>
      <c r="FQ66" s="12">
        <f t="shared" si="390"/>
        <v>0</v>
      </c>
      <c r="FR66" s="12">
        <f t="shared" si="391"/>
        <v>0</v>
      </c>
      <c r="FS66" s="12">
        <f t="shared" si="392"/>
        <v>0</v>
      </c>
      <c r="FT66" s="12">
        <f t="shared" si="393"/>
        <v>0</v>
      </c>
      <c r="FU66" s="12">
        <f t="shared" si="394"/>
        <v>0</v>
      </c>
      <c r="FV66" s="12">
        <f t="shared" si="395"/>
        <v>0</v>
      </c>
      <c r="FW66" s="12">
        <f t="shared" si="396"/>
        <v>0</v>
      </c>
      <c r="FX66" s="12">
        <f t="shared" si="397"/>
        <v>0</v>
      </c>
      <c r="FY66" s="12">
        <f t="shared" si="398"/>
        <v>0</v>
      </c>
      <c r="GA66" s="16" t="s">
        <v>1303</v>
      </c>
      <c r="GB66">
        <f>_xlfn.XLOOKUP(GA66,'KPI Impacts'!$B$2:$H$2,'KPI Impacts'!$B66:$H66)</f>
        <v>0</v>
      </c>
      <c r="GC66" s="9" t="s">
        <v>1303</v>
      </c>
      <c r="GD66">
        <f>_xlfn.XLOOKUP(GC66,'KPI Impacts'!$B$2:$H$2,'KPI Impacts'!$B66:$H66)</f>
        <v>0</v>
      </c>
      <c r="GG66" s="12">
        <f t="shared" si="399"/>
        <v>0</v>
      </c>
      <c r="GH66" s="12">
        <f t="shared" si="400"/>
        <v>0</v>
      </c>
      <c r="GI66" s="12">
        <f t="shared" si="401"/>
        <v>0</v>
      </c>
      <c r="GJ66" s="12">
        <f t="shared" si="402"/>
        <v>0</v>
      </c>
      <c r="GK66" s="12">
        <f t="shared" si="403"/>
        <v>0</v>
      </c>
      <c r="GL66" s="12">
        <f t="shared" si="404"/>
        <v>0</v>
      </c>
      <c r="GM66" s="12">
        <f t="shared" si="405"/>
        <v>0</v>
      </c>
      <c r="GN66" s="12">
        <f t="shared" si="406"/>
        <v>0</v>
      </c>
      <c r="GO66" s="12">
        <f t="shared" si="407"/>
        <v>0</v>
      </c>
      <c r="GQ66" s="16" t="s">
        <v>1303</v>
      </c>
      <c r="GR66">
        <f>_xlfn.XLOOKUP(GQ66,'KPI Impacts'!$B$2:$H$2,'KPI Impacts'!$B66:$H66)</f>
        <v>0</v>
      </c>
      <c r="GS66" s="9" t="s">
        <v>1303</v>
      </c>
      <c r="GT66">
        <f>_xlfn.XLOOKUP(GS66,'KPI Impacts'!$B$2:$H$2,'KPI Impacts'!$B66:$H66)</f>
        <v>0</v>
      </c>
      <c r="GW66" s="12">
        <f t="shared" si="408"/>
        <v>0</v>
      </c>
      <c r="GX66" s="12">
        <f t="shared" si="409"/>
        <v>0</v>
      </c>
      <c r="GY66" s="12">
        <f t="shared" si="410"/>
        <v>0</v>
      </c>
      <c r="GZ66" s="12">
        <f t="shared" si="411"/>
        <v>0</v>
      </c>
      <c r="HA66" s="12">
        <f t="shared" si="412"/>
        <v>0</v>
      </c>
      <c r="HB66" s="12">
        <f t="shared" si="413"/>
        <v>0</v>
      </c>
      <c r="HC66" s="12">
        <f t="shared" si="414"/>
        <v>0</v>
      </c>
      <c r="HD66" s="12">
        <f t="shared" si="415"/>
        <v>0</v>
      </c>
      <c r="HE66" s="12">
        <f t="shared" si="416"/>
        <v>0</v>
      </c>
      <c r="HG66" s="29" t="s">
        <v>1304</v>
      </c>
      <c r="HH66">
        <f>_xlfn.XLOOKUP(HG66,'KPI Impacts'!$B$2:$H$2,'KPI Impacts'!$B66:$H66)</f>
        <v>-1.6</v>
      </c>
      <c r="HI66" s="9" t="s">
        <v>1303</v>
      </c>
      <c r="HJ66">
        <f>_xlfn.XLOOKUP(HI66,'KPI Impacts'!$B$2:$H$2,'KPI Impacts'!$B66:$H66)</f>
        <v>0</v>
      </c>
      <c r="HM66" s="12">
        <f t="shared" si="417"/>
        <v>0</v>
      </c>
      <c r="HN66" s="12">
        <f t="shared" si="418"/>
        <v>0</v>
      </c>
      <c r="HO66" s="12">
        <f t="shared" si="419"/>
        <v>0</v>
      </c>
      <c r="HP66" s="12">
        <f t="shared" si="420"/>
        <v>0</v>
      </c>
      <c r="HQ66" s="12">
        <f t="shared" si="421"/>
        <v>0</v>
      </c>
      <c r="HR66" s="12">
        <f t="shared" si="422"/>
        <v>0</v>
      </c>
      <c r="HS66" s="12">
        <f t="shared" si="423"/>
        <v>0</v>
      </c>
      <c r="HT66" s="12">
        <f t="shared" si="424"/>
        <v>0</v>
      </c>
      <c r="HU66" s="12">
        <f t="shared" si="425"/>
        <v>0</v>
      </c>
      <c r="HW66" s="29" t="s">
        <v>1304</v>
      </c>
      <c r="HX66">
        <f>_xlfn.XLOOKUP(HW66,'KPI Impacts'!$B$2:$H$2,'KPI Impacts'!$B66:$H66)</f>
        <v>-1.6</v>
      </c>
      <c r="HY66" s="9" t="s">
        <v>1303</v>
      </c>
      <c r="HZ66">
        <f>_xlfn.XLOOKUP(HY66,'KPI Impacts'!$B$2:$H$2,'KPI Impacts'!$B66:$H66)</f>
        <v>0</v>
      </c>
      <c r="IC66" s="12">
        <f t="shared" si="426"/>
        <v>0</v>
      </c>
      <c r="ID66" s="12">
        <f t="shared" si="427"/>
        <v>0</v>
      </c>
      <c r="IE66" s="12">
        <f t="shared" si="428"/>
        <v>0</v>
      </c>
      <c r="IF66" s="12">
        <f t="shared" si="429"/>
        <v>0</v>
      </c>
      <c r="IG66" s="12">
        <f t="shared" si="430"/>
        <v>0</v>
      </c>
      <c r="IH66" s="12">
        <f t="shared" si="431"/>
        <v>0</v>
      </c>
      <c r="II66" s="12">
        <f t="shared" si="432"/>
        <v>0</v>
      </c>
      <c r="IJ66" s="12">
        <f t="shared" si="433"/>
        <v>0</v>
      </c>
      <c r="IK66" s="12">
        <f t="shared" si="434"/>
        <v>0</v>
      </c>
      <c r="IM66" s="29" t="s">
        <v>1304</v>
      </c>
      <c r="IN66">
        <f>_xlfn.XLOOKUP(IM66,'KPI Impacts'!$B$2:$H$2,'KPI Impacts'!$B66:$H66)</f>
        <v>-1.6</v>
      </c>
      <c r="IO66" s="9" t="s">
        <v>1303</v>
      </c>
      <c r="IP66">
        <f>_xlfn.XLOOKUP(IO66,'KPI Impacts'!$B$2:$H$2,'KPI Impacts'!$B66:$H66)</f>
        <v>0</v>
      </c>
      <c r="IS66" s="12">
        <f t="shared" si="435"/>
        <v>0</v>
      </c>
      <c r="IT66" s="12">
        <f t="shared" si="436"/>
        <v>0</v>
      </c>
      <c r="IU66" s="12">
        <f t="shared" si="437"/>
        <v>0</v>
      </c>
      <c r="IV66" s="12">
        <f t="shared" si="438"/>
        <v>0</v>
      </c>
      <c r="IW66" s="12">
        <f t="shared" si="439"/>
        <v>0</v>
      </c>
      <c r="IX66" s="12">
        <f t="shared" si="440"/>
        <v>0</v>
      </c>
      <c r="IY66" s="12">
        <f t="shared" si="441"/>
        <v>0</v>
      </c>
      <c r="IZ66" s="12">
        <f t="shared" si="442"/>
        <v>0</v>
      </c>
      <c r="JA66" s="12">
        <f t="shared" si="443"/>
        <v>0</v>
      </c>
      <c r="JC66" t="s">
        <v>1303</v>
      </c>
      <c r="JD66">
        <f>_xlfn.XLOOKUP(JC66,'KPI Impacts'!$B$2:$H$2,'KPI Impacts'!$B66:$H66)</f>
        <v>0</v>
      </c>
      <c r="JE66" s="9" t="s">
        <v>1303</v>
      </c>
      <c r="JF66">
        <f>_xlfn.XLOOKUP(JE66,'KPI Impacts'!$B$2:$H$2,'KPI Impacts'!$B66:$H66)</f>
        <v>0</v>
      </c>
      <c r="JI66" s="12">
        <f t="shared" si="444"/>
        <v>0</v>
      </c>
      <c r="JJ66" s="12">
        <f t="shared" si="445"/>
        <v>0</v>
      </c>
      <c r="JK66" s="12">
        <f t="shared" si="446"/>
        <v>0</v>
      </c>
      <c r="JL66" s="12">
        <f t="shared" si="447"/>
        <v>0</v>
      </c>
      <c r="JM66" s="12">
        <f t="shared" si="448"/>
        <v>0</v>
      </c>
      <c r="JN66" s="12">
        <f t="shared" si="449"/>
        <v>0</v>
      </c>
      <c r="JO66" s="12">
        <f t="shared" si="450"/>
        <v>0</v>
      </c>
      <c r="JP66" s="12">
        <f t="shared" si="451"/>
        <v>0</v>
      </c>
      <c r="JQ66" s="12">
        <f t="shared" si="452"/>
        <v>0</v>
      </c>
      <c r="JS66" t="s">
        <v>1303</v>
      </c>
      <c r="JT66">
        <f>_xlfn.XLOOKUP(JS66,'KPI Impacts'!$B$2:$H$2,'KPI Impacts'!$B66:$H66)</f>
        <v>0</v>
      </c>
      <c r="JU66" s="9" t="s">
        <v>1303</v>
      </c>
      <c r="JV66">
        <f>_xlfn.XLOOKUP(JU66,'KPI Impacts'!$B$2:$H$2,'KPI Impacts'!$B66:$H66)</f>
        <v>0</v>
      </c>
      <c r="JY66" s="12">
        <f t="shared" si="453"/>
        <v>0</v>
      </c>
      <c r="JZ66" s="12">
        <f t="shared" si="454"/>
        <v>0</v>
      </c>
      <c r="KA66" s="12">
        <f t="shared" si="455"/>
        <v>0</v>
      </c>
      <c r="KB66" s="12">
        <f t="shared" si="456"/>
        <v>0</v>
      </c>
      <c r="KC66" s="12">
        <f t="shared" si="457"/>
        <v>0</v>
      </c>
      <c r="KD66" s="12">
        <f t="shared" si="458"/>
        <v>0</v>
      </c>
      <c r="KE66" s="12">
        <f t="shared" si="459"/>
        <v>0</v>
      </c>
      <c r="KF66" s="12">
        <f t="shared" si="460"/>
        <v>0</v>
      </c>
      <c r="KG66" s="12">
        <f t="shared" si="461"/>
        <v>0</v>
      </c>
      <c r="KI66" t="s">
        <v>1303</v>
      </c>
      <c r="KJ66">
        <f>_xlfn.XLOOKUP(KI66,'KPI Impacts'!$B$2:$H$2,'KPI Impacts'!$B66:$H66)</f>
        <v>0</v>
      </c>
      <c r="KK66" s="9" t="s">
        <v>1303</v>
      </c>
      <c r="KL66">
        <f>_xlfn.XLOOKUP(KK66,'KPI Impacts'!$B$2:$H$2,'KPI Impacts'!$B66:$H66)</f>
        <v>0</v>
      </c>
      <c r="KO66" s="12">
        <f t="shared" si="462"/>
        <v>0</v>
      </c>
      <c r="KP66" s="12">
        <f t="shared" si="463"/>
        <v>0</v>
      </c>
      <c r="KQ66" s="12">
        <f t="shared" si="464"/>
        <v>0</v>
      </c>
      <c r="KR66" s="12">
        <f t="shared" si="465"/>
        <v>0</v>
      </c>
      <c r="KS66" s="12">
        <f t="shared" si="466"/>
        <v>0</v>
      </c>
      <c r="KT66" s="12">
        <f t="shared" si="467"/>
        <v>0</v>
      </c>
      <c r="KU66" s="12">
        <f t="shared" si="468"/>
        <v>0</v>
      </c>
      <c r="KV66" s="12">
        <f t="shared" si="469"/>
        <v>0</v>
      </c>
      <c r="KW66" s="12">
        <f t="shared" si="470"/>
        <v>0</v>
      </c>
      <c r="KY66" t="s">
        <v>1303</v>
      </c>
      <c r="KZ66">
        <f>_xlfn.XLOOKUP(KY66,'KPI Impacts'!$B$2:$H$2,'KPI Impacts'!$B66:$H66)</f>
        <v>0</v>
      </c>
      <c r="LA66" s="9" t="s">
        <v>1303</v>
      </c>
      <c r="LB66">
        <f>_xlfn.XLOOKUP(LA66,'KPI Impacts'!$B$2:$H$2,'KPI Impacts'!$B66:$H66)</f>
        <v>0</v>
      </c>
      <c r="LE66" s="12">
        <f t="shared" si="471"/>
        <v>0</v>
      </c>
      <c r="LF66" s="12">
        <f t="shared" si="472"/>
        <v>0</v>
      </c>
      <c r="LG66" s="12">
        <f t="shared" si="473"/>
        <v>0</v>
      </c>
      <c r="LH66" s="12">
        <f t="shared" si="474"/>
        <v>0</v>
      </c>
      <c r="LI66" s="12">
        <f t="shared" si="475"/>
        <v>0</v>
      </c>
      <c r="LJ66" s="12">
        <f t="shared" si="476"/>
        <v>0</v>
      </c>
      <c r="LK66" s="12">
        <f t="shared" si="477"/>
        <v>0</v>
      </c>
      <c r="LL66" s="12">
        <f t="shared" si="478"/>
        <v>0</v>
      </c>
      <c r="LM66" s="12">
        <f t="shared" si="479"/>
        <v>0</v>
      </c>
      <c r="LO66" t="s">
        <v>1303</v>
      </c>
      <c r="LP66">
        <f>_xlfn.XLOOKUP(LO66,'KPI Impacts'!$B$2:$H$2,'KPI Impacts'!$B66:$H66)</f>
        <v>0</v>
      </c>
      <c r="LQ66" s="9" t="s">
        <v>1303</v>
      </c>
      <c r="LR66">
        <f>_xlfn.XLOOKUP(LQ66,'KPI Impacts'!$B$2:$H$2,'KPI Impacts'!$B66:$H66)</f>
        <v>0</v>
      </c>
      <c r="LU66" s="12">
        <f t="shared" si="480"/>
        <v>0</v>
      </c>
      <c r="LV66" s="12">
        <f t="shared" si="481"/>
        <v>0</v>
      </c>
      <c r="LW66" s="12">
        <f t="shared" si="482"/>
        <v>0</v>
      </c>
      <c r="LX66" s="12">
        <f t="shared" si="483"/>
        <v>0</v>
      </c>
      <c r="LY66" s="12">
        <f t="shared" si="484"/>
        <v>0</v>
      </c>
      <c r="LZ66" s="12">
        <f t="shared" si="485"/>
        <v>0</v>
      </c>
      <c r="MA66" s="12">
        <f t="shared" si="486"/>
        <v>0</v>
      </c>
      <c r="MB66" s="12">
        <f t="shared" si="487"/>
        <v>0</v>
      </c>
      <c r="MC66" s="12">
        <f t="shared" si="488"/>
        <v>0</v>
      </c>
      <c r="ME66" t="s">
        <v>1303</v>
      </c>
      <c r="MF66">
        <f>_xlfn.XLOOKUP(ME66,'KPI Impacts'!$B$2:$H$2,'KPI Impacts'!$B66:$H66)</f>
        <v>0</v>
      </c>
      <c r="MG66" s="9" t="s">
        <v>1303</v>
      </c>
      <c r="MH66">
        <f>_xlfn.XLOOKUP(MG66,'KPI Impacts'!$B$2:$H$2,'KPI Impacts'!$B66:$H66)</f>
        <v>0</v>
      </c>
      <c r="MK66" s="12">
        <f t="shared" si="489"/>
        <v>0</v>
      </c>
      <c r="ML66" s="12">
        <f t="shared" si="490"/>
        <v>0</v>
      </c>
      <c r="MM66" s="12">
        <f t="shared" si="491"/>
        <v>0</v>
      </c>
      <c r="MN66" s="12">
        <f t="shared" si="492"/>
        <v>0</v>
      </c>
      <c r="MO66" s="12">
        <f t="shared" si="493"/>
        <v>0</v>
      </c>
      <c r="MP66" s="12">
        <f t="shared" si="494"/>
        <v>0</v>
      </c>
      <c r="MQ66" s="12">
        <f t="shared" si="495"/>
        <v>0</v>
      </c>
      <c r="MR66" s="12">
        <f t="shared" si="496"/>
        <v>0</v>
      </c>
      <c r="MS66" s="12">
        <f t="shared" si="497"/>
        <v>0</v>
      </c>
      <c r="MU66" t="s">
        <v>1303</v>
      </c>
      <c r="MV66">
        <f>_xlfn.XLOOKUP(MU66,'KPI Impacts'!$B$2:$H$2,'KPI Impacts'!$B66:$H66)</f>
        <v>0</v>
      </c>
      <c r="MW66" s="9" t="s">
        <v>1303</v>
      </c>
      <c r="MX66">
        <f>_xlfn.XLOOKUP(MW66,'KPI Impacts'!$B$2:$H$2,'KPI Impacts'!$B66:$H66)</f>
        <v>0</v>
      </c>
      <c r="NA66" s="12">
        <f t="shared" si="498"/>
        <v>0</v>
      </c>
      <c r="NB66" s="12">
        <f t="shared" si="499"/>
        <v>0</v>
      </c>
      <c r="NC66" s="12">
        <f t="shared" si="500"/>
        <v>0</v>
      </c>
      <c r="ND66" s="12">
        <f t="shared" si="501"/>
        <v>0</v>
      </c>
      <c r="NE66" s="12">
        <f t="shared" si="502"/>
        <v>0</v>
      </c>
      <c r="NF66" s="12">
        <f t="shared" si="503"/>
        <v>0</v>
      </c>
      <c r="NG66" s="12">
        <f t="shared" si="504"/>
        <v>0</v>
      </c>
      <c r="NH66" s="12">
        <f t="shared" si="505"/>
        <v>0</v>
      </c>
      <c r="NI66" s="12">
        <f t="shared" si="506"/>
        <v>0</v>
      </c>
      <c r="NK66" t="s">
        <v>1303</v>
      </c>
      <c r="NL66">
        <f>_xlfn.XLOOKUP(NK66,'KPI Impacts'!$B$2:$H$2,'KPI Impacts'!$B66:$H66)</f>
        <v>0</v>
      </c>
      <c r="NM66" s="9" t="s">
        <v>1303</v>
      </c>
      <c r="NN66">
        <f>_xlfn.XLOOKUP(NM66,'KPI Impacts'!$B$2:$H$2,'KPI Impacts'!$B66:$H66)</f>
        <v>0</v>
      </c>
      <c r="NQ66" s="12">
        <f t="shared" si="507"/>
        <v>0</v>
      </c>
      <c r="NR66" s="12">
        <f t="shared" si="508"/>
        <v>0</v>
      </c>
      <c r="NS66" s="12">
        <f t="shared" si="509"/>
        <v>0</v>
      </c>
      <c r="NT66" s="12">
        <f t="shared" si="510"/>
        <v>0</v>
      </c>
      <c r="NU66" s="12">
        <f t="shared" si="511"/>
        <v>0</v>
      </c>
      <c r="NV66" s="12">
        <f t="shared" si="512"/>
        <v>0</v>
      </c>
      <c r="NW66" s="12">
        <f t="shared" si="513"/>
        <v>0</v>
      </c>
      <c r="NX66" s="12">
        <f t="shared" si="514"/>
        <v>0</v>
      </c>
      <c r="NY66" s="12">
        <f t="shared" si="515"/>
        <v>0</v>
      </c>
      <c r="OA66" t="s">
        <v>1303</v>
      </c>
      <c r="OB66">
        <f>_xlfn.XLOOKUP(OA66,'KPI Impacts'!$B$2:$H$2,'KPI Impacts'!$B66:$H66)</f>
        <v>0</v>
      </c>
      <c r="OC66" s="9" t="s">
        <v>1303</v>
      </c>
      <c r="OD66">
        <f>_xlfn.XLOOKUP(OC66,'KPI Impacts'!$B$2:$H$2,'KPI Impacts'!$B66:$H66)</f>
        <v>0</v>
      </c>
      <c r="OG66" s="12">
        <f t="shared" si="516"/>
        <v>0</v>
      </c>
      <c r="OH66" s="12">
        <f t="shared" si="517"/>
        <v>0</v>
      </c>
      <c r="OI66" s="12">
        <f t="shared" si="518"/>
        <v>0</v>
      </c>
      <c r="OJ66" s="12">
        <f t="shared" si="519"/>
        <v>0</v>
      </c>
      <c r="OK66" s="12">
        <f t="shared" si="520"/>
        <v>0</v>
      </c>
      <c r="OL66" s="12">
        <f t="shared" si="521"/>
        <v>0</v>
      </c>
      <c r="OM66" s="12">
        <f t="shared" si="522"/>
        <v>0</v>
      </c>
      <c r="ON66" s="12">
        <f t="shared" si="523"/>
        <v>0</v>
      </c>
      <c r="OO66" s="12">
        <f t="shared" si="524"/>
        <v>0</v>
      </c>
      <c r="OQ66" t="s">
        <v>1303</v>
      </c>
      <c r="OR66">
        <f>_xlfn.XLOOKUP(OQ66,'KPI Impacts'!$B$2:$H$2,'KPI Impacts'!$B66:$H66)</f>
        <v>0</v>
      </c>
      <c r="OS66" s="9" t="s">
        <v>1303</v>
      </c>
      <c r="OT66">
        <f>_xlfn.XLOOKUP(OS66,'KPI Impacts'!$B$2:$H$2,'KPI Impacts'!$B66:$H66)</f>
        <v>0</v>
      </c>
    </row>
    <row r="67" spans="1:410" x14ac:dyDescent="0.2">
      <c r="A67" t="s">
        <v>48</v>
      </c>
      <c r="B67" s="12">
        <f t="shared" si="318"/>
        <v>0</v>
      </c>
      <c r="C67" s="12">
        <f t="shared" si="318"/>
        <v>0</v>
      </c>
      <c r="D67" s="12">
        <f t="shared" si="318"/>
        <v>0</v>
      </c>
      <c r="E67" s="12">
        <f t="shared" si="318"/>
        <v>0</v>
      </c>
      <c r="F67" s="12">
        <f t="shared" si="318"/>
        <v>0</v>
      </c>
      <c r="G67" s="12">
        <f t="shared" si="318"/>
        <v>0</v>
      </c>
      <c r="H67" s="12">
        <f t="shared" si="318"/>
        <v>0</v>
      </c>
      <c r="I67" s="12">
        <f t="shared" si="319"/>
        <v>0</v>
      </c>
      <c r="J67" s="12">
        <f t="shared" si="319"/>
        <v>0</v>
      </c>
      <c r="M67">
        <f t="shared" si="320"/>
        <v>0</v>
      </c>
      <c r="N67">
        <f t="shared" si="321"/>
        <v>0</v>
      </c>
      <c r="O67">
        <f t="shared" si="322"/>
        <v>0</v>
      </c>
      <c r="P67">
        <f t="shared" si="323"/>
        <v>0</v>
      </c>
      <c r="Q67">
        <f t="shared" si="324"/>
        <v>0</v>
      </c>
      <c r="R67">
        <f t="shared" si="325"/>
        <v>0</v>
      </c>
      <c r="S67">
        <f t="shared" si="326"/>
        <v>0</v>
      </c>
      <c r="U67" t="s">
        <v>1307</v>
      </c>
      <c r="V67">
        <f>_xlfn.XLOOKUP(U67,'KPI Impacts'!$B$2:$H$2,'KPI Impacts'!$B67:$H67)</f>
        <v>2</v>
      </c>
      <c r="Y67" s="12" cm="1">
        <f t="array" ref="Y67">_xlfn.SWITCH(Y$4, 0,0, 1, AJ67,2,AL67,3,AN67,0)</f>
        <v>0</v>
      </c>
      <c r="Z67" s="12" cm="1">
        <f t="array" ref="Z67">_xlfn.SWITCH(Z$4, 0,0, 1, AJ67,2,AL67,3,AN67,0)+Y67</f>
        <v>0</v>
      </c>
      <c r="AA67" s="12" cm="1">
        <f t="array" ref="AA67">_xlfn.SWITCH(AA$4, 0,0, 1, AJ67,2,AL67,3,AN67,0)+Z67</f>
        <v>0</v>
      </c>
      <c r="AB67" s="12" cm="1">
        <f t="array" ref="AB67">_xlfn.SWITCH(AB$4, 0,0, 1, AJ67,2,AL67,3,AN67,0)+AA67</f>
        <v>0</v>
      </c>
      <c r="AC67" s="12" cm="1">
        <f t="array" ref="AC67">_xlfn.SWITCH(AC$4, 0,0, 1, AJ67,2,AL67,3,AN67,0)+AB67</f>
        <v>0</v>
      </c>
      <c r="AD67" s="12" cm="1">
        <f t="array" ref="AD67">_xlfn.SWITCH(AD$4, 0,0, 1, AJ67,2,AL67,3,AN67,0)+AC67</f>
        <v>0</v>
      </c>
      <c r="AE67" s="12" cm="1">
        <f t="array" ref="AE67">_xlfn.SWITCH(AE$4, 0,0, 1, AJ67,2,AL67,3,AN67,0)+AD67</f>
        <v>0</v>
      </c>
      <c r="AF67" s="12" cm="1">
        <f t="array" ref="AF67">_xlfn.SWITCH(AF$4, 0,0, 1, AJ67,2,AL67,3,AN67,0)+AE67</f>
        <v>0</v>
      </c>
      <c r="AG67" s="12" cm="1">
        <f t="array" ref="AG67">_xlfn.SWITCH(AG$4, 0,0, 1, AJ67,2,AL67,3,AN67,0)+AF67</f>
        <v>0</v>
      </c>
      <c r="AI67" t="s">
        <v>1303</v>
      </c>
      <c r="AJ67">
        <f>_xlfn.XLOOKUP(AI67,'KPI Impacts'!$K$2:$Q$2,'KPI Impacts'!$K67:$Q67)</f>
        <v>0</v>
      </c>
      <c r="AK67" t="s">
        <v>1303</v>
      </c>
      <c r="AL67">
        <f>_xlfn.XLOOKUP(AK67,'KPI Impacts'!$K$2:$Q$2,'KPI Impacts'!$K67:$Q67)</f>
        <v>0</v>
      </c>
      <c r="AM67" t="s">
        <v>1303</v>
      </c>
      <c r="AN67">
        <f>_xlfn.XLOOKUP(AM67,'KPI Impacts'!$K$2:$Q$2,'KPI Impacts'!$K67:$Q67)</f>
        <v>0</v>
      </c>
      <c r="AQ67" s="12" cm="1">
        <f t="array" ref="AQ67">_xlfn.SWITCH(AQ$4, 0,0, 1, BB67,2,BD67,3,BF67,0)</f>
        <v>0</v>
      </c>
      <c r="AR67" s="12" cm="1">
        <f t="array" ref="AR67">_xlfn.SWITCH(AR$4, 0,0, 1, BB67,2,BD67,3,BF67,0)+AQ67</f>
        <v>0</v>
      </c>
      <c r="AS67" s="12" cm="1">
        <f t="array" ref="AS67">_xlfn.SWITCH(AS$4, 0,0, 1, BB67,2,BD67,3,BF67,0)+AR67</f>
        <v>0</v>
      </c>
      <c r="AT67" s="12" cm="1">
        <f t="array" ref="AT67">_xlfn.SWITCH(AT$4, 0,0, 1, BB67,2,BD67,3,BF67,0)+AS67</f>
        <v>0</v>
      </c>
      <c r="AU67" s="12" cm="1">
        <f t="array" ref="AU67">_xlfn.SWITCH(AU$4, 0,0, 1, BB67,2,BD67,3,BF67,0)+AT67</f>
        <v>0</v>
      </c>
      <c r="AV67" s="12" cm="1">
        <f t="array" ref="AV67">_xlfn.SWITCH(AV$4, 0,0, 1, BB67,2,BD67,3,BF67,0)+AU67</f>
        <v>0</v>
      </c>
      <c r="AW67" s="12" cm="1">
        <f t="array" ref="AW67">_xlfn.SWITCH(AW$4, 0,0, 1, BB67,2,BD67,3,BF67,0)+AV67</f>
        <v>0</v>
      </c>
      <c r="AX67" s="12" cm="1">
        <f t="array" ref="AX67">_xlfn.SWITCH(AX$4, 0,0, 1, BB67,2,BD67,3,BF67,0)+AW67</f>
        <v>0</v>
      </c>
      <c r="AY67" s="12" cm="1">
        <f t="array" ref="AY67">_xlfn.SWITCH(AY$4, 0,0, 1, BB67,2,BD67,3,BF67,0)+AX67</f>
        <v>0</v>
      </c>
      <c r="BA67" t="s">
        <v>1303</v>
      </c>
      <c r="BB67">
        <f>_xlfn.XLOOKUP(BA67,'KPI Impacts'!$K$2:$Q$2,'KPI Impacts'!$K67:$Q67)</f>
        <v>0</v>
      </c>
      <c r="BC67" t="s">
        <v>1303</v>
      </c>
      <c r="BD67">
        <f>_xlfn.XLOOKUP(BC67,'KPI Impacts'!$K$2:$Q$2,'KPI Impacts'!$K67:$Q67)</f>
        <v>0</v>
      </c>
      <c r="BE67" t="s">
        <v>1303</v>
      </c>
      <c r="BF67">
        <f>_xlfn.XLOOKUP(BE67,'KPI Impacts'!$K$2:$Q$2,'KPI Impacts'!$K67:$Q67)</f>
        <v>0</v>
      </c>
      <c r="BI67" s="12">
        <f t="shared" si="327"/>
        <v>0</v>
      </c>
      <c r="BJ67" s="12">
        <f t="shared" si="328"/>
        <v>0</v>
      </c>
      <c r="BK67" s="12">
        <f t="shared" si="329"/>
        <v>0</v>
      </c>
      <c r="BL67" s="12">
        <f t="shared" si="330"/>
        <v>0</v>
      </c>
      <c r="BM67" s="12">
        <f t="shared" si="331"/>
        <v>0</v>
      </c>
      <c r="BN67" s="12">
        <f t="shared" si="332"/>
        <v>0</v>
      </c>
      <c r="BO67" s="12">
        <f t="shared" si="333"/>
        <v>0</v>
      </c>
      <c r="BP67" s="12">
        <f t="shared" si="334"/>
        <v>0</v>
      </c>
      <c r="BQ67" s="12">
        <f t="shared" si="335"/>
        <v>0</v>
      </c>
      <c r="BS67" s="16" t="s">
        <v>1303</v>
      </c>
      <c r="BT67">
        <f>_xlfn.XLOOKUP(BS67,'KPI Impacts'!$B$2:$H$2,'KPI Impacts'!$B67:$H67)</f>
        <v>0</v>
      </c>
      <c r="BU67" s="35" t="s">
        <v>1303</v>
      </c>
      <c r="BV67">
        <f>_xlfn.XLOOKUP(BU67,'KPI Impacts'!$B$2:$H$2,'KPI Impacts'!$B67:$H67)</f>
        <v>0</v>
      </c>
      <c r="BY67" s="12">
        <f t="shared" si="336"/>
        <v>0</v>
      </c>
      <c r="BZ67" s="12">
        <f t="shared" si="337"/>
        <v>0</v>
      </c>
      <c r="CA67" s="12">
        <f t="shared" si="338"/>
        <v>0</v>
      </c>
      <c r="CB67" s="12">
        <f t="shared" si="339"/>
        <v>0</v>
      </c>
      <c r="CC67" s="12">
        <f t="shared" si="340"/>
        <v>0</v>
      </c>
      <c r="CD67" s="12">
        <f t="shared" si="341"/>
        <v>0</v>
      </c>
      <c r="CE67" s="12">
        <f t="shared" si="342"/>
        <v>0</v>
      </c>
      <c r="CF67" s="12">
        <f t="shared" si="343"/>
        <v>0</v>
      </c>
      <c r="CG67" s="12">
        <f t="shared" si="344"/>
        <v>0</v>
      </c>
      <c r="CI67" s="16" t="s">
        <v>1303</v>
      </c>
      <c r="CJ67">
        <f>_xlfn.XLOOKUP(CI67,'KPI Impacts'!$B$2:$H$2,'KPI Impacts'!$B67:$H67)</f>
        <v>0</v>
      </c>
      <c r="CK67" s="35" t="s">
        <v>1303</v>
      </c>
      <c r="CL67">
        <f>_xlfn.XLOOKUP(CK67,'KPI Impacts'!$B$2:$H$2,'KPI Impacts'!$B67:$H67)</f>
        <v>0</v>
      </c>
      <c r="CO67" s="12">
        <f t="shared" si="345"/>
        <v>0</v>
      </c>
      <c r="CP67" s="12">
        <f t="shared" si="346"/>
        <v>0</v>
      </c>
      <c r="CQ67" s="12">
        <f t="shared" si="347"/>
        <v>0</v>
      </c>
      <c r="CR67" s="12">
        <f t="shared" si="348"/>
        <v>0</v>
      </c>
      <c r="CS67" s="12">
        <f t="shared" si="349"/>
        <v>0</v>
      </c>
      <c r="CT67" s="12">
        <f t="shared" si="350"/>
        <v>0</v>
      </c>
      <c r="CU67" s="12">
        <f t="shared" si="351"/>
        <v>0</v>
      </c>
      <c r="CV67" s="12">
        <f t="shared" si="352"/>
        <v>0</v>
      </c>
      <c r="CW67" s="12">
        <f t="shared" si="353"/>
        <v>0</v>
      </c>
      <c r="CY67" s="16" t="s">
        <v>1303</v>
      </c>
      <c r="CZ67">
        <f>_xlfn.XLOOKUP(CY67,'KPI Impacts'!$B$2:$H$2,'KPI Impacts'!$B67:$H67)</f>
        <v>0</v>
      </c>
      <c r="DA67" s="35" t="s">
        <v>1303</v>
      </c>
      <c r="DB67">
        <f>_xlfn.XLOOKUP(DA67,'KPI Impacts'!$B$2:$H$2,'KPI Impacts'!$B67:$H67)</f>
        <v>0</v>
      </c>
      <c r="DE67" s="12">
        <f t="shared" si="354"/>
        <v>0</v>
      </c>
      <c r="DF67" s="12">
        <f t="shared" si="355"/>
        <v>0</v>
      </c>
      <c r="DG67" s="12">
        <f t="shared" si="356"/>
        <v>0</v>
      </c>
      <c r="DH67" s="12">
        <f t="shared" si="357"/>
        <v>0</v>
      </c>
      <c r="DI67" s="12">
        <f t="shared" si="358"/>
        <v>0</v>
      </c>
      <c r="DJ67" s="12">
        <f t="shared" si="359"/>
        <v>0</v>
      </c>
      <c r="DK67" s="12">
        <f t="shared" si="360"/>
        <v>0</v>
      </c>
      <c r="DL67" s="12">
        <f t="shared" si="361"/>
        <v>0</v>
      </c>
      <c r="DM67" s="12">
        <f t="shared" si="362"/>
        <v>0</v>
      </c>
      <c r="DO67" s="30" t="s">
        <v>1309</v>
      </c>
      <c r="DP67">
        <f>_xlfn.XLOOKUP(DO67,'KPI Impacts'!$B$2:$H$2,'KPI Impacts'!$B67:$H67)</f>
        <v>4</v>
      </c>
      <c r="DQ67" s="35" t="s">
        <v>1303</v>
      </c>
      <c r="DR67">
        <f>_xlfn.XLOOKUP(DQ67,'KPI Impacts'!$B$2:$H$2,'KPI Impacts'!$B67:$H67)</f>
        <v>0</v>
      </c>
      <c r="DU67" s="12">
        <f t="shared" si="363"/>
        <v>0</v>
      </c>
      <c r="DV67" s="12">
        <f t="shared" si="364"/>
        <v>0</v>
      </c>
      <c r="DW67" s="12">
        <f t="shared" si="365"/>
        <v>0</v>
      </c>
      <c r="DX67" s="12">
        <f t="shared" si="366"/>
        <v>0</v>
      </c>
      <c r="DY67" s="12">
        <f t="shared" si="367"/>
        <v>0</v>
      </c>
      <c r="DZ67" s="12">
        <f t="shared" si="368"/>
        <v>0</v>
      </c>
      <c r="EA67" s="12">
        <f t="shared" si="369"/>
        <v>0</v>
      </c>
      <c r="EB67" s="12">
        <f t="shared" si="370"/>
        <v>0</v>
      </c>
      <c r="EC67" s="12">
        <f t="shared" si="371"/>
        <v>0</v>
      </c>
      <c r="EE67" s="30" t="s">
        <v>1309</v>
      </c>
      <c r="EF67">
        <f>_xlfn.XLOOKUP(EE67,'KPI Impacts'!$B$2:$H$2,'KPI Impacts'!$B67:$H67)</f>
        <v>4</v>
      </c>
      <c r="EG67" s="35" t="s">
        <v>1303</v>
      </c>
      <c r="EH67">
        <f>_xlfn.XLOOKUP(EG67,'KPI Impacts'!$B$2:$H$2,'KPI Impacts'!$B67:$H67)</f>
        <v>0</v>
      </c>
      <c r="EK67" s="12">
        <f t="shared" si="372"/>
        <v>0</v>
      </c>
      <c r="EL67" s="12">
        <f t="shared" si="373"/>
        <v>0</v>
      </c>
      <c r="EM67" s="12">
        <f t="shared" si="374"/>
        <v>0</v>
      </c>
      <c r="EN67" s="12">
        <f t="shared" si="375"/>
        <v>0</v>
      </c>
      <c r="EO67" s="12">
        <f t="shared" si="376"/>
        <v>0</v>
      </c>
      <c r="EP67" s="12">
        <f t="shared" si="377"/>
        <v>0</v>
      </c>
      <c r="EQ67" s="12">
        <f t="shared" si="378"/>
        <v>0</v>
      </c>
      <c r="ER67" s="12">
        <f t="shared" si="379"/>
        <v>0</v>
      </c>
      <c r="ES67" s="12">
        <f t="shared" si="380"/>
        <v>0</v>
      </c>
      <c r="EU67" s="16" t="s">
        <v>1303</v>
      </c>
      <c r="EV67">
        <f>_xlfn.XLOOKUP(EU67,'KPI Impacts'!$B$2:$H$2,'KPI Impacts'!$B67:$H67)</f>
        <v>0</v>
      </c>
      <c r="EW67" s="35" t="s">
        <v>1303</v>
      </c>
      <c r="EX67">
        <f>_xlfn.XLOOKUP(EW67,'KPI Impacts'!$B$2:$H$2,'KPI Impacts'!$B67:$H67)</f>
        <v>0</v>
      </c>
      <c r="FA67" s="12">
        <f t="shared" si="381"/>
        <v>0</v>
      </c>
      <c r="FB67" s="12">
        <f t="shared" si="382"/>
        <v>0</v>
      </c>
      <c r="FC67" s="12">
        <f t="shared" si="383"/>
        <v>0</v>
      </c>
      <c r="FD67" s="12">
        <f t="shared" si="384"/>
        <v>0</v>
      </c>
      <c r="FE67" s="12">
        <f t="shared" si="385"/>
        <v>0</v>
      </c>
      <c r="FF67" s="12">
        <f t="shared" si="386"/>
        <v>0</v>
      </c>
      <c r="FG67" s="12">
        <f t="shared" si="387"/>
        <v>0</v>
      </c>
      <c r="FH67" s="12">
        <f t="shared" si="388"/>
        <v>0</v>
      </c>
      <c r="FI67" s="12">
        <f t="shared" si="389"/>
        <v>0</v>
      </c>
      <c r="FK67" s="16" t="s">
        <v>1303</v>
      </c>
      <c r="FL67">
        <f>_xlfn.XLOOKUP(FK67,'KPI Impacts'!$B$2:$H$2,'KPI Impacts'!$B67:$H67)</f>
        <v>0</v>
      </c>
      <c r="FM67" s="16" t="s">
        <v>1303</v>
      </c>
      <c r="FN67">
        <f>_xlfn.XLOOKUP(FM67,'KPI Impacts'!$B$2:$H$2,'KPI Impacts'!$B67:$H67)</f>
        <v>0</v>
      </c>
      <c r="FQ67" s="12">
        <f t="shared" si="390"/>
        <v>0</v>
      </c>
      <c r="FR67" s="12">
        <f t="shared" si="391"/>
        <v>0</v>
      </c>
      <c r="FS67" s="12">
        <f t="shared" si="392"/>
        <v>0</v>
      </c>
      <c r="FT67" s="12">
        <f t="shared" si="393"/>
        <v>0</v>
      </c>
      <c r="FU67" s="12">
        <f t="shared" si="394"/>
        <v>0</v>
      </c>
      <c r="FV67" s="12">
        <f t="shared" si="395"/>
        <v>0</v>
      </c>
      <c r="FW67" s="12">
        <f t="shared" si="396"/>
        <v>0</v>
      </c>
      <c r="FX67" s="12">
        <f t="shared" si="397"/>
        <v>0</v>
      </c>
      <c r="FY67" s="12">
        <f t="shared" si="398"/>
        <v>0</v>
      </c>
      <c r="GA67" s="16" t="s">
        <v>1303</v>
      </c>
      <c r="GB67">
        <f>_xlfn.XLOOKUP(GA67,'KPI Impacts'!$B$2:$H$2,'KPI Impacts'!$B67:$H67)</f>
        <v>0</v>
      </c>
      <c r="GC67" s="9" t="s">
        <v>1303</v>
      </c>
      <c r="GD67">
        <f>_xlfn.XLOOKUP(GC67,'KPI Impacts'!$B$2:$H$2,'KPI Impacts'!$B67:$H67)</f>
        <v>0</v>
      </c>
      <c r="GG67" s="12">
        <f t="shared" si="399"/>
        <v>0</v>
      </c>
      <c r="GH67" s="12">
        <f t="shared" si="400"/>
        <v>0</v>
      </c>
      <c r="GI67" s="12">
        <f t="shared" si="401"/>
        <v>0</v>
      </c>
      <c r="GJ67" s="12">
        <f t="shared" si="402"/>
        <v>0</v>
      </c>
      <c r="GK67" s="12">
        <f t="shared" si="403"/>
        <v>0</v>
      </c>
      <c r="GL67" s="12">
        <f t="shared" si="404"/>
        <v>0</v>
      </c>
      <c r="GM67" s="12">
        <f t="shared" si="405"/>
        <v>0</v>
      </c>
      <c r="GN67" s="12">
        <f t="shared" si="406"/>
        <v>0</v>
      </c>
      <c r="GO67" s="12">
        <f t="shared" si="407"/>
        <v>0</v>
      </c>
      <c r="GQ67" s="16" t="s">
        <v>1303</v>
      </c>
      <c r="GR67">
        <f>_xlfn.XLOOKUP(GQ67,'KPI Impacts'!$B$2:$H$2,'KPI Impacts'!$B67:$H67)</f>
        <v>0</v>
      </c>
      <c r="GS67" s="9" t="s">
        <v>1303</v>
      </c>
      <c r="GT67">
        <f>_xlfn.XLOOKUP(GS67,'KPI Impacts'!$B$2:$H$2,'KPI Impacts'!$B67:$H67)</f>
        <v>0</v>
      </c>
      <c r="GW67" s="12">
        <f t="shared" si="408"/>
        <v>0</v>
      </c>
      <c r="GX67" s="12">
        <f t="shared" si="409"/>
        <v>0</v>
      </c>
      <c r="GY67" s="12">
        <f t="shared" si="410"/>
        <v>0</v>
      </c>
      <c r="GZ67" s="12">
        <f t="shared" si="411"/>
        <v>0</v>
      </c>
      <c r="HA67" s="12">
        <f t="shared" si="412"/>
        <v>0</v>
      </c>
      <c r="HB67" s="12">
        <f t="shared" si="413"/>
        <v>0</v>
      </c>
      <c r="HC67" s="12">
        <f t="shared" si="414"/>
        <v>0</v>
      </c>
      <c r="HD67" s="12">
        <f t="shared" si="415"/>
        <v>0</v>
      </c>
      <c r="HE67" s="12">
        <f t="shared" si="416"/>
        <v>0</v>
      </c>
      <c r="HG67" s="16" t="s">
        <v>1303</v>
      </c>
      <c r="HH67">
        <f>_xlfn.XLOOKUP(HG67,'KPI Impacts'!$B$2:$H$2,'KPI Impacts'!$B67:$H67)</f>
        <v>0</v>
      </c>
      <c r="HI67" s="9" t="s">
        <v>1303</v>
      </c>
      <c r="HJ67">
        <f>_xlfn.XLOOKUP(HI67,'KPI Impacts'!$B$2:$H$2,'KPI Impacts'!$B67:$H67)</f>
        <v>0</v>
      </c>
      <c r="HM67" s="12">
        <f t="shared" si="417"/>
        <v>0</v>
      </c>
      <c r="HN67" s="12">
        <f t="shared" si="418"/>
        <v>0</v>
      </c>
      <c r="HO67" s="12">
        <f t="shared" si="419"/>
        <v>0</v>
      </c>
      <c r="HP67" s="12">
        <f t="shared" si="420"/>
        <v>0</v>
      </c>
      <c r="HQ67" s="12">
        <f t="shared" si="421"/>
        <v>0</v>
      </c>
      <c r="HR67" s="12">
        <f t="shared" si="422"/>
        <v>0</v>
      </c>
      <c r="HS67" s="12">
        <f t="shared" si="423"/>
        <v>0</v>
      </c>
      <c r="HT67" s="12">
        <f t="shared" si="424"/>
        <v>0</v>
      </c>
      <c r="HU67" s="12">
        <f t="shared" si="425"/>
        <v>0</v>
      </c>
      <c r="HW67" s="16" t="s">
        <v>1303</v>
      </c>
      <c r="HX67">
        <f>_xlfn.XLOOKUP(HW67,'KPI Impacts'!$B$2:$H$2,'KPI Impacts'!$B67:$H67)</f>
        <v>0</v>
      </c>
      <c r="HY67" s="9" t="s">
        <v>1303</v>
      </c>
      <c r="HZ67">
        <f>_xlfn.XLOOKUP(HY67,'KPI Impacts'!$B$2:$H$2,'KPI Impacts'!$B67:$H67)</f>
        <v>0</v>
      </c>
      <c r="IC67" s="12">
        <f t="shared" si="426"/>
        <v>0</v>
      </c>
      <c r="ID67" s="12">
        <f t="shared" si="427"/>
        <v>0</v>
      </c>
      <c r="IE67" s="12">
        <f t="shared" si="428"/>
        <v>0</v>
      </c>
      <c r="IF67" s="12">
        <f t="shared" si="429"/>
        <v>0</v>
      </c>
      <c r="IG67" s="12">
        <f t="shared" si="430"/>
        <v>0</v>
      </c>
      <c r="IH67" s="12">
        <f t="shared" si="431"/>
        <v>0</v>
      </c>
      <c r="II67" s="12">
        <f t="shared" si="432"/>
        <v>0</v>
      </c>
      <c r="IJ67" s="12">
        <f t="shared" si="433"/>
        <v>0</v>
      </c>
      <c r="IK67" s="12">
        <f t="shared" si="434"/>
        <v>0</v>
      </c>
      <c r="IM67" s="30" t="s">
        <v>1309</v>
      </c>
      <c r="IN67">
        <f>_xlfn.XLOOKUP(IM67,'KPI Impacts'!$B$2:$H$2,'KPI Impacts'!$B67:$H67)</f>
        <v>4</v>
      </c>
      <c r="IO67" s="9" t="s">
        <v>1303</v>
      </c>
      <c r="IP67">
        <f>_xlfn.XLOOKUP(IO67,'KPI Impacts'!$B$2:$H$2,'KPI Impacts'!$B67:$H67)</f>
        <v>0</v>
      </c>
      <c r="IS67" s="12">
        <f t="shared" si="435"/>
        <v>0</v>
      </c>
      <c r="IT67" s="12">
        <f t="shared" si="436"/>
        <v>0</v>
      </c>
      <c r="IU67" s="12">
        <f t="shared" si="437"/>
        <v>0</v>
      </c>
      <c r="IV67" s="12">
        <f t="shared" si="438"/>
        <v>0</v>
      </c>
      <c r="IW67" s="12">
        <f t="shared" si="439"/>
        <v>0</v>
      </c>
      <c r="IX67" s="12">
        <f t="shared" si="440"/>
        <v>0</v>
      </c>
      <c r="IY67" s="12">
        <f t="shared" si="441"/>
        <v>0</v>
      </c>
      <c r="IZ67" s="12">
        <f t="shared" si="442"/>
        <v>0</v>
      </c>
      <c r="JA67" s="12">
        <f t="shared" si="443"/>
        <v>0</v>
      </c>
      <c r="JC67" t="s">
        <v>1303</v>
      </c>
      <c r="JD67">
        <f>_xlfn.XLOOKUP(JC67,'KPI Impacts'!$B$2:$H$2,'KPI Impacts'!$B67:$H67)</f>
        <v>0</v>
      </c>
      <c r="JE67" s="9" t="s">
        <v>1303</v>
      </c>
      <c r="JF67">
        <f>_xlfn.XLOOKUP(JE67,'KPI Impacts'!$B$2:$H$2,'KPI Impacts'!$B67:$H67)</f>
        <v>0</v>
      </c>
      <c r="JI67" s="12">
        <f t="shared" si="444"/>
        <v>0</v>
      </c>
      <c r="JJ67" s="12">
        <f t="shared" si="445"/>
        <v>0</v>
      </c>
      <c r="JK67" s="12">
        <f t="shared" si="446"/>
        <v>0</v>
      </c>
      <c r="JL67" s="12">
        <f t="shared" si="447"/>
        <v>0</v>
      </c>
      <c r="JM67" s="12">
        <f t="shared" si="448"/>
        <v>0</v>
      </c>
      <c r="JN67" s="12">
        <f t="shared" si="449"/>
        <v>0</v>
      </c>
      <c r="JO67" s="12">
        <f t="shared" si="450"/>
        <v>0</v>
      </c>
      <c r="JP67" s="12">
        <f t="shared" si="451"/>
        <v>0</v>
      </c>
      <c r="JQ67" s="12">
        <f t="shared" si="452"/>
        <v>0</v>
      </c>
      <c r="JS67" t="s">
        <v>1303</v>
      </c>
      <c r="JT67">
        <f>_xlfn.XLOOKUP(JS67,'KPI Impacts'!$B$2:$H$2,'KPI Impacts'!$B67:$H67)</f>
        <v>0</v>
      </c>
      <c r="JU67" s="9" t="s">
        <v>1303</v>
      </c>
      <c r="JV67">
        <f>_xlfn.XLOOKUP(JU67,'KPI Impacts'!$B$2:$H$2,'KPI Impacts'!$B67:$H67)</f>
        <v>0</v>
      </c>
      <c r="JY67" s="12">
        <f t="shared" si="453"/>
        <v>0</v>
      </c>
      <c r="JZ67" s="12">
        <f t="shared" si="454"/>
        <v>0</v>
      </c>
      <c r="KA67" s="12">
        <f t="shared" si="455"/>
        <v>0</v>
      </c>
      <c r="KB67" s="12">
        <f t="shared" si="456"/>
        <v>0</v>
      </c>
      <c r="KC67" s="12">
        <f t="shared" si="457"/>
        <v>0</v>
      </c>
      <c r="KD67" s="12">
        <f t="shared" si="458"/>
        <v>0</v>
      </c>
      <c r="KE67" s="12">
        <f t="shared" si="459"/>
        <v>0</v>
      </c>
      <c r="KF67" s="12">
        <f t="shared" si="460"/>
        <v>0</v>
      </c>
      <c r="KG67" s="12">
        <f t="shared" si="461"/>
        <v>0</v>
      </c>
      <c r="KI67" t="s">
        <v>1303</v>
      </c>
      <c r="KJ67">
        <f>_xlfn.XLOOKUP(KI67,'KPI Impacts'!$B$2:$H$2,'KPI Impacts'!$B67:$H67)</f>
        <v>0</v>
      </c>
      <c r="KK67" s="9" t="s">
        <v>1303</v>
      </c>
      <c r="KL67">
        <f>_xlfn.XLOOKUP(KK67,'KPI Impacts'!$B$2:$H$2,'KPI Impacts'!$B67:$H67)</f>
        <v>0</v>
      </c>
      <c r="KO67" s="12">
        <f t="shared" si="462"/>
        <v>0</v>
      </c>
      <c r="KP67" s="12">
        <f t="shared" si="463"/>
        <v>0</v>
      </c>
      <c r="KQ67" s="12">
        <f t="shared" si="464"/>
        <v>0</v>
      </c>
      <c r="KR67" s="12">
        <f t="shared" si="465"/>
        <v>0</v>
      </c>
      <c r="KS67" s="12">
        <f t="shared" si="466"/>
        <v>0</v>
      </c>
      <c r="KT67" s="12">
        <f t="shared" si="467"/>
        <v>0</v>
      </c>
      <c r="KU67" s="12">
        <f t="shared" si="468"/>
        <v>0</v>
      </c>
      <c r="KV67" s="12">
        <f t="shared" si="469"/>
        <v>0</v>
      </c>
      <c r="KW67" s="12">
        <f t="shared" si="470"/>
        <v>0</v>
      </c>
      <c r="KY67" t="s">
        <v>1303</v>
      </c>
      <c r="KZ67">
        <f>_xlfn.XLOOKUP(KY67,'KPI Impacts'!$B$2:$H$2,'KPI Impacts'!$B67:$H67)</f>
        <v>0</v>
      </c>
      <c r="LA67" s="9" t="s">
        <v>1303</v>
      </c>
      <c r="LB67">
        <f>_xlfn.XLOOKUP(LA67,'KPI Impacts'!$B$2:$H$2,'KPI Impacts'!$B67:$H67)</f>
        <v>0</v>
      </c>
      <c r="LE67" s="12">
        <f t="shared" si="471"/>
        <v>0</v>
      </c>
      <c r="LF67" s="12">
        <f t="shared" si="472"/>
        <v>0</v>
      </c>
      <c r="LG67" s="12">
        <f t="shared" si="473"/>
        <v>0</v>
      </c>
      <c r="LH67" s="12">
        <f t="shared" si="474"/>
        <v>0</v>
      </c>
      <c r="LI67" s="12">
        <f t="shared" si="475"/>
        <v>0</v>
      </c>
      <c r="LJ67" s="12">
        <f t="shared" si="476"/>
        <v>0</v>
      </c>
      <c r="LK67" s="12">
        <f t="shared" si="477"/>
        <v>0</v>
      </c>
      <c r="LL67" s="12">
        <f t="shared" si="478"/>
        <v>0</v>
      </c>
      <c r="LM67" s="12">
        <f t="shared" si="479"/>
        <v>0</v>
      </c>
      <c r="LO67" t="s">
        <v>1303</v>
      </c>
      <c r="LP67">
        <f>_xlfn.XLOOKUP(LO67,'KPI Impacts'!$B$2:$H$2,'KPI Impacts'!$B67:$H67)</f>
        <v>0</v>
      </c>
      <c r="LQ67" s="9" t="s">
        <v>1303</v>
      </c>
      <c r="LR67">
        <f>_xlfn.XLOOKUP(LQ67,'KPI Impacts'!$B$2:$H$2,'KPI Impacts'!$B67:$H67)</f>
        <v>0</v>
      </c>
      <c r="LU67" s="12">
        <f t="shared" si="480"/>
        <v>0</v>
      </c>
      <c r="LV67" s="12">
        <f t="shared" si="481"/>
        <v>0</v>
      </c>
      <c r="LW67" s="12">
        <f t="shared" si="482"/>
        <v>0</v>
      </c>
      <c r="LX67" s="12">
        <f t="shared" si="483"/>
        <v>0</v>
      </c>
      <c r="LY67" s="12">
        <f t="shared" si="484"/>
        <v>0</v>
      </c>
      <c r="LZ67" s="12">
        <f t="shared" si="485"/>
        <v>0</v>
      </c>
      <c r="MA67" s="12">
        <f t="shared" si="486"/>
        <v>0</v>
      </c>
      <c r="MB67" s="12">
        <f t="shared" si="487"/>
        <v>0</v>
      </c>
      <c r="MC67" s="12">
        <f t="shared" si="488"/>
        <v>0</v>
      </c>
      <c r="ME67" t="s">
        <v>1303</v>
      </c>
      <c r="MF67">
        <f>_xlfn.XLOOKUP(ME67,'KPI Impacts'!$B$2:$H$2,'KPI Impacts'!$B67:$H67)</f>
        <v>0</v>
      </c>
      <c r="MG67" s="9" t="s">
        <v>1303</v>
      </c>
      <c r="MH67">
        <f>_xlfn.XLOOKUP(MG67,'KPI Impacts'!$B$2:$H$2,'KPI Impacts'!$B67:$H67)</f>
        <v>0</v>
      </c>
      <c r="MK67" s="12">
        <f t="shared" si="489"/>
        <v>0</v>
      </c>
      <c r="ML67" s="12">
        <f t="shared" si="490"/>
        <v>0</v>
      </c>
      <c r="MM67" s="12">
        <f t="shared" si="491"/>
        <v>0</v>
      </c>
      <c r="MN67" s="12">
        <f t="shared" si="492"/>
        <v>0</v>
      </c>
      <c r="MO67" s="12">
        <f t="shared" si="493"/>
        <v>0</v>
      </c>
      <c r="MP67" s="12">
        <f t="shared" si="494"/>
        <v>0</v>
      </c>
      <c r="MQ67" s="12">
        <f t="shared" si="495"/>
        <v>0</v>
      </c>
      <c r="MR67" s="12">
        <f t="shared" si="496"/>
        <v>0</v>
      </c>
      <c r="MS67" s="12">
        <f t="shared" si="497"/>
        <v>0</v>
      </c>
      <c r="MU67" t="s">
        <v>1303</v>
      </c>
      <c r="MV67">
        <f>_xlfn.XLOOKUP(MU67,'KPI Impacts'!$B$2:$H$2,'KPI Impacts'!$B67:$H67)</f>
        <v>0</v>
      </c>
      <c r="MW67" s="9" t="s">
        <v>1303</v>
      </c>
      <c r="MX67">
        <f>_xlfn.XLOOKUP(MW67,'KPI Impacts'!$B$2:$H$2,'KPI Impacts'!$B67:$H67)</f>
        <v>0</v>
      </c>
      <c r="NA67" s="12">
        <f t="shared" si="498"/>
        <v>0</v>
      </c>
      <c r="NB67" s="12">
        <f t="shared" si="499"/>
        <v>0</v>
      </c>
      <c r="NC67" s="12">
        <f t="shared" si="500"/>
        <v>0</v>
      </c>
      <c r="ND67" s="12">
        <f t="shared" si="501"/>
        <v>0</v>
      </c>
      <c r="NE67" s="12">
        <f t="shared" si="502"/>
        <v>0</v>
      </c>
      <c r="NF67" s="12">
        <f t="shared" si="503"/>
        <v>0</v>
      </c>
      <c r="NG67" s="12">
        <f t="shared" si="504"/>
        <v>0</v>
      </c>
      <c r="NH67" s="12">
        <f t="shared" si="505"/>
        <v>0</v>
      </c>
      <c r="NI67" s="12">
        <f t="shared" si="506"/>
        <v>0</v>
      </c>
      <c r="NK67" t="s">
        <v>1303</v>
      </c>
      <c r="NL67">
        <f>_xlfn.XLOOKUP(NK67,'KPI Impacts'!$B$2:$H$2,'KPI Impacts'!$B67:$H67)</f>
        <v>0</v>
      </c>
      <c r="NM67" s="9" t="s">
        <v>1303</v>
      </c>
      <c r="NN67">
        <f>_xlfn.XLOOKUP(NM67,'KPI Impacts'!$B$2:$H$2,'KPI Impacts'!$B67:$H67)</f>
        <v>0</v>
      </c>
      <c r="NQ67" s="12">
        <f t="shared" si="507"/>
        <v>0</v>
      </c>
      <c r="NR67" s="12">
        <f t="shared" si="508"/>
        <v>0</v>
      </c>
      <c r="NS67" s="12">
        <f t="shared" si="509"/>
        <v>0</v>
      </c>
      <c r="NT67" s="12">
        <f t="shared" si="510"/>
        <v>0</v>
      </c>
      <c r="NU67" s="12">
        <f t="shared" si="511"/>
        <v>0</v>
      </c>
      <c r="NV67" s="12">
        <f t="shared" si="512"/>
        <v>0</v>
      </c>
      <c r="NW67" s="12">
        <f t="shared" si="513"/>
        <v>0</v>
      </c>
      <c r="NX67" s="12">
        <f t="shared" si="514"/>
        <v>0</v>
      </c>
      <c r="NY67" s="12">
        <f t="shared" si="515"/>
        <v>0</v>
      </c>
      <c r="OA67" t="s">
        <v>1303</v>
      </c>
      <c r="OB67">
        <f>_xlfn.XLOOKUP(OA67,'KPI Impacts'!$B$2:$H$2,'KPI Impacts'!$B67:$H67)</f>
        <v>0</v>
      </c>
      <c r="OC67" s="9" t="s">
        <v>1303</v>
      </c>
      <c r="OD67">
        <f>_xlfn.XLOOKUP(OC67,'KPI Impacts'!$B$2:$H$2,'KPI Impacts'!$B67:$H67)</f>
        <v>0</v>
      </c>
      <c r="OG67" s="12">
        <f t="shared" si="516"/>
        <v>0</v>
      </c>
      <c r="OH67" s="12">
        <f t="shared" si="517"/>
        <v>0</v>
      </c>
      <c r="OI67" s="12">
        <f t="shared" si="518"/>
        <v>0</v>
      </c>
      <c r="OJ67" s="12">
        <f t="shared" si="519"/>
        <v>0</v>
      </c>
      <c r="OK67" s="12">
        <f t="shared" si="520"/>
        <v>0</v>
      </c>
      <c r="OL67" s="12">
        <f t="shared" si="521"/>
        <v>0</v>
      </c>
      <c r="OM67" s="12">
        <f t="shared" si="522"/>
        <v>0</v>
      </c>
      <c r="ON67" s="12">
        <f t="shared" si="523"/>
        <v>0</v>
      </c>
      <c r="OO67" s="12">
        <f t="shared" si="524"/>
        <v>0</v>
      </c>
      <c r="OQ67" t="s">
        <v>1303</v>
      </c>
      <c r="OR67">
        <f>_xlfn.XLOOKUP(OQ67,'KPI Impacts'!$B$2:$H$2,'KPI Impacts'!$B67:$H67)</f>
        <v>0</v>
      </c>
      <c r="OS67" s="9" t="s">
        <v>1303</v>
      </c>
      <c r="OT67">
        <f>_xlfn.XLOOKUP(OS67,'KPI Impacts'!$B$2:$H$2,'KPI Impacts'!$B67:$H67)</f>
        <v>0</v>
      </c>
    </row>
    <row r="68" spans="1:410" x14ac:dyDescent="0.2">
      <c r="A68" t="s">
        <v>49</v>
      </c>
      <c r="B68" s="12">
        <f t="shared" si="318"/>
        <v>0</v>
      </c>
      <c r="C68" s="12">
        <f t="shared" si="318"/>
        <v>0</v>
      </c>
      <c r="D68" s="12">
        <f t="shared" si="318"/>
        <v>0</v>
      </c>
      <c r="E68" s="12">
        <f t="shared" si="318"/>
        <v>0</v>
      </c>
      <c r="F68" s="12">
        <f t="shared" si="318"/>
        <v>0</v>
      </c>
      <c r="G68" s="12">
        <f t="shared" si="318"/>
        <v>0</v>
      </c>
      <c r="H68" s="12">
        <f t="shared" si="318"/>
        <v>0</v>
      </c>
      <c r="I68" s="12">
        <f t="shared" si="319"/>
        <v>0</v>
      </c>
      <c r="J68" s="12">
        <f t="shared" si="319"/>
        <v>0</v>
      </c>
      <c r="M68">
        <f t="shared" si="320"/>
        <v>0</v>
      </c>
      <c r="N68">
        <f t="shared" si="321"/>
        <v>0</v>
      </c>
      <c r="O68">
        <f t="shared" si="322"/>
        <v>0</v>
      </c>
      <c r="P68">
        <f t="shared" si="323"/>
        <v>0</v>
      </c>
      <c r="Q68">
        <f t="shared" si="324"/>
        <v>0</v>
      </c>
      <c r="R68">
        <f t="shared" si="325"/>
        <v>0</v>
      </c>
      <c r="S68">
        <f t="shared" si="326"/>
        <v>0</v>
      </c>
      <c r="U68" t="s">
        <v>1303</v>
      </c>
      <c r="V68">
        <f>_xlfn.XLOOKUP(U68,'KPI Impacts'!$B$2:$H$2,'KPI Impacts'!$B68:$H68)</f>
        <v>0</v>
      </c>
      <c r="Y68" s="12" cm="1">
        <f t="array" ref="Y68">_xlfn.SWITCH(Y$4, 0,0, 1, AJ68,2,AL68,3,AN68,0)</f>
        <v>0</v>
      </c>
      <c r="Z68" s="12" cm="1">
        <f t="array" ref="Z68">_xlfn.SWITCH(Z$4, 0,0, 1, AJ68,2,AL68,3,AN68,0)+Y68</f>
        <v>0</v>
      </c>
      <c r="AA68" s="12" cm="1">
        <f t="array" ref="AA68">_xlfn.SWITCH(AA$4, 0,0, 1, AJ68,2,AL68,3,AN68,0)+Z68</f>
        <v>0</v>
      </c>
      <c r="AB68" s="12" cm="1">
        <f t="array" ref="AB68">_xlfn.SWITCH(AB$4, 0,0, 1, AJ68,2,AL68,3,AN68,0)+AA68</f>
        <v>0</v>
      </c>
      <c r="AC68" s="12" cm="1">
        <f t="array" ref="AC68">_xlfn.SWITCH(AC$4, 0,0, 1, AJ68,2,AL68,3,AN68,0)+AB68</f>
        <v>0</v>
      </c>
      <c r="AD68" s="12" cm="1">
        <f t="array" ref="AD68">_xlfn.SWITCH(AD$4, 0,0, 1, AJ68,2,AL68,3,AN68,0)+AC68</f>
        <v>0</v>
      </c>
      <c r="AE68" s="12" cm="1">
        <f t="array" ref="AE68">_xlfn.SWITCH(AE$4, 0,0, 1, AJ68,2,AL68,3,AN68,0)+AD68</f>
        <v>0</v>
      </c>
      <c r="AF68" s="12" cm="1">
        <f t="array" ref="AF68">_xlfn.SWITCH(AF$4, 0,0, 1, AJ68,2,AL68,3,AN68,0)+AE68</f>
        <v>0</v>
      </c>
      <c r="AG68" s="12" cm="1">
        <f t="array" ref="AG68">_xlfn.SWITCH(AG$4, 0,0, 1, AJ68,2,AL68,3,AN68,0)+AF68</f>
        <v>0</v>
      </c>
      <c r="AI68" t="s">
        <v>1303</v>
      </c>
      <c r="AJ68">
        <f>_xlfn.XLOOKUP(AI68,'KPI Impacts'!$K$2:$Q$2,'KPI Impacts'!$K68:$Q68)</f>
        <v>0</v>
      </c>
      <c r="AK68" t="s">
        <v>1303</v>
      </c>
      <c r="AL68">
        <f>_xlfn.XLOOKUP(AK68,'KPI Impacts'!$K$2:$Q$2,'KPI Impacts'!$K68:$Q68)</f>
        <v>0</v>
      </c>
      <c r="AM68" t="s">
        <v>1303</v>
      </c>
      <c r="AN68">
        <f>_xlfn.XLOOKUP(AM68,'KPI Impacts'!$K$2:$Q$2,'KPI Impacts'!$K68:$Q68)</f>
        <v>0</v>
      </c>
      <c r="AQ68" s="12" cm="1">
        <f t="array" ref="AQ68">_xlfn.SWITCH(AQ$4, 0,0, 1, BB68,2,BD68,3,BF68,0)</f>
        <v>0</v>
      </c>
      <c r="AR68" s="12" cm="1">
        <f t="array" ref="AR68">_xlfn.SWITCH(AR$4, 0,0, 1, BB68,2,BD68,3,BF68,0)+AQ68</f>
        <v>0</v>
      </c>
      <c r="AS68" s="12" cm="1">
        <f t="array" ref="AS68">_xlfn.SWITCH(AS$4, 0,0, 1, BB68,2,BD68,3,BF68,0)+AR68</f>
        <v>0</v>
      </c>
      <c r="AT68" s="12" cm="1">
        <f t="array" ref="AT68">_xlfn.SWITCH(AT$4, 0,0, 1, BB68,2,BD68,3,BF68,0)+AS68</f>
        <v>0</v>
      </c>
      <c r="AU68" s="12" cm="1">
        <f t="array" ref="AU68">_xlfn.SWITCH(AU$4, 0,0, 1, BB68,2,BD68,3,BF68,0)+AT68</f>
        <v>0</v>
      </c>
      <c r="AV68" s="12" cm="1">
        <f t="array" ref="AV68">_xlfn.SWITCH(AV$4, 0,0, 1, BB68,2,BD68,3,BF68,0)+AU68</f>
        <v>0</v>
      </c>
      <c r="AW68" s="12" cm="1">
        <f t="array" ref="AW68">_xlfn.SWITCH(AW$4, 0,0, 1, BB68,2,BD68,3,BF68,0)+AV68</f>
        <v>0</v>
      </c>
      <c r="AX68" s="12" cm="1">
        <f t="array" ref="AX68">_xlfn.SWITCH(AX$4, 0,0, 1, BB68,2,BD68,3,BF68,0)+AW68</f>
        <v>0</v>
      </c>
      <c r="AY68" s="12" cm="1">
        <f t="array" ref="AY68">_xlfn.SWITCH(AY$4, 0,0, 1, BB68,2,BD68,3,BF68,0)+AX68</f>
        <v>0</v>
      </c>
      <c r="BA68" t="s">
        <v>1303</v>
      </c>
      <c r="BB68">
        <f>_xlfn.XLOOKUP(BA68,'KPI Impacts'!$K$2:$Q$2,'KPI Impacts'!$K68:$Q68)</f>
        <v>0</v>
      </c>
      <c r="BC68" t="s">
        <v>1303</v>
      </c>
      <c r="BD68">
        <f>_xlfn.XLOOKUP(BC68,'KPI Impacts'!$K$2:$Q$2,'KPI Impacts'!$K68:$Q68)</f>
        <v>0</v>
      </c>
      <c r="BE68" t="s">
        <v>1303</v>
      </c>
      <c r="BF68">
        <f>_xlfn.XLOOKUP(BE68,'KPI Impacts'!$K$2:$Q$2,'KPI Impacts'!$K68:$Q68)</f>
        <v>0</v>
      </c>
      <c r="BI68" s="12">
        <f t="shared" si="327"/>
        <v>0</v>
      </c>
      <c r="BJ68" s="12">
        <f t="shared" si="328"/>
        <v>0</v>
      </c>
      <c r="BK68" s="12">
        <f t="shared" si="329"/>
        <v>0</v>
      </c>
      <c r="BL68" s="12">
        <f t="shared" si="330"/>
        <v>0</v>
      </c>
      <c r="BM68" s="12">
        <f t="shared" si="331"/>
        <v>0</v>
      </c>
      <c r="BN68" s="12">
        <f t="shared" si="332"/>
        <v>0</v>
      </c>
      <c r="BO68" s="12">
        <f t="shared" si="333"/>
        <v>0</v>
      </c>
      <c r="BP68" s="12">
        <f t="shared" si="334"/>
        <v>0</v>
      </c>
      <c r="BQ68" s="12">
        <f t="shared" si="335"/>
        <v>0</v>
      </c>
      <c r="BS68" s="30" t="s">
        <v>1307</v>
      </c>
      <c r="BT68">
        <f>_xlfn.XLOOKUP(BS68,'KPI Impacts'!$B$2:$H$2,'KPI Impacts'!$B68:$H68)</f>
        <v>2</v>
      </c>
      <c r="BU68" s="35" t="s">
        <v>1303</v>
      </c>
      <c r="BV68">
        <f>_xlfn.XLOOKUP(BU68,'KPI Impacts'!$B$2:$H$2,'KPI Impacts'!$B68:$H68)</f>
        <v>0</v>
      </c>
      <c r="BY68" s="12">
        <f t="shared" si="336"/>
        <v>0</v>
      </c>
      <c r="BZ68" s="12">
        <f t="shared" si="337"/>
        <v>0</v>
      </c>
      <c r="CA68" s="12">
        <f t="shared" si="338"/>
        <v>0</v>
      </c>
      <c r="CB68" s="12">
        <f t="shared" si="339"/>
        <v>0</v>
      </c>
      <c r="CC68" s="12">
        <f t="shared" si="340"/>
        <v>0</v>
      </c>
      <c r="CD68" s="12">
        <f t="shared" si="341"/>
        <v>0</v>
      </c>
      <c r="CE68" s="12">
        <f t="shared" si="342"/>
        <v>0</v>
      </c>
      <c r="CF68" s="12">
        <f t="shared" si="343"/>
        <v>0</v>
      </c>
      <c r="CG68" s="12">
        <f t="shared" si="344"/>
        <v>0</v>
      </c>
      <c r="CI68" s="16" t="s">
        <v>1303</v>
      </c>
      <c r="CJ68">
        <f>_xlfn.XLOOKUP(CI68,'KPI Impacts'!$B$2:$H$2,'KPI Impacts'!$B68:$H68)</f>
        <v>0</v>
      </c>
      <c r="CK68" s="35" t="s">
        <v>1303</v>
      </c>
      <c r="CL68">
        <f>_xlfn.XLOOKUP(CK68,'KPI Impacts'!$B$2:$H$2,'KPI Impacts'!$B68:$H68)</f>
        <v>0</v>
      </c>
      <c r="CO68" s="12">
        <f t="shared" si="345"/>
        <v>0</v>
      </c>
      <c r="CP68" s="12">
        <f t="shared" si="346"/>
        <v>0</v>
      </c>
      <c r="CQ68" s="12">
        <f t="shared" si="347"/>
        <v>0</v>
      </c>
      <c r="CR68" s="12">
        <f t="shared" si="348"/>
        <v>0</v>
      </c>
      <c r="CS68" s="12">
        <f t="shared" si="349"/>
        <v>0</v>
      </c>
      <c r="CT68" s="12">
        <f t="shared" si="350"/>
        <v>0</v>
      </c>
      <c r="CU68" s="12">
        <f t="shared" si="351"/>
        <v>0</v>
      </c>
      <c r="CV68" s="12">
        <f t="shared" si="352"/>
        <v>0</v>
      </c>
      <c r="CW68" s="12">
        <f t="shared" si="353"/>
        <v>0</v>
      </c>
      <c r="CY68" s="16" t="s">
        <v>1303</v>
      </c>
      <c r="CZ68">
        <f>_xlfn.XLOOKUP(CY68,'KPI Impacts'!$B$2:$H$2,'KPI Impacts'!$B68:$H68)</f>
        <v>0</v>
      </c>
      <c r="DA68" s="35" t="s">
        <v>1303</v>
      </c>
      <c r="DB68">
        <f>_xlfn.XLOOKUP(DA68,'KPI Impacts'!$B$2:$H$2,'KPI Impacts'!$B68:$H68)</f>
        <v>0</v>
      </c>
      <c r="DE68" s="12">
        <f t="shared" si="354"/>
        <v>0</v>
      </c>
      <c r="DF68" s="12">
        <f t="shared" si="355"/>
        <v>0</v>
      </c>
      <c r="DG68" s="12">
        <f t="shared" si="356"/>
        <v>0</v>
      </c>
      <c r="DH68" s="12">
        <f t="shared" si="357"/>
        <v>0</v>
      </c>
      <c r="DI68" s="12">
        <f t="shared" si="358"/>
        <v>0</v>
      </c>
      <c r="DJ68" s="12">
        <f t="shared" si="359"/>
        <v>0</v>
      </c>
      <c r="DK68" s="12">
        <f t="shared" si="360"/>
        <v>0</v>
      </c>
      <c r="DL68" s="12">
        <f t="shared" si="361"/>
        <v>0</v>
      </c>
      <c r="DM68" s="12">
        <f t="shared" si="362"/>
        <v>0</v>
      </c>
      <c r="DO68" s="16" t="s">
        <v>1303</v>
      </c>
      <c r="DP68">
        <f>_xlfn.XLOOKUP(DO68,'KPI Impacts'!$B$2:$H$2,'KPI Impacts'!$B68:$H68)</f>
        <v>0</v>
      </c>
      <c r="DQ68" s="35" t="s">
        <v>1303</v>
      </c>
      <c r="DR68">
        <f>_xlfn.XLOOKUP(DQ68,'KPI Impacts'!$B$2:$H$2,'KPI Impacts'!$B68:$H68)</f>
        <v>0</v>
      </c>
      <c r="DU68" s="12">
        <f t="shared" si="363"/>
        <v>0</v>
      </c>
      <c r="DV68" s="12">
        <f t="shared" si="364"/>
        <v>0</v>
      </c>
      <c r="DW68" s="12">
        <f t="shared" si="365"/>
        <v>0</v>
      </c>
      <c r="DX68" s="12">
        <f t="shared" si="366"/>
        <v>0</v>
      </c>
      <c r="DY68" s="12">
        <f t="shared" si="367"/>
        <v>0</v>
      </c>
      <c r="DZ68" s="12">
        <f t="shared" si="368"/>
        <v>0</v>
      </c>
      <c r="EA68" s="12">
        <f t="shared" si="369"/>
        <v>0</v>
      </c>
      <c r="EB68" s="12">
        <f t="shared" si="370"/>
        <v>0</v>
      </c>
      <c r="EC68" s="12">
        <f t="shared" si="371"/>
        <v>0</v>
      </c>
      <c r="EE68" s="16" t="s">
        <v>1303</v>
      </c>
      <c r="EF68">
        <f>_xlfn.XLOOKUP(EE68,'KPI Impacts'!$B$2:$H$2,'KPI Impacts'!$B68:$H68)</f>
        <v>0</v>
      </c>
      <c r="EG68" s="35" t="s">
        <v>1303</v>
      </c>
      <c r="EH68">
        <f>_xlfn.XLOOKUP(EG68,'KPI Impacts'!$B$2:$H$2,'KPI Impacts'!$B68:$H68)</f>
        <v>0</v>
      </c>
      <c r="EK68" s="12">
        <f t="shared" si="372"/>
        <v>0</v>
      </c>
      <c r="EL68" s="12">
        <f t="shared" si="373"/>
        <v>0</v>
      </c>
      <c r="EM68" s="12">
        <f t="shared" si="374"/>
        <v>0</v>
      </c>
      <c r="EN68" s="12">
        <f t="shared" si="375"/>
        <v>0</v>
      </c>
      <c r="EO68" s="12">
        <f t="shared" si="376"/>
        <v>0</v>
      </c>
      <c r="EP68" s="12">
        <f t="shared" si="377"/>
        <v>0</v>
      </c>
      <c r="EQ68" s="12">
        <f t="shared" si="378"/>
        <v>0</v>
      </c>
      <c r="ER68" s="12">
        <f t="shared" si="379"/>
        <v>0</v>
      </c>
      <c r="ES68" s="12">
        <f t="shared" si="380"/>
        <v>0</v>
      </c>
      <c r="EU68" s="16" t="s">
        <v>1303</v>
      </c>
      <c r="EV68">
        <f>_xlfn.XLOOKUP(EU68,'KPI Impacts'!$B$2:$H$2,'KPI Impacts'!$B68:$H68)</f>
        <v>0</v>
      </c>
      <c r="EW68" s="35" t="s">
        <v>1303</v>
      </c>
      <c r="EX68">
        <f>_xlfn.XLOOKUP(EW68,'KPI Impacts'!$B$2:$H$2,'KPI Impacts'!$B68:$H68)</f>
        <v>0</v>
      </c>
      <c r="FA68" s="12">
        <f t="shared" si="381"/>
        <v>0</v>
      </c>
      <c r="FB68" s="12">
        <f t="shared" si="382"/>
        <v>0</v>
      </c>
      <c r="FC68" s="12">
        <f t="shared" si="383"/>
        <v>0</v>
      </c>
      <c r="FD68" s="12">
        <f t="shared" si="384"/>
        <v>0</v>
      </c>
      <c r="FE68" s="12">
        <f t="shared" si="385"/>
        <v>0</v>
      </c>
      <c r="FF68" s="12">
        <f t="shared" si="386"/>
        <v>0</v>
      </c>
      <c r="FG68" s="12">
        <f t="shared" si="387"/>
        <v>0</v>
      </c>
      <c r="FH68" s="12">
        <f t="shared" si="388"/>
        <v>0</v>
      </c>
      <c r="FI68" s="12">
        <f t="shared" si="389"/>
        <v>0</v>
      </c>
      <c r="FK68" s="16" t="s">
        <v>1303</v>
      </c>
      <c r="FL68">
        <f>_xlfn.XLOOKUP(FK68,'KPI Impacts'!$B$2:$H$2,'KPI Impacts'!$B68:$H68)</f>
        <v>0</v>
      </c>
      <c r="FM68" s="16" t="s">
        <v>1303</v>
      </c>
      <c r="FN68">
        <f>_xlfn.XLOOKUP(FM68,'KPI Impacts'!$B$2:$H$2,'KPI Impacts'!$B68:$H68)</f>
        <v>0</v>
      </c>
      <c r="FQ68" s="12">
        <f t="shared" si="390"/>
        <v>0</v>
      </c>
      <c r="FR68" s="12">
        <f t="shared" si="391"/>
        <v>0</v>
      </c>
      <c r="FS68" s="12">
        <f t="shared" si="392"/>
        <v>0</v>
      </c>
      <c r="FT68" s="12">
        <f t="shared" si="393"/>
        <v>0</v>
      </c>
      <c r="FU68" s="12">
        <f t="shared" si="394"/>
        <v>0</v>
      </c>
      <c r="FV68" s="12">
        <f t="shared" si="395"/>
        <v>0</v>
      </c>
      <c r="FW68" s="12">
        <f t="shared" si="396"/>
        <v>0</v>
      </c>
      <c r="FX68" s="12">
        <f t="shared" si="397"/>
        <v>0</v>
      </c>
      <c r="FY68" s="12">
        <f t="shared" si="398"/>
        <v>0</v>
      </c>
      <c r="GA68" s="16" t="s">
        <v>1303</v>
      </c>
      <c r="GB68">
        <f>_xlfn.XLOOKUP(GA68,'KPI Impacts'!$B$2:$H$2,'KPI Impacts'!$B68:$H68)</f>
        <v>0</v>
      </c>
      <c r="GC68" s="9" t="s">
        <v>1303</v>
      </c>
      <c r="GD68">
        <f>_xlfn.XLOOKUP(GC68,'KPI Impacts'!$B$2:$H$2,'KPI Impacts'!$B68:$H68)</f>
        <v>0</v>
      </c>
      <c r="GG68" s="12">
        <f t="shared" si="399"/>
        <v>0</v>
      </c>
      <c r="GH68" s="12">
        <f t="shared" si="400"/>
        <v>0</v>
      </c>
      <c r="GI68" s="12">
        <f t="shared" si="401"/>
        <v>0</v>
      </c>
      <c r="GJ68" s="12">
        <f t="shared" si="402"/>
        <v>0</v>
      </c>
      <c r="GK68" s="12">
        <f t="shared" si="403"/>
        <v>0</v>
      </c>
      <c r="GL68" s="12">
        <f t="shared" si="404"/>
        <v>0</v>
      </c>
      <c r="GM68" s="12">
        <f t="shared" si="405"/>
        <v>0</v>
      </c>
      <c r="GN68" s="12">
        <f t="shared" si="406"/>
        <v>0</v>
      </c>
      <c r="GO68" s="12">
        <f t="shared" si="407"/>
        <v>0</v>
      </c>
      <c r="GQ68" s="16" t="s">
        <v>1303</v>
      </c>
      <c r="GR68">
        <f>_xlfn.XLOOKUP(GQ68,'KPI Impacts'!$B$2:$H$2,'KPI Impacts'!$B68:$H68)</f>
        <v>0</v>
      </c>
      <c r="GS68" s="9" t="s">
        <v>1303</v>
      </c>
      <c r="GT68">
        <f>_xlfn.XLOOKUP(GS68,'KPI Impacts'!$B$2:$H$2,'KPI Impacts'!$B68:$H68)</f>
        <v>0</v>
      </c>
      <c r="GW68" s="12">
        <f t="shared" si="408"/>
        <v>0</v>
      </c>
      <c r="GX68" s="12">
        <f t="shared" si="409"/>
        <v>0</v>
      </c>
      <c r="GY68" s="12">
        <f t="shared" si="410"/>
        <v>0</v>
      </c>
      <c r="GZ68" s="12">
        <f t="shared" si="411"/>
        <v>0</v>
      </c>
      <c r="HA68" s="12">
        <f t="shared" si="412"/>
        <v>0</v>
      </c>
      <c r="HB68" s="12">
        <f t="shared" si="413"/>
        <v>0</v>
      </c>
      <c r="HC68" s="12">
        <f t="shared" si="414"/>
        <v>0</v>
      </c>
      <c r="HD68" s="12">
        <f t="shared" si="415"/>
        <v>0</v>
      </c>
      <c r="HE68" s="12">
        <f t="shared" si="416"/>
        <v>0</v>
      </c>
      <c r="HG68" s="16" t="s">
        <v>1303</v>
      </c>
      <c r="HH68">
        <f>_xlfn.XLOOKUP(HG68,'KPI Impacts'!$B$2:$H$2,'KPI Impacts'!$B68:$H68)</f>
        <v>0</v>
      </c>
      <c r="HI68" s="9" t="s">
        <v>1303</v>
      </c>
      <c r="HJ68">
        <f>_xlfn.XLOOKUP(HI68,'KPI Impacts'!$B$2:$H$2,'KPI Impacts'!$B68:$H68)</f>
        <v>0</v>
      </c>
      <c r="HM68" s="12">
        <f t="shared" si="417"/>
        <v>0</v>
      </c>
      <c r="HN68" s="12">
        <f t="shared" si="418"/>
        <v>0</v>
      </c>
      <c r="HO68" s="12">
        <f t="shared" si="419"/>
        <v>0</v>
      </c>
      <c r="HP68" s="12">
        <f t="shared" si="420"/>
        <v>0</v>
      </c>
      <c r="HQ68" s="12">
        <f t="shared" si="421"/>
        <v>0</v>
      </c>
      <c r="HR68" s="12">
        <f t="shared" si="422"/>
        <v>0</v>
      </c>
      <c r="HS68" s="12">
        <f t="shared" si="423"/>
        <v>0</v>
      </c>
      <c r="HT68" s="12">
        <f t="shared" si="424"/>
        <v>0</v>
      </c>
      <c r="HU68" s="12">
        <f t="shared" si="425"/>
        <v>0</v>
      </c>
      <c r="HW68" s="16" t="s">
        <v>1303</v>
      </c>
      <c r="HX68">
        <f>_xlfn.XLOOKUP(HW68,'KPI Impacts'!$B$2:$H$2,'KPI Impacts'!$B68:$H68)</f>
        <v>0</v>
      </c>
      <c r="HY68" s="9" t="s">
        <v>1303</v>
      </c>
      <c r="HZ68">
        <f>_xlfn.XLOOKUP(HY68,'KPI Impacts'!$B$2:$H$2,'KPI Impacts'!$B68:$H68)</f>
        <v>0</v>
      </c>
      <c r="IC68" s="12">
        <f t="shared" si="426"/>
        <v>0</v>
      </c>
      <c r="ID68" s="12">
        <f t="shared" si="427"/>
        <v>0</v>
      </c>
      <c r="IE68" s="12">
        <f t="shared" si="428"/>
        <v>0</v>
      </c>
      <c r="IF68" s="12">
        <f t="shared" si="429"/>
        <v>0</v>
      </c>
      <c r="IG68" s="12">
        <f t="shared" si="430"/>
        <v>0</v>
      </c>
      <c r="IH68" s="12">
        <f t="shared" si="431"/>
        <v>0</v>
      </c>
      <c r="II68" s="12">
        <f t="shared" si="432"/>
        <v>0</v>
      </c>
      <c r="IJ68" s="12">
        <f t="shared" si="433"/>
        <v>0</v>
      </c>
      <c r="IK68" s="12">
        <f t="shared" si="434"/>
        <v>0</v>
      </c>
      <c r="IM68" s="16" t="s">
        <v>1303</v>
      </c>
      <c r="IN68">
        <f>_xlfn.XLOOKUP(IM68,'KPI Impacts'!$B$2:$H$2,'KPI Impacts'!$B68:$H68)</f>
        <v>0</v>
      </c>
      <c r="IO68" s="9" t="s">
        <v>1303</v>
      </c>
      <c r="IP68">
        <f>_xlfn.XLOOKUP(IO68,'KPI Impacts'!$B$2:$H$2,'KPI Impacts'!$B68:$H68)</f>
        <v>0</v>
      </c>
      <c r="IS68" s="12">
        <f t="shared" si="435"/>
        <v>0</v>
      </c>
      <c r="IT68" s="12">
        <f t="shared" si="436"/>
        <v>0</v>
      </c>
      <c r="IU68" s="12">
        <f t="shared" si="437"/>
        <v>0</v>
      </c>
      <c r="IV68" s="12">
        <f t="shared" si="438"/>
        <v>0</v>
      </c>
      <c r="IW68" s="12">
        <f t="shared" si="439"/>
        <v>0</v>
      </c>
      <c r="IX68" s="12">
        <f t="shared" si="440"/>
        <v>0</v>
      </c>
      <c r="IY68" s="12">
        <f t="shared" si="441"/>
        <v>0</v>
      </c>
      <c r="IZ68" s="12">
        <f t="shared" si="442"/>
        <v>0</v>
      </c>
      <c r="JA68" s="12">
        <f t="shared" si="443"/>
        <v>0</v>
      </c>
      <c r="JC68" t="s">
        <v>1303</v>
      </c>
      <c r="JD68">
        <f>_xlfn.XLOOKUP(JC68,'KPI Impacts'!$B$2:$H$2,'KPI Impacts'!$B68:$H68)</f>
        <v>0</v>
      </c>
      <c r="JE68" s="9" t="s">
        <v>1303</v>
      </c>
      <c r="JF68">
        <f>_xlfn.XLOOKUP(JE68,'KPI Impacts'!$B$2:$H$2,'KPI Impacts'!$B68:$H68)</f>
        <v>0</v>
      </c>
      <c r="JI68" s="12">
        <f t="shared" si="444"/>
        <v>0</v>
      </c>
      <c r="JJ68" s="12">
        <f t="shared" si="445"/>
        <v>0</v>
      </c>
      <c r="JK68" s="12">
        <f t="shared" si="446"/>
        <v>0</v>
      </c>
      <c r="JL68" s="12">
        <f t="shared" si="447"/>
        <v>0</v>
      </c>
      <c r="JM68" s="12">
        <f t="shared" si="448"/>
        <v>0</v>
      </c>
      <c r="JN68" s="12">
        <f t="shared" si="449"/>
        <v>0</v>
      </c>
      <c r="JO68" s="12">
        <f t="shared" si="450"/>
        <v>0</v>
      </c>
      <c r="JP68" s="12">
        <f t="shared" si="451"/>
        <v>0</v>
      </c>
      <c r="JQ68" s="12">
        <f t="shared" si="452"/>
        <v>0</v>
      </c>
      <c r="JS68" t="s">
        <v>1303</v>
      </c>
      <c r="JT68">
        <f>_xlfn.XLOOKUP(JS68,'KPI Impacts'!$B$2:$H$2,'KPI Impacts'!$B68:$H68)</f>
        <v>0</v>
      </c>
      <c r="JU68" s="9" t="s">
        <v>1303</v>
      </c>
      <c r="JV68">
        <f>_xlfn.XLOOKUP(JU68,'KPI Impacts'!$B$2:$H$2,'KPI Impacts'!$B68:$H68)</f>
        <v>0</v>
      </c>
      <c r="JY68" s="12">
        <f t="shared" si="453"/>
        <v>0</v>
      </c>
      <c r="JZ68" s="12">
        <f t="shared" si="454"/>
        <v>0</v>
      </c>
      <c r="KA68" s="12">
        <f t="shared" si="455"/>
        <v>0</v>
      </c>
      <c r="KB68" s="12">
        <f t="shared" si="456"/>
        <v>0</v>
      </c>
      <c r="KC68" s="12">
        <f t="shared" si="457"/>
        <v>0</v>
      </c>
      <c r="KD68" s="12">
        <f t="shared" si="458"/>
        <v>0</v>
      </c>
      <c r="KE68" s="12">
        <f t="shared" si="459"/>
        <v>0</v>
      </c>
      <c r="KF68" s="12">
        <f t="shared" si="460"/>
        <v>0</v>
      </c>
      <c r="KG68" s="12">
        <f t="shared" si="461"/>
        <v>0</v>
      </c>
      <c r="KI68" t="s">
        <v>1303</v>
      </c>
      <c r="KJ68">
        <f>_xlfn.XLOOKUP(KI68,'KPI Impacts'!$B$2:$H$2,'KPI Impacts'!$B68:$H68)</f>
        <v>0</v>
      </c>
      <c r="KK68" s="9" t="s">
        <v>1303</v>
      </c>
      <c r="KL68">
        <f>_xlfn.XLOOKUP(KK68,'KPI Impacts'!$B$2:$H$2,'KPI Impacts'!$B68:$H68)</f>
        <v>0</v>
      </c>
      <c r="KO68" s="12">
        <f t="shared" si="462"/>
        <v>0</v>
      </c>
      <c r="KP68" s="12">
        <f t="shared" si="463"/>
        <v>0</v>
      </c>
      <c r="KQ68" s="12">
        <f t="shared" si="464"/>
        <v>0</v>
      </c>
      <c r="KR68" s="12">
        <f t="shared" si="465"/>
        <v>0</v>
      </c>
      <c r="KS68" s="12">
        <f t="shared" si="466"/>
        <v>0</v>
      </c>
      <c r="KT68" s="12">
        <f t="shared" si="467"/>
        <v>0</v>
      </c>
      <c r="KU68" s="12">
        <f t="shared" si="468"/>
        <v>0</v>
      </c>
      <c r="KV68" s="12">
        <f t="shared" si="469"/>
        <v>0</v>
      </c>
      <c r="KW68" s="12">
        <f t="shared" si="470"/>
        <v>0</v>
      </c>
      <c r="KY68" t="s">
        <v>1303</v>
      </c>
      <c r="KZ68">
        <f>_xlfn.XLOOKUP(KY68,'KPI Impacts'!$B$2:$H$2,'KPI Impacts'!$B68:$H68)</f>
        <v>0</v>
      </c>
      <c r="LA68" s="9" t="s">
        <v>1303</v>
      </c>
      <c r="LB68">
        <f>_xlfn.XLOOKUP(LA68,'KPI Impacts'!$B$2:$H$2,'KPI Impacts'!$B68:$H68)</f>
        <v>0</v>
      </c>
      <c r="LE68" s="12">
        <f t="shared" si="471"/>
        <v>0</v>
      </c>
      <c r="LF68" s="12">
        <f t="shared" si="472"/>
        <v>0</v>
      </c>
      <c r="LG68" s="12">
        <f t="shared" si="473"/>
        <v>0</v>
      </c>
      <c r="LH68" s="12">
        <f t="shared" si="474"/>
        <v>0</v>
      </c>
      <c r="LI68" s="12">
        <f t="shared" si="475"/>
        <v>0</v>
      </c>
      <c r="LJ68" s="12">
        <f t="shared" si="476"/>
        <v>0</v>
      </c>
      <c r="LK68" s="12">
        <f t="shared" si="477"/>
        <v>0</v>
      </c>
      <c r="LL68" s="12">
        <f t="shared" si="478"/>
        <v>0</v>
      </c>
      <c r="LM68" s="12">
        <f t="shared" si="479"/>
        <v>0</v>
      </c>
      <c r="LO68" t="s">
        <v>1303</v>
      </c>
      <c r="LP68">
        <f>_xlfn.XLOOKUP(LO68,'KPI Impacts'!$B$2:$H$2,'KPI Impacts'!$B68:$H68)</f>
        <v>0</v>
      </c>
      <c r="LQ68" s="9" t="s">
        <v>1303</v>
      </c>
      <c r="LR68">
        <f>_xlfn.XLOOKUP(LQ68,'KPI Impacts'!$B$2:$H$2,'KPI Impacts'!$B68:$H68)</f>
        <v>0</v>
      </c>
      <c r="LU68" s="12">
        <f t="shared" si="480"/>
        <v>0</v>
      </c>
      <c r="LV68" s="12">
        <f t="shared" si="481"/>
        <v>0</v>
      </c>
      <c r="LW68" s="12">
        <f t="shared" si="482"/>
        <v>0</v>
      </c>
      <c r="LX68" s="12">
        <f t="shared" si="483"/>
        <v>0</v>
      </c>
      <c r="LY68" s="12">
        <f t="shared" si="484"/>
        <v>0</v>
      </c>
      <c r="LZ68" s="12">
        <f t="shared" si="485"/>
        <v>0</v>
      </c>
      <c r="MA68" s="12">
        <f t="shared" si="486"/>
        <v>0</v>
      </c>
      <c r="MB68" s="12">
        <f t="shared" si="487"/>
        <v>0</v>
      </c>
      <c r="MC68" s="12">
        <f t="shared" si="488"/>
        <v>0</v>
      </c>
      <c r="ME68" t="s">
        <v>1303</v>
      </c>
      <c r="MF68">
        <f>_xlfn.XLOOKUP(ME68,'KPI Impacts'!$B$2:$H$2,'KPI Impacts'!$B68:$H68)</f>
        <v>0</v>
      </c>
      <c r="MG68" s="9" t="s">
        <v>1303</v>
      </c>
      <c r="MH68">
        <f>_xlfn.XLOOKUP(MG68,'KPI Impacts'!$B$2:$H$2,'KPI Impacts'!$B68:$H68)</f>
        <v>0</v>
      </c>
      <c r="MK68" s="12">
        <f t="shared" si="489"/>
        <v>0</v>
      </c>
      <c r="ML68" s="12">
        <f t="shared" si="490"/>
        <v>0</v>
      </c>
      <c r="MM68" s="12">
        <f t="shared" si="491"/>
        <v>0</v>
      </c>
      <c r="MN68" s="12">
        <f t="shared" si="492"/>
        <v>0</v>
      </c>
      <c r="MO68" s="12">
        <f t="shared" si="493"/>
        <v>0</v>
      </c>
      <c r="MP68" s="12">
        <f t="shared" si="494"/>
        <v>0</v>
      </c>
      <c r="MQ68" s="12">
        <f t="shared" si="495"/>
        <v>0</v>
      </c>
      <c r="MR68" s="12">
        <f t="shared" si="496"/>
        <v>0</v>
      </c>
      <c r="MS68" s="12">
        <f t="shared" si="497"/>
        <v>0</v>
      </c>
      <c r="MU68" t="s">
        <v>1303</v>
      </c>
      <c r="MV68">
        <f>_xlfn.XLOOKUP(MU68,'KPI Impacts'!$B$2:$H$2,'KPI Impacts'!$B68:$H68)</f>
        <v>0</v>
      </c>
      <c r="MW68" s="9" t="s">
        <v>1303</v>
      </c>
      <c r="MX68">
        <f>_xlfn.XLOOKUP(MW68,'KPI Impacts'!$B$2:$H$2,'KPI Impacts'!$B68:$H68)</f>
        <v>0</v>
      </c>
      <c r="NA68" s="12">
        <f t="shared" si="498"/>
        <v>0</v>
      </c>
      <c r="NB68" s="12">
        <f t="shared" si="499"/>
        <v>0</v>
      </c>
      <c r="NC68" s="12">
        <f t="shared" si="500"/>
        <v>0</v>
      </c>
      <c r="ND68" s="12">
        <f t="shared" si="501"/>
        <v>0</v>
      </c>
      <c r="NE68" s="12">
        <f t="shared" si="502"/>
        <v>0</v>
      </c>
      <c r="NF68" s="12">
        <f t="shared" si="503"/>
        <v>0</v>
      </c>
      <c r="NG68" s="12">
        <f t="shared" si="504"/>
        <v>0</v>
      </c>
      <c r="NH68" s="12">
        <f t="shared" si="505"/>
        <v>0</v>
      </c>
      <c r="NI68" s="12">
        <f t="shared" si="506"/>
        <v>0</v>
      </c>
      <c r="NK68" t="s">
        <v>1303</v>
      </c>
      <c r="NL68">
        <f>_xlfn.XLOOKUP(NK68,'KPI Impacts'!$B$2:$H$2,'KPI Impacts'!$B68:$H68)</f>
        <v>0</v>
      </c>
      <c r="NM68" s="9" t="s">
        <v>1303</v>
      </c>
      <c r="NN68">
        <f>_xlfn.XLOOKUP(NM68,'KPI Impacts'!$B$2:$H$2,'KPI Impacts'!$B68:$H68)</f>
        <v>0</v>
      </c>
      <c r="NQ68" s="12">
        <f t="shared" si="507"/>
        <v>0</v>
      </c>
      <c r="NR68" s="12">
        <f t="shared" si="508"/>
        <v>0</v>
      </c>
      <c r="NS68" s="12">
        <f t="shared" si="509"/>
        <v>0</v>
      </c>
      <c r="NT68" s="12">
        <f t="shared" si="510"/>
        <v>0</v>
      </c>
      <c r="NU68" s="12">
        <f t="shared" si="511"/>
        <v>0</v>
      </c>
      <c r="NV68" s="12">
        <f t="shared" si="512"/>
        <v>0</v>
      </c>
      <c r="NW68" s="12">
        <f t="shared" si="513"/>
        <v>0</v>
      </c>
      <c r="NX68" s="12">
        <f t="shared" si="514"/>
        <v>0</v>
      </c>
      <c r="NY68" s="12">
        <f t="shared" si="515"/>
        <v>0</v>
      </c>
      <c r="OA68" t="s">
        <v>1303</v>
      </c>
      <c r="OB68">
        <f>_xlfn.XLOOKUP(OA68,'KPI Impacts'!$B$2:$H$2,'KPI Impacts'!$B68:$H68)</f>
        <v>0</v>
      </c>
      <c r="OC68" s="9" t="s">
        <v>1303</v>
      </c>
      <c r="OD68">
        <f>_xlfn.XLOOKUP(OC68,'KPI Impacts'!$B$2:$H$2,'KPI Impacts'!$B68:$H68)</f>
        <v>0</v>
      </c>
      <c r="OG68" s="12">
        <f t="shared" si="516"/>
        <v>0</v>
      </c>
      <c r="OH68" s="12">
        <f t="shared" si="517"/>
        <v>0</v>
      </c>
      <c r="OI68" s="12">
        <f t="shared" si="518"/>
        <v>0</v>
      </c>
      <c r="OJ68" s="12">
        <f t="shared" si="519"/>
        <v>0</v>
      </c>
      <c r="OK68" s="12">
        <f t="shared" si="520"/>
        <v>0</v>
      </c>
      <c r="OL68" s="12">
        <f t="shared" si="521"/>
        <v>0</v>
      </c>
      <c r="OM68" s="12">
        <f t="shared" si="522"/>
        <v>0</v>
      </c>
      <c r="ON68" s="12">
        <f t="shared" si="523"/>
        <v>0</v>
      </c>
      <c r="OO68" s="12">
        <f t="shared" si="524"/>
        <v>0</v>
      </c>
      <c r="OQ68" t="s">
        <v>1303</v>
      </c>
      <c r="OR68">
        <f>_xlfn.XLOOKUP(OQ68,'KPI Impacts'!$B$2:$H$2,'KPI Impacts'!$B68:$H68)</f>
        <v>0</v>
      </c>
      <c r="OS68" s="9" t="s">
        <v>1303</v>
      </c>
      <c r="OT68">
        <f>_xlfn.XLOOKUP(OS68,'KPI Impacts'!$B$2:$H$2,'KPI Impacts'!$B68:$H68)</f>
        <v>0</v>
      </c>
    </row>
    <row r="69" spans="1:410" x14ac:dyDescent="0.2">
      <c r="A69" t="s">
        <v>50</v>
      </c>
      <c r="B69" s="12">
        <f t="shared" si="318"/>
        <v>0</v>
      </c>
      <c r="C69" s="12">
        <f t="shared" si="318"/>
        <v>0</v>
      </c>
      <c r="D69" s="12">
        <f t="shared" si="318"/>
        <v>0</v>
      </c>
      <c r="E69" s="12">
        <f t="shared" si="318"/>
        <v>0</v>
      </c>
      <c r="F69" s="12">
        <f t="shared" si="318"/>
        <v>0</v>
      </c>
      <c r="G69" s="12">
        <f t="shared" si="318"/>
        <v>0</v>
      </c>
      <c r="H69" s="12">
        <f t="shared" si="318"/>
        <v>0</v>
      </c>
      <c r="I69" s="12">
        <f t="shared" si="319"/>
        <v>0</v>
      </c>
      <c r="J69" s="12">
        <f t="shared" si="319"/>
        <v>0</v>
      </c>
      <c r="M69">
        <f t="shared" si="320"/>
        <v>0</v>
      </c>
      <c r="N69">
        <f t="shared" si="321"/>
        <v>0</v>
      </c>
      <c r="O69">
        <f t="shared" si="322"/>
        <v>0</v>
      </c>
      <c r="P69">
        <f t="shared" si="323"/>
        <v>0</v>
      </c>
      <c r="Q69">
        <f t="shared" si="324"/>
        <v>0</v>
      </c>
      <c r="R69">
        <f t="shared" si="325"/>
        <v>0</v>
      </c>
      <c r="S69">
        <f t="shared" si="326"/>
        <v>0</v>
      </c>
      <c r="U69" t="s">
        <v>1303</v>
      </c>
      <c r="V69">
        <f>_xlfn.XLOOKUP(U69,'KPI Impacts'!$B$2:$H$2,'KPI Impacts'!$B69:$H69)</f>
        <v>0</v>
      </c>
      <c r="Y69" s="12" cm="1">
        <f t="array" ref="Y69">_xlfn.SWITCH(Y$4, 0,0, 1, AJ69,2,AL69,3,AN69,0)</f>
        <v>0</v>
      </c>
      <c r="Z69" s="12" cm="1">
        <f t="array" ref="Z69">_xlfn.SWITCH(Z$4, 0,0, 1, AJ69,2,AL69,3,AN69,0)+Y69</f>
        <v>0</v>
      </c>
      <c r="AA69" s="12" cm="1">
        <f t="array" ref="AA69">_xlfn.SWITCH(AA$4, 0,0, 1, AJ69,2,AL69,3,AN69,0)+Z69</f>
        <v>0</v>
      </c>
      <c r="AB69" s="12" cm="1">
        <f t="array" ref="AB69">_xlfn.SWITCH(AB$4, 0,0, 1, AJ69,2,AL69,3,AN69,0)+AA69</f>
        <v>0</v>
      </c>
      <c r="AC69" s="12" cm="1">
        <f t="array" ref="AC69">_xlfn.SWITCH(AC$4, 0,0, 1, AJ69,2,AL69,3,AN69,0)+AB69</f>
        <v>0</v>
      </c>
      <c r="AD69" s="12" cm="1">
        <f t="array" ref="AD69">_xlfn.SWITCH(AD$4, 0,0, 1, AJ69,2,AL69,3,AN69,0)+AC69</f>
        <v>0</v>
      </c>
      <c r="AE69" s="12" cm="1">
        <f t="array" ref="AE69">_xlfn.SWITCH(AE$4, 0,0, 1, AJ69,2,AL69,3,AN69,0)+AD69</f>
        <v>0</v>
      </c>
      <c r="AF69" s="12" cm="1">
        <f t="array" ref="AF69">_xlfn.SWITCH(AF$4, 0,0, 1, AJ69,2,AL69,3,AN69,0)+AE69</f>
        <v>0</v>
      </c>
      <c r="AG69" s="12" cm="1">
        <f t="array" ref="AG69">_xlfn.SWITCH(AG$4, 0,0, 1, AJ69,2,AL69,3,AN69,0)+AF69</f>
        <v>0</v>
      </c>
      <c r="AI69" t="s">
        <v>1303</v>
      </c>
      <c r="AJ69">
        <f>_xlfn.XLOOKUP(AI69,'KPI Impacts'!$K$2:$Q$2,'KPI Impacts'!$K69:$Q69)</f>
        <v>0</v>
      </c>
      <c r="AK69" t="s">
        <v>1303</v>
      </c>
      <c r="AL69">
        <f>_xlfn.XLOOKUP(AK69,'KPI Impacts'!$K$2:$Q$2,'KPI Impacts'!$K69:$Q69)</f>
        <v>0</v>
      </c>
      <c r="AM69" t="s">
        <v>1303</v>
      </c>
      <c r="AN69">
        <f>_xlfn.XLOOKUP(AM69,'KPI Impacts'!$K$2:$Q$2,'KPI Impacts'!$K69:$Q69)</f>
        <v>0</v>
      </c>
      <c r="AQ69" s="12" cm="1">
        <f t="array" ref="AQ69">_xlfn.SWITCH(AQ$4, 0,0, 1, BB69,2,BD69,3,BF69,0)</f>
        <v>0</v>
      </c>
      <c r="AR69" s="12" cm="1">
        <f t="array" ref="AR69">_xlfn.SWITCH(AR$4, 0,0, 1, BB69,2,BD69,3,BF69,0)+AQ69</f>
        <v>0</v>
      </c>
      <c r="AS69" s="12" cm="1">
        <f t="array" ref="AS69">_xlfn.SWITCH(AS$4, 0,0, 1, BB69,2,BD69,3,BF69,0)+AR69</f>
        <v>0</v>
      </c>
      <c r="AT69" s="12" cm="1">
        <f t="array" ref="AT69">_xlfn.SWITCH(AT$4, 0,0, 1, BB69,2,BD69,3,BF69,0)+AS69</f>
        <v>0</v>
      </c>
      <c r="AU69" s="12" cm="1">
        <f t="array" ref="AU69">_xlfn.SWITCH(AU$4, 0,0, 1, BB69,2,BD69,3,BF69,0)+AT69</f>
        <v>0</v>
      </c>
      <c r="AV69" s="12" cm="1">
        <f t="array" ref="AV69">_xlfn.SWITCH(AV$4, 0,0, 1, BB69,2,BD69,3,BF69,0)+AU69</f>
        <v>0</v>
      </c>
      <c r="AW69" s="12" cm="1">
        <f t="array" ref="AW69">_xlfn.SWITCH(AW$4, 0,0, 1, BB69,2,BD69,3,BF69,0)+AV69</f>
        <v>0</v>
      </c>
      <c r="AX69" s="12" cm="1">
        <f t="array" ref="AX69">_xlfn.SWITCH(AX$4, 0,0, 1, BB69,2,BD69,3,BF69,0)+AW69</f>
        <v>0</v>
      </c>
      <c r="AY69" s="12" cm="1">
        <f t="array" ref="AY69">_xlfn.SWITCH(AY$4, 0,0, 1, BB69,2,BD69,3,BF69,0)+AX69</f>
        <v>0</v>
      </c>
      <c r="BA69" t="s">
        <v>1303</v>
      </c>
      <c r="BB69">
        <f>_xlfn.XLOOKUP(BA69,'KPI Impacts'!$K$2:$Q$2,'KPI Impacts'!$K69:$Q69)</f>
        <v>0</v>
      </c>
      <c r="BC69" t="s">
        <v>1303</v>
      </c>
      <c r="BD69">
        <f>_xlfn.XLOOKUP(BC69,'KPI Impacts'!$K$2:$Q$2,'KPI Impacts'!$K69:$Q69)</f>
        <v>0</v>
      </c>
      <c r="BE69" t="s">
        <v>1303</v>
      </c>
      <c r="BF69">
        <f>_xlfn.XLOOKUP(BE69,'KPI Impacts'!$K$2:$Q$2,'KPI Impacts'!$K69:$Q69)</f>
        <v>0</v>
      </c>
      <c r="BI69" s="12">
        <f t="shared" si="327"/>
        <v>0</v>
      </c>
      <c r="BJ69" s="12">
        <f t="shared" si="328"/>
        <v>0</v>
      </c>
      <c r="BK69" s="12">
        <f t="shared" si="329"/>
        <v>0</v>
      </c>
      <c r="BL69" s="12">
        <f t="shared" si="330"/>
        <v>0</v>
      </c>
      <c r="BM69" s="12">
        <f t="shared" si="331"/>
        <v>0</v>
      </c>
      <c r="BN69" s="12">
        <f t="shared" si="332"/>
        <v>0</v>
      </c>
      <c r="BO69" s="12">
        <f t="shared" si="333"/>
        <v>0</v>
      </c>
      <c r="BP69" s="12">
        <f t="shared" si="334"/>
        <v>0</v>
      </c>
      <c r="BQ69" s="12">
        <f t="shared" si="335"/>
        <v>0</v>
      </c>
      <c r="BS69" s="30" t="s">
        <v>1309</v>
      </c>
      <c r="BT69">
        <f>_xlfn.XLOOKUP(BS69,'KPI Impacts'!$B$2:$H$2,'KPI Impacts'!$B69:$H69)</f>
        <v>4</v>
      </c>
      <c r="BU69" s="35" t="s">
        <v>1303</v>
      </c>
      <c r="BV69">
        <f>_xlfn.XLOOKUP(BU69,'KPI Impacts'!$B$2:$H$2,'KPI Impacts'!$B69:$H69)</f>
        <v>0</v>
      </c>
      <c r="BY69" s="12">
        <f t="shared" si="336"/>
        <v>0</v>
      </c>
      <c r="BZ69" s="12">
        <f t="shared" si="337"/>
        <v>0</v>
      </c>
      <c r="CA69" s="12">
        <f t="shared" si="338"/>
        <v>0</v>
      </c>
      <c r="CB69" s="12">
        <f t="shared" si="339"/>
        <v>0</v>
      </c>
      <c r="CC69" s="12">
        <f t="shared" si="340"/>
        <v>0</v>
      </c>
      <c r="CD69" s="12">
        <f t="shared" si="341"/>
        <v>0</v>
      </c>
      <c r="CE69" s="12">
        <f t="shared" si="342"/>
        <v>0</v>
      </c>
      <c r="CF69" s="12">
        <f t="shared" si="343"/>
        <v>0</v>
      </c>
      <c r="CG69" s="12">
        <f t="shared" si="344"/>
        <v>0</v>
      </c>
      <c r="CI69" s="30" t="s">
        <v>1307</v>
      </c>
      <c r="CJ69">
        <f>_xlfn.XLOOKUP(CI69,'KPI Impacts'!$B$2:$H$2,'KPI Impacts'!$B69:$H69)</f>
        <v>2</v>
      </c>
      <c r="CK69" s="35" t="s">
        <v>1303</v>
      </c>
      <c r="CL69">
        <f>_xlfn.XLOOKUP(CK69,'KPI Impacts'!$B$2:$H$2,'KPI Impacts'!$B69:$H69)</f>
        <v>0</v>
      </c>
      <c r="CO69" s="12">
        <f t="shared" si="345"/>
        <v>0</v>
      </c>
      <c r="CP69" s="12">
        <f t="shared" si="346"/>
        <v>0</v>
      </c>
      <c r="CQ69" s="12">
        <f t="shared" si="347"/>
        <v>0</v>
      </c>
      <c r="CR69" s="12">
        <f t="shared" si="348"/>
        <v>0</v>
      </c>
      <c r="CS69" s="12">
        <f t="shared" si="349"/>
        <v>0</v>
      </c>
      <c r="CT69" s="12">
        <f t="shared" si="350"/>
        <v>0</v>
      </c>
      <c r="CU69" s="12">
        <f t="shared" si="351"/>
        <v>0</v>
      </c>
      <c r="CV69" s="12">
        <f t="shared" si="352"/>
        <v>0</v>
      </c>
      <c r="CW69" s="12">
        <f t="shared" si="353"/>
        <v>0</v>
      </c>
      <c r="CY69" s="16" t="s">
        <v>1303</v>
      </c>
      <c r="CZ69">
        <f>_xlfn.XLOOKUP(CY69,'KPI Impacts'!$B$2:$H$2,'KPI Impacts'!$B69:$H69)</f>
        <v>0</v>
      </c>
      <c r="DA69" s="35" t="s">
        <v>1303</v>
      </c>
      <c r="DB69">
        <f>_xlfn.XLOOKUP(DA69,'KPI Impacts'!$B$2:$H$2,'KPI Impacts'!$B69:$H69)</f>
        <v>0</v>
      </c>
      <c r="DE69" s="12">
        <f t="shared" si="354"/>
        <v>0</v>
      </c>
      <c r="DF69" s="12">
        <f t="shared" si="355"/>
        <v>0</v>
      </c>
      <c r="DG69" s="12">
        <f t="shared" si="356"/>
        <v>0</v>
      </c>
      <c r="DH69" s="12">
        <f t="shared" si="357"/>
        <v>0</v>
      </c>
      <c r="DI69" s="12">
        <f t="shared" si="358"/>
        <v>0</v>
      </c>
      <c r="DJ69" s="12">
        <f t="shared" si="359"/>
        <v>0</v>
      </c>
      <c r="DK69" s="12">
        <f t="shared" si="360"/>
        <v>0</v>
      </c>
      <c r="DL69" s="12">
        <f t="shared" si="361"/>
        <v>0</v>
      </c>
      <c r="DM69" s="12">
        <f t="shared" si="362"/>
        <v>0</v>
      </c>
      <c r="DO69" s="30" t="s">
        <v>1309</v>
      </c>
      <c r="DP69">
        <f>_xlfn.XLOOKUP(DO69,'KPI Impacts'!$B$2:$H$2,'KPI Impacts'!$B69:$H69)</f>
        <v>4</v>
      </c>
      <c r="DQ69" s="35" t="s">
        <v>1303</v>
      </c>
      <c r="DR69">
        <f>_xlfn.XLOOKUP(DQ69,'KPI Impacts'!$B$2:$H$2,'KPI Impacts'!$B69:$H69)</f>
        <v>0</v>
      </c>
      <c r="DU69" s="12">
        <f t="shared" si="363"/>
        <v>0</v>
      </c>
      <c r="DV69" s="12">
        <f t="shared" si="364"/>
        <v>0</v>
      </c>
      <c r="DW69" s="12">
        <f t="shared" si="365"/>
        <v>0</v>
      </c>
      <c r="DX69" s="12">
        <f t="shared" si="366"/>
        <v>0</v>
      </c>
      <c r="DY69" s="12">
        <f t="shared" si="367"/>
        <v>0</v>
      </c>
      <c r="DZ69" s="12">
        <f t="shared" si="368"/>
        <v>0</v>
      </c>
      <c r="EA69" s="12">
        <f t="shared" si="369"/>
        <v>0</v>
      </c>
      <c r="EB69" s="12">
        <f t="shared" si="370"/>
        <v>0</v>
      </c>
      <c r="EC69" s="12">
        <f t="shared" si="371"/>
        <v>0</v>
      </c>
      <c r="EE69" s="30" t="s">
        <v>1307</v>
      </c>
      <c r="EF69">
        <f>_xlfn.XLOOKUP(EE69,'KPI Impacts'!$B$2:$H$2,'KPI Impacts'!$B69:$H69)</f>
        <v>2</v>
      </c>
      <c r="EG69" s="35" t="s">
        <v>1303</v>
      </c>
      <c r="EH69">
        <f>_xlfn.XLOOKUP(EG69,'KPI Impacts'!$B$2:$H$2,'KPI Impacts'!$B69:$H69)</f>
        <v>0</v>
      </c>
      <c r="EK69" s="12">
        <f t="shared" si="372"/>
        <v>0</v>
      </c>
      <c r="EL69" s="12">
        <f t="shared" si="373"/>
        <v>0</v>
      </c>
      <c r="EM69" s="12">
        <f t="shared" si="374"/>
        <v>0</v>
      </c>
      <c r="EN69" s="12">
        <f t="shared" si="375"/>
        <v>0</v>
      </c>
      <c r="EO69" s="12">
        <f t="shared" si="376"/>
        <v>0</v>
      </c>
      <c r="EP69" s="12">
        <f t="shared" si="377"/>
        <v>0</v>
      </c>
      <c r="EQ69" s="12">
        <f t="shared" si="378"/>
        <v>0</v>
      </c>
      <c r="ER69" s="12">
        <f t="shared" si="379"/>
        <v>0</v>
      </c>
      <c r="ES69" s="12">
        <f t="shared" si="380"/>
        <v>0</v>
      </c>
      <c r="EU69" s="16" t="s">
        <v>1303</v>
      </c>
      <c r="EV69">
        <f>_xlfn.XLOOKUP(EU69,'KPI Impacts'!$B$2:$H$2,'KPI Impacts'!$B69:$H69)</f>
        <v>0</v>
      </c>
      <c r="EW69" s="35" t="s">
        <v>1303</v>
      </c>
      <c r="EX69">
        <f>_xlfn.XLOOKUP(EW69,'KPI Impacts'!$B$2:$H$2,'KPI Impacts'!$B69:$H69)</f>
        <v>0</v>
      </c>
      <c r="FA69" s="12">
        <f t="shared" si="381"/>
        <v>0</v>
      </c>
      <c r="FB69" s="12">
        <f t="shared" si="382"/>
        <v>0</v>
      </c>
      <c r="FC69" s="12">
        <f t="shared" si="383"/>
        <v>0</v>
      </c>
      <c r="FD69" s="12">
        <f t="shared" si="384"/>
        <v>0</v>
      </c>
      <c r="FE69" s="12">
        <f t="shared" si="385"/>
        <v>0</v>
      </c>
      <c r="FF69" s="12">
        <f t="shared" si="386"/>
        <v>0</v>
      </c>
      <c r="FG69" s="12">
        <f t="shared" si="387"/>
        <v>0</v>
      </c>
      <c r="FH69" s="12">
        <f t="shared" si="388"/>
        <v>0</v>
      </c>
      <c r="FI69" s="12">
        <f t="shared" si="389"/>
        <v>0</v>
      </c>
      <c r="FK69" s="16" t="s">
        <v>1303</v>
      </c>
      <c r="FL69">
        <f>_xlfn.XLOOKUP(FK69,'KPI Impacts'!$B$2:$H$2,'KPI Impacts'!$B69:$H69)</f>
        <v>0</v>
      </c>
      <c r="FM69" s="16" t="s">
        <v>1303</v>
      </c>
      <c r="FN69">
        <f>_xlfn.XLOOKUP(FM69,'KPI Impacts'!$B$2:$H$2,'KPI Impacts'!$B69:$H69)</f>
        <v>0</v>
      </c>
      <c r="FQ69" s="12">
        <f t="shared" si="390"/>
        <v>0</v>
      </c>
      <c r="FR69" s="12">
        <f t="shared" si="391"/>
        <v>0</v>
      </c>
      <c r="FS69" s="12">
        <f t="shared" si="392"/>
        <v>0</v>
      </c>
      <c r="FT69" s="12">
        <f t="shared" si="393"/>
        <v>0</v>
      </c>
      <c r="FU69" s="12">
        <f t="shared" si="394"/>
        <v>0</v>
      </c>
      <c r="FV69" s="12">
        <f t="shared" si="395"/>
        <v>0</v>
      </c>
      <c r="FW69" s="12">
        <f t="shared" si="396"/>
        <v>0</v>
      </c>
      <c r="FX69" s="12">
        <f t="shared" si="397"/>
        <v>0</v>
      </c>
      <c r="FY69" s="12">
        <f t="shared" si="398"/>
        <v>0</v>
      </c>
      <c r="GA69" s="16" t="s">
        <v>1303</v>
      </c>
      <c r="GB69">
        <f>_xlfn.XLOOKUP(GA69,'KPI Impacts'!$B$2:$H$2,'KPI Impacts'!$B69:$H69)</f>
        <v>0</v>
      </c>
      <c r="GC69" s="9" t="s">
        <v>1303</v>
      </c>
      <c r="GD69">
        <f>_xlfn.XLOOKUP(GC69,'KPI Impacts'!$B$2:$H$2,'KPI Impacts'!$B69:$H69)</f>
        <v>0</v>
      </c>
      <c r="GG69" s="12">
        <f t="shared" si="399"/>
        <v>0</v>
      </c>
      <c r="GH69" s="12">
        <f t="shared" si="400"/>
        <v>0</v>
      </c>
      <c r="GI69" s="12">
        <f t="shared" si="401"/>
        <v>0</v>
      </c>
      <c r="GJ69" s="12">
        <f t="shared" si="402"/>
        <v>0</v>
      </c>
      <c r="GK69" s="12">
        <f t="shared" si="403"/>
        <v>0</v>
      </c>
      <c r="GL69" s="12">
        <f t="shared" si="404"/>
        <v>0</v>
      </c>
      <c r="GM69" s="12">
        <f t="shared" si="405"/>
        <v>0</v>
      </c>
      <c r="GN69" s="12">
        <f t="shared" si="406"/>
        <v>0</v>
      </c>
      <c r="GO69" s="12">
        <f t="shared" si="407"/>
        <v>0</v>
      </c>
      <c r="GQ69" s="30" t="s">
        <v>1309</v>
      </c>
      <c r="GR69">
        <f>_xlfn.XLOOKUP(GQ69,'KPI Impacts'!$B$2:$H$2,'KPI Impacts'!$B69:$H69)</f>
        <v>4</v>
      </c>
      <c r="GS69" s="9" t="s">
        <v>1303</v>
      </c>
      <c r="GT69">
        <f>_xlfn.XLOOKUP(GS69,'KPI Impacts'!$B$2:$H$2,'KPI Impacts'!$B69:$H69)</f>
        <v>0</v>
      </c>
      <c r="GW69" s="12">
        <f t="shared" si="408"/>
        <v>0</v>
      </c>
      <c r="GX69" s="12">
        <f t="shared" si="409"/>
        <v>0</v>
      </c>
      <c r="GY69" s="12">
        <f t="shared" si="410"/>
        <v>0</v>
      </c>
      <c r="GZ69" s="12">
        <f t="shared" si="411"/>
        <v>0</v>
      </c>
      <c r="HA69" s="12">
        <f t="shared" si="412"/>
        <v>0</v>
      </c>
      <c r="HB69" s="12">
        <f t="shared" si="413"/>
        <v>0</v>
      </c>
      <c r="HC69" s="12">
        <f t="shared" si="414"/>
        <v>0</v>
      </c>
      <c r="HD69" s="12">
        <f t="shared" si="415"/>
        <v>0</v>
      </c>
      <c r="HE69" s="12">
        <f t="shared" si="416"/>
        <v>0</v>
      </c>
      <c r="HG69" s="16" t="s">
        <v>1303</v>
      </c>
      <c r="HH69">
        <f>_xlfn.XLOOKUP(HG69,'KPI Impacts'!$B$2:$H$2,'KPI Impacts'!$B69:$H69)</f>
        <v>0</v>
      </c>
      <c r="HI69" s="9" t="s">
        <v>1303</v>
      </c>
      <c r="HJ69">
        <f>_xlfn.XLOOKUP(HI69,'KPI Impacts'!$B$2:$H$2,'KPI Impacts'!$B69:$H69)</f>
        <v>0</v>
      </c>
      <c r="HM69" s="12">
        <f t="shared" si="417"/>
        <v>0</v>
      </c>
      <c r="HN69" s="12">
        <f t="shared" si="418"/>
        <v>0</v>
      </c>
      <c r="HO69" s="12">
        <f t="shared" si="419"/>
        <v>0</v>
      </c>
      <c r="HP69" s="12">
        <f t="shared" si="420"/>
        <v>0</v>
      </c>
      <c r="HQ69" s="12">
        <f t="shared" si="421"/>
        <v>0</v>
      </c>
      <c r="HR69" s="12">
        <f t="shared" si="422"/>
        <v>0</v>
      </c>
      <c r="HS69" s="12">
        <f t="shared" si="423"/>
        <v>0</v>
      </c>
      <c r="HT69" s="12">
        <f t="shared" si="424"/>
        <v>0</v>
      </c>
      <c r="HU69" s="12">
        <f t="shared" si="425"/>
        <v>0</v>
      </c>
      <c r="HW69" s="30" t="s">
        <v>1307</v>
      </c>
      <c r="HX69">
        <f>_xlfn.XLOOKUP(HW69,'KPI Impacts'!$B$2:$H$2,'KPI Impacts'!$B69:$H69)</f>
        <v>2</v>
      </c>
      <c r="HY69" s="9" t="s">
        <v>1303</v>
      </c>
      <c r="HZ69">
        <f>_xlfn.XLOOKUP(HY69,'KPI Impacts'!$B$2:$H$2,'KPI Impacts'!$B69:$H69)</f>
        <v>0</v>
      </c>
      <c r="IC69" s="12">
        <f t="shared" si="426"/>
        <v>0</v>
      </c>
      <c r="ID69" s="12">
        <f t="shared" si="427"/>
        <v>0</v>
      </c>
      <c r="IE69" s="12">
        <f t="shared" si="428"/>
        <v>0</v>
      </c>
      <c r="IF69" s="12">
        <f t="shared" si="429"/>
        <v>0</v>
      </c>
      <c r="IG69" s="12">
        <f t="shared" si="430"/>
        <v>0</v>
      </c>
      <c r="IH69" s="12">
        <f t="shared" si="431"/>
        <v>0</v>
      </c>
      <c r="II69" s="12">
        <f t="shared" si="432"/>
        <v>0</v>
      </c>
      <c r="IJ69" s="12">
        <f t="shared" si="433"/>
        <v>0</v>
      </c>
      <c r="IK69" s="12">
        <f t="shared" si="434"/>
        <v>0</v>
      </c>
      <c r="IM69" s="30" t="s">
        <v>1309</v>
      </c>
      <c r="IN69">
        <f>_xlfn.XLOOKUP(IM69,'KPI Impacts'!$B$2:$H$2,'KPI Impacts'!$B69:$H69)</f>
        <v>4</v>
      </c>
      <c r="IO69" s="9" t="s">
        <v>1303</v>
      </c>
      <c r="IP69">
        <f>_xlfn.XLOOKUP(IO69,'KPI Impacts'!$B$2:$H$2,'KPI Impacts'!$B69:$H69)</f>
        <v>0</v>
      </c>
      <c r="IS69" s="12">
        <f t="shared" si="435"/>
        <v>0</v>
      </c>
      <c r="IT69" s="12">
        <f t="shared" si="436"/>
        <v>0</v>
      </c>
      <c r="IU69" s="12">
        <f t="shared" si="437"/>
        <v>0</v>
      </c>
      <c r="IV69" s="12">
        <f t="shared" si="438"/>
        <v>0</v>
      </c>
      <c r="IW69" s="12">
        <f t="shared" si="439"/>
        <v>0</v>
      </c>
      <c r="IX69" s="12">
        <f t="shared" si="440"/>
        <v>0</v>
      </c>
      <c r="IY69" s="12">
        <f t="shared" si="441"/>
        <v>0</v>
      </c>
      <c r="IZ69" s="12">
        <f t="shared" si="442"/>
        <v>0</v>
      </c>
      <c r="JA69" s="12">
        <f t="shared" si="443"/>
        <v>0</v>
      </c>
      <c r="JC69" t="s">
        <v>1303</v>
      </c>
      <c r="JD69">
        <f>_xlfn.XLOOKUP(JC69,'KPI Impacts'!$B$2:$H$2,'KPI Impacts'!$B69:$H69)</f>
        <v>0</v>
      </c>
      <c r="JE69" s="9" t="s">
        <v>1303</v>
      </c>
      <c r="JF69">
        <f>_xlfn.XLOOKUP(JE69,'KPI Impacts'!$B$2:$H$2,'KPI Impacts'!$B69:$H69)</f>
        <v>0</v>
      </c>
      <c r="JI69" s="12">
        <f t="shared" si="444"/>
        <v>0</v>
      </c>
      <c r="JJ69" s="12">
        <f t="shared" si="445"/>
        <v>0</v>
      </c>
      <c r="JK69" s="12">
        <f t="shared" si="446"/>
        <v>0</v>
      </c>
      <c r="JL69" s="12">
        <f t="shared" si="447"/>
        <v>0</v>
      </c>
      <c r="JM69" s="12">
        <f t="shared" si="448"/>
        <v>0</v>
      </c>
      <c r="JN69" s="12">
        <f t="shared" si="449"/>
        <v>0</v>
      </c>
      <c r="JO69" s="12">
        <f t="shared" si="450"/>
        <v>0</v>
      </c>
      <c r="JP69" s="12">
        <f t="shared" si="451"/>
        <v>0</v>
      </c>
      <c r="JQ69" s="12">
        <f t="shared" si="452"/>
        <v>0</v>
      </c>
      <c r="JS69" t="s">
        <v>1303</v>
      </c>
      <c r="JT69">
        <f>_xlfn.XLOOKUP(JS69,'KPI Impacts'!$B$2:$H$2,'KPI Impacts'!$B69:$H69)</f>
        <v>0</v>
      </c>
      <c r="JU69" s="9" t="s">
        <v>1303</v>
      </c>
      <c r="JV69">
        <f>_xlfn.XLOOKUP(JU69,'KPI Impacts'!$B$2:$H$2,'KPI Impacts'!$B69:$H69)</f>
        <v>0</v>
      </c>
      <c r="JY69" s="12">
        <f t="shared" si="453"/>
        <v>0</v>
      </c>
      <c r="JZ69" s="12">
        <f t="shared" si="454"/>
        <v>0</v>
      </c>
      <c r="KA69" s="12">
        <f t="shared" si="455"/>
        <v>0</v>
      </c>
      <c r="KB69" s="12">
        <f t="shared" si="456"/>
        <v>0</v>
      </c>
      <c r="KC69" s="12">
        <f t="shared" si="457"/>
        <v>0</v>
      </c>
      <c r="KD69" s="12">
        <f t="shared" si="458"/>
        <v>0</v>
      </c>
      <c r="KE69" s="12">
        <f t="shared" si="459"/>
        <v>0</v>
      </c>
      <c r="KF69" s="12">
        <f t="shared" si="460"/>
        <v>0</v>
      </c>
      <c r="KG69" s="12">
        <f t="shared" si="461"/>
        <v>0</v>
      </c>
      <c r="KI69" t="s">
        <v>1303</v>
      </c>
      <c r="KJ69">
        <f>_xlfn.XLOOKUP(KI69,'KPI Impacts'!$B$2:$H$2,'KPI Impacts'!$B69:$H69)</f>
        <v>0</v>
      </c>
      <c r="KK69" s="9" t="s">
        <v>1303</v>
      </c>
      <c r="KL69">
        <f>_xlfn.XLOOKUP(KK69,'KPI Impacts'!$B$2:$H$2,'KPI Impacts'!$B69:$H69)</f>
        <v>0</v>
      </c>
      <c r="KO69" s="12">
        <f t="shared" si="462"/>
        <v>0</v>
      </c>
      <c r="KP69" s="12">
        <f t="shared" si="463"/>
        <v>0</v>
      </c>
      <c r="KQ69" s="12">
        <f t="shared" si="464"/>
        <v>0</v>
      </c>
      <c r="KR69" s="12">
        <f t="shared" si="465"/>
        <v>0</v>
      </c>
      <c r="KS69" s="12">
        <f t="shared" si="466"/>
        <v>0</v>
      </c>
      <c r="KT69" s="12">
        <f t="shared" si="467"/>
        <v>0</v>
      </c>
      <c r="KU69" s="12">
        <f t="shared" si="468"/>
        <v>0</v>
      </c>
      <c r="KV69" s="12">
        <f t="shared" si="469"/>
        <v>0</v>
      </c>
      <c r="KW69" s="12">
        <f t="shared" si="470"/>
        <v>0</v>
      </c>
      <c r="KY69" t="s">
        <v>1303</v>
      </c>
      <c r="KZ69">
        <f>_xlfn.XLOOKUP(KY69,'KPI Impacts'!$B$2:$H$2,'KPI Impacts'!$B69:$H69)</f>
        <v>0</v>
      </c>
      <c r="LA69" s="9" t="s">
        <v>1303</v>
      </c>
      <c r="LB69">
        <f>_xlfn.XLOOKUP(LA69,'KPI Impacts'!$B$2:$H$2,'KPI Impacts'!$B69:$H69)</f>
        <v>0</v>
      </c>
      <c r="LE69" s="12">
        <f t="shared" si="471"/>
        <v>0</v>
      </c>
      <c r="LF69" s="12">
        <f t="shared" si="472"/>
        <v>0</v>
      </c>
      <c r="LG69" s="12">
        <f t="shared" si="473"/>
        <v>0</v>
      </c>
      <c r="LH69" s="12">
        <f t="shared" si="474"/>
        <v>0</v>
      </c>
      <c r="LI69" s="12">
        <f t="shared" si="475"/>
        <v>0</v>
      </c>
      <c r="LJ69" s="12">
        <f t="shared" si="476"/>
        <v>0</v>
      </c>
      <c r="LK69" s="12">
        <f t="shared" si="477"/>
        <v>0</v>
      </c>
      <c r="LL69" s="12">
        <f t="shared" si="478"/>
        <v>0</v>
      </c>
      <c r="LM69" s="12">
        <f t="shared" si="479"/>
        <v>0</v>
      </c>
      <c r="LO69" t="s">
        <v>1303</v>
      </c>
      <c r="LP69">
        <f>_xlfn.XLOOKUP(LO69,'KPI Impacts'!$B$2:$H$2,'KPI Impacts'!$B69:$H69)</f>
        <v>0</v>
      </c>
      <c r="LQ69" s="9" t="s">
        <v>1303</v>
      </c>
      <c r="LR69">
        <f>_xlfn.XLOOKUP(LQ69,'KPI Impacts'!$B$2:$H$2,'KPI Impacts'!$B69:$H69)</f>
        <v>0</v>
      </c>
      <c r="LU69" s="12">
        <f t="shared" si="480"/>
        <v>0</v>
      </c>
      <c r="LV69" s="12">
        <f t="shared" si="481"/>
        <v>0</v>
      </c>
      <c r="LW69" s="12">
        <f t="shared" si="482"/>
        <v>0</v>
      </c>
      <c r="LX69" s="12">
        <f t="shared" si="483"/>
        <v>0</v>
      </c>
      <c r="LY69" s="12">
        <f t="shared" si="484"/>
        <v>0</v>
      </c>
      <c r="LZ69" s="12">
        <f t="shared" si="485"/>
        <v>0</v>
      </c>
      <c r="MA69" s="12">
        <f t="shared" si="486"/>
        <v>0</v>
      </c>
      <c r="MB69" s="12">
        <f t="shared" si="487"/>
        <v>0</v>
      </c>
      <c r="MC69" s="12">
        <f t="shared" si="488"/>
        <v>0</v>
      </c>
      <c r="ME69" t="s">
        <v>1303</v>
      </c>
      <c r="MF69">
        <f>_xlfn.XLOOKUP(ME69,'KPI Impacts'!$B$2:$H$2,'KPI Impacts'!$B69:$H69)</f>
        <v>0</v>
      </c>
      <c r="MG69" s="9" t="s">
        <v>1303</v>
      </c>
      <c r="MH69">
        <f>_xlfn.XLOOKUP(MG69,'KPI Impacts'!$B$2:$H$2,'KPI Impacts'!$B69:$H69)</f>
        <v>0</v>
      </c>
      <c r="MK69" s="12">
        <f t="shared" si="489"/>
        <v>0</v>
      </c>
      <c r="ML69" s="12">
        <f t="shared" si="490"/>
        <v>0</v>
      </c>
      <c r="MM69" s="12">
        <f t="shared" si="491"/>
        <v>0</v>
      </c>
      <c r="MN69" s="12">
        <f t="shared" si="492"/>
        <v>0</v>
      </c>
      <c r="MO69" s="12">
        <f t="shared" si="493"/>
        <v>0</v>
      </c>
      <c r="MP69" s="12">
        <f t="shared" si="494"/>
        <v>0</v>
      </c>
      <c r="MQ69" s="12">
        <f t="shared" si="495"/>
        <v>0</v>
      </c>
      <c r="MR69" s="12">
        <f t="shared" si="496"/>
        <v>0</v>
      </c>
      <c r="MS69" s="12">
        <f t="shared" si="497"/>
        <v>0</v>
      </c>
      <c r="MU69" t="s">
        <v>1303</v>
      </c>
      <c r="MV69">
        <f>_xlfn.XLOOKUP(MU69,'KPI Impacts'!$B$2:$H$2,'KPI Impacts'!$B69:$H69)</f>
        <v>0</v>
      </c>
      <c r="MW69" s="9" t="s">
        <v>1303</v>
      </c>
      <c r="MX69">
        <f>_xlfn.XLOOKUP(MW69,'KPI Impacts'!$B$2:$H$2,'KPI Impacts'!$B69:$H69)</f>
        <v>0</v>
      </c>
      <c r="NA69" s="12">
        <f t="shared" si="498"/>
        <v>0</v>
      </c>
      <c r="NB69" s="12">
        <f t="shared" si="499"/>
        <v>0</v>
      </c>
      <c r="NC69" s="12">
        <f t="shared" si="500"/>
        <v>0</v>
      </c>
      <c r="ND69" s="12">
        <f t="shared" si="501"/>
        <v>0</v>
      </c>
      <c r="NE69" s="12">
        <f t="shared" si="502"/>
        <v>0</v>
      </c>
      <c r="NF69" s="12">
        <f t="shared" si="503"/>
        <v>0</v>
      </c>
      <c r="NG69" s="12">
        <f t="shared" si="504"/>
        <v>0</v>
      </c>
      <c r="NH69" s="12">
        <f t="shared" si="505"/>
        <v>0</v>
      </c>
      <c r="NI69" s="12">
        <f t="shared" si="506"/>
        <v>0</v>
      </c>
      <c r="NK69" t="s">
        <v>1303</v>
      </c>
      <c r="NL69">
        <f>_xlfn.XLOOKUP(NK69,'KPI Impacts'!$B$2:$H$2,'KPI Impacts'!$B69:$H69)</f>
        <v>0</v>
      </c>
      <c r="NM69" s="9" t="s">
        <v>1303</v>
      </c>
      <c r="NN69">
        <f>_xlfn.XLOOKUP(NM69,'KPI Impacts'!$B$2:$H$2,'KPI Impacts'!$B69:$H69)</f>
        <v>0</v>
      </c>
      <c r="NQ69" s="12">
        <f t="shared" si="507"/>
        <v>0</v>
      </c>
      <c r="NR69" s="12">
        <f t="shared" si="508"/>
        <v>0</v>
      </c>
      <c r="NS69" s="12">
        <f t="shared" si="509"/>
        <v>0</v>
      </c>
      <c r="NT69" s="12">
        <f t="shared" si="510"/>
        <v>0</v>
      </c>
      <c r="NU69" s="12">
        <f t="shared" si="511"/>
        <v>0</v>
      </c>
      <c r="NV69" s="12">
        <f t="shared" si="512"/>
        <v>0</v>
      </c>
      <c r="NW69" s="12">
        <f t="shared" si="513"/>
        <v>0</v>
      </c>
      <c r="NX69" s="12">
        <f t="shared" si="514"/>
        <v>0</v>
      </c>
      <c r="NY69" s="12">
        <f t="shared" si="515"/>
        <v>0</v>
      </c>
      <c r="OA69" t="s">
        <v>1303</v>
      </c>
      <c r="OB69">
        <f>_xlfn.XLOOKUP(OA69,'KPI Impacts'!$B$2:$H$2,'KPI Impacts'!$B69:$H69)</f>
        <v>0</v>
      </c>
      <c r="OC69" s="9" t="s">
        <v>1303</v>
      </c>
      <c r="OD69">
        <f>_xlfn.XLOOKUP(OC69,'KPI Impacts'!$B$2:$H$2,'KPI Impacts'!$B69:$H69)</f>
        <v>0</v>
      </c>
      <c r="OG69" s="12">
        <f t="shared" si="516"/>
        <v>0</v>
      </c>
      <c r="OH69" s="12">
        <f t="shared" si="517"/>
        <v>0</v>
      </c>
      <c r="OI69" s="12">
        <f t="shared" si="518"/>
        <v>0</v>
      </c>
      <c r="OJ69" s="12">
        <f t="shared" si="519"/>
        <v>0</v>
      </c>
      <c r="OK69" s="12">
        <f t="shared" si="520"/>
        <v>0</v>
      </c>
      <c r="OL69" s="12">
        <f t="shared" si="521"/>
        <v>0</v>
      </c>
      <c r="OM69" s="12">
        <f t="shared" si="522"/>
        <v>0</v>
      </c>
      <c r="ON69" s="12">
        <f t="shared" si="523"/>
        <v>0</v>
      </c>
      <c r="OO69" s="12">
        <f t="shared" si="524"/>
        <v>0</v>
      </c>
      <c r="OQ69" t="s">
        <v>1303</v>
      </c>
      <c r="OR69">
        <f>_xlfn.XLOOKUP(OQ69,'KPI Impacts'!$B$2:$H$2,'KPI Impacts'!$B69:$H69)</f>
        <v>0</v>
      </c>
      <c r="OS69" s="9" t="s">
        <v>1303</v>
      </c>
      <c r="OT69">
        <f>_xlfn.XLOOKUP(OS69,'KPI Impacts'!$B$2:$H$2,'KPI Impacts'!$B69:$H69)</f>
        <v>0</v>
      </c>
    </row>
    <row r="70" spans="1:410" x14ac:dyDescent="0.2">
      <c r="B70" s="12"/>
      <c r="C70" s="12"/>
      <c r="D70" s="12"/>
      <c r="E70" s="12"/>
      <c r="F70" s="12"/>
      <c r="G70" s="12"/>
      <c r="H70" s="12"/>
      <c r="I70" s="12"/>
      <c r="J70" s="12"/>
      <c r="Y70" s="12"/>
      <c r="Z70" s="12"/>
      <c r="AA70" s="12"/>
      <c r="AB70" s="12"/>
      <c r="AC70" s="12"/>
      <c r="AD70" s="12"/>
      <c r="AE70" s="12"/>
      <c r="AF70" s="12"/>
      <c r="AG70" s="12"/>
      <c r="AQ70" s="12"/>
      <c r="AR70" s="12"/>
      <c r="AS70" s="12"/>
      <c r="AT70" s="12"/>
      <c r="AU70" s="12"/>
      <c r="AV70" s="12"/>
      <c r="AW70" s="12"/>
      <c r="AX70" s="12"/>
      <c r="AY70" s="12"/>
      <c r="BI70" s="12"/>
      <c r="BJ70" s="12"/>
      <c r="BK70" s="12"/>
      <c r="BL70" s="12"/>
      <c r="BM70" s="12"/>
      <c r="BN70" s="12"/>
      <c r="BO70" s="12"/>
      <c r="BP70" s="12"/>
      <c r="BQ70" s="12"/>
      <c r="BS70" s="16"/>
      <c r="BU70" s="35"/>
      <c r="BY70" s="12"/>
      <c r="BZ70" s="12"/>
      <c r="CA70" s="12"/>
      <c r="CB70" s="12"/>
      <c r="CC70" s="12"/>
      <c r="CD70" s="12"/>
      <c r="CE70" s="12"/>
      <c r="CF70" s="12"/>
      <c r="CG70" s="12"/>
      <c r="CI70" s="16"/>
      <c r="CK70" s="35"/>
      <c r="CO70" s="12"/>
      <c r="CP70" s="12"/>
      <c r="CQ70" s="12"/>
      <c r="CR70" s="12"/>
      <c r="CS70" s="12"/>
      <c r="CT70" s="12"/>
      <c r="CU70" s="12"/>
      <c r="CV70" s="12"/>
      <c r="CW70" s="12"/>
      <c r="CY70" s="16"/>
      <c r="DA70" s="35"/>
      <c r="DE70" s="12"/>
      <c r="DF70" s="12"/>
      <c r="DG70" s="12"/>
      <c r="DH70" s="12"/>
      <c r="DI70" s="12"/>
      <c r="DJ70" s="12"/>
      <c r="DK70" s="12"/>
      <c r="DL70" s="12"/>
      <c r="DM70" s="12"/>
      <c r="DO70" s="16"/>
      <c r="DQ70" s="35"/>
      <c r="DU70" s="12"/>
      <c r="DV70" s="12"/>
      <c r="DW70" s="12"/>
      <c r="DX70" s="12"/>
      <c r="DY70" s="12"/>
      <c r="DZ70" s="12"/>
      <c r="EA70" s="12"/>
      <c r="EB70" s="12"/>
      <c r="EC70" s="12"/>
      <c r="EE70" s="16"/>
      <c r="EG70" s="35"/>
      <c r="EK70" s="12"/>
      <c r="EL70" s="12"/>
      <c r="EM70" s="12"/>
      <c r="EN70" s="12"/>
      <c r="EO70" s="12"/>
      <c r="EP70" s="12"/>
      <c r="EQ70" s="12"/>
      <c r="ER70" s="12"/>
      <c r="ES70" s="12"/>
      <c r="EU70" s="16"/>
      <c r="EW70" s="35"/>
      <c r="FA70" s="12"/>
      <c r="FB70" s="12"/>
      <c r="FC70" s="12"/>
      <c r="FD70" s="12"/>
      <c r="FE70" s="12"/>
      <c r="FF70" s="12"/>
      <c r="FG70" s="12"/>
      <c r="FH70" s="12"/>
      <c r="FI70" s="12"/>
      <c r="FK70" s="16"/>
      <c r="FM70" s="16"/>
      <c r="FQ70" s="12"/>
      <c r="FR70" s="12"/>
      <c r="FS70" s="12"/>
      <c r="FT70" s="12"/>
      <c r="FU70" s="12"/>
      <c r="FV70" s="12"/>
      <c r="FW70" s="12"/>
      <c r="FX70" s="12"/>
      <c r="FY70" s="12"/>
      <c r="GA70" s="16"/>
      <c r="GC70" s="9"/>
      <c r="GG70" s="12"/>
      <c r="GH70" s="12"/>
      <c r="GI70" s="12"/>
      <c r="GJ70" s="12"/>
      <c r="GK70" s="12"/>
      <c r="GL70" s="12"/>
      <c r="GM70" s="12"/>
      <c r="GN70" s="12"/>
      <c r="GO70" s="12"/>
      <c r="GQ70" s="16"/>
      <c r="GS70" s="9"/>
      <c r="GW70" s="12"/>
      <c r="GX70" s="12"/>
      <c r="GY70" s="12"/>
      <c r="GZ70" s="12"/>
      <c r="HA70" s="12"/>
      <c r="HB70" s="12"/>
      <c r="HC70" s="12"/>
      <c r="HD70" s="12"/>
      <c r="HE70" s="12"/>
      <c r="HG70" s="16"/>
      <c r="HI70" s="9"/>
      <c r="HM70" s="12"/>
      <c r="HN70" s="12"/>
      <c r="HO70" s="12"/>
      <c r="HP70" s="12"/>
      <c r="HQ70" s="12"/>
      <c r="HR70" s="12"/>
      <c r="HS70" s="12"/>
      <c r="HT70" s="12"/>
      <c r="HU70" s="12"/>
      <c r="HW70" s="16"/>
      <c r="HY70" s="9"/>
      <c r="IC70" s="12"/>
      <c r="ID70" s="12"/>
      <c r="IE70" s="12"/>
      <c r="IF70" s="12"/>
      <c r="IG70" s="12"/>
      <c r="IH70" s="12"/>
      <c r="II70" s="12"/>
      <c r="IJ70" s="12"/>
      <c r="IK70" s="12"/>
      <c r="IM70" s="16"/>
      <c r="IO70" s="9"/>
      <c r="IS70" s="12"/>
      <c r="IT70" s="12"/>
      <c r="IU70" s="12"/>
      <c r="IV70" s="12"/>
      <c r="IW70" s="12"/>
      <c r="IX70" s="12"/>
      <c r="IY70" s="12"/>
      <c r="IZ70" s="12"/>
      <c r="JA70" s="12"/>
      <c r="JE70" s="9"/>
      <c r="JI70" s="12"/>
      <c r="JJ70" s="12"/>
      <c r="JK70" s="12"/>
      <c r="JL70" s="12"/>
      <c r="JM70" s="12"/>
      <c r="JN70" s="12"/>
      <c r="JO70" s="12"/>
      <c r="JP70" s="12"/>
      <c r="JQ70" s="12"/>
      <c r="JU70" s="9"/>
      <c r="JY70" s="12"/>
      <c r="JZ70" s="12"/>
      <c r="KA70" s="12"/>
      <c r="KB70" s="12"/>
      <c r="KC70" s="12"/>
      <c r="KD70" s="12"/>
      <c r="KE70" s="12"/>
      <c r="KF70" s="12"/>
      <c r="KG70" s="12"/>
      <c r="KK70" s="9"/>
      <c r="KO70" s="12"/>
      <c r="KP70" s="12"/>
      <c r="KQ70" s="12"/>
      <c r="KR70" s="12"/>
      <c r="KS70" s="12"/>
      <c r="KT70" s="12"/>
      <c r="KU70" s="12"/>
      <c r="KV70" s="12"/>
      <c r="KW70" s="12"/>
      <c r="LA70" s="9"/>
      <c r="LE70" s="12"/>
      <c r="LF70" s="12"/>
      <c r="LG70" s="12"/>
      <c r="LH70" s="12"/>
      <c r="LI70" s="12"/>
      <c r="LJ70" s="12"/>
      <c r="LK70" s="12"/>
      <c r="LL70" s="12"/>
      <c r="LM70" s="12"/>
      <c r="LQ70" s="9"/>
      <c r="LU70" s="12"/>
      <c r="LV70" s="12"/>
      <c r="LW70" s="12"/>
      <c r="LX70" s="12"/>
      <c r="LY70" s="12"/>
      <c r="LZ70" s="12"/>
      <c r="MA70" s="12"/>
      <c r="MB70" s="12"/>
      <c r="MC70" s="12"/>
      <c r="MG70" s="9"/>
      <c r="MK70" s="12"/>
      <c r="ML70" s="12"/>
      <c r="MM70" s="12"/>
      <c r="MN70" s="12"/>
      <c r="MO70" s="12"/>
      <c r="MP70" s="12"/>
      <c r="MQ70" s="12"/>
      <c r="MR70" s="12"/>
      <c r="MS70" s="12"/>
      <c r="MW70" s="9"/>
      <c r="NA70" s="12"/>
      <c r="NB70" s="12"/>
      <c r="NC70" s="12"/>
      <c r="ND70" s="12"/>
      <c r="NE70" s="12"/>
      <c r="NF70" s="12"/>
      <c r="NG70" s="12"/>
      <c r="NH70" s="12"/>
      <c r="NI70" s="12"/>
      <c r="NM70" s="9"/>
      <c r="NQ70" s="12"/>
      <c r="NR70" s="12"/>
      <c r="NS70" s="12"/>
      <c r="NT70" s="12"/>
      <c r="NU70" s="12"/>
      <c r="NV70" s="12"/>
      <c r="NW70" s="12"/>
      <c r="NX70" s="12"/>
      <c r="NY70" s="12"/>
      <c r="OC70" s="9"/>
      <c r="OG70" s="12"/>
      <c r="OH70" s="12"/>
      <c r="OI70" s="12"/>
      <c r="OJ70" s="12"/>
      <c r="OK70" s="12"/>
      <c r="OL70" s="12"/>
      <c r="OM70" s="12"/>
      <c r="ON70" s="12"/>
      <c r="OO70" s="12"/>
      <c r="OS70" s="9"/>
    </row>
    <row r="71" spans="1:410" x14ac:dyDescent="0.2">
      <c r="B71" s="12"/>
      <c r="C71" s="12"/>
      <c r="D71" s="12"/>
      <c r="E71" s="12"/>
      <c r="F71" s="12"/>
      <c r="G71" s="12"/>
      <c r="H71" s="12"/>
      <c r="I71" s="12"/>
      <c r="J71" s="12"/>
      <c r="X71" s="5"/>
      <c r="Y71" s="12"/>
      <c r="Z71" s="12"/>
      <c r="AA71" s="12"/>
      <c r="AB71" s="12"/>
      <c r="AC71" s="12"/>
      <c r="AD71" s="12"/>
      <c r="AE71" s="12"/>
      <c r="AF71" s="12"/>
      <c r="AG71" s="12"/>
      <c r="AP71" s="5"/>
      <c r="AQ71" s="12"/>
      <c r="AR71" s="12"/>
      <c r="AS71" s="12"/>
      <c r="AT71" s="12"/>
      <c r="AU71" s="12"/>
      <c r="AV71" s="12"/>
      <c r="AW71" s="12"/>
      <c r="AX71" s="12"/>
      <c r="AY71" s="12"/>
      <c r="BI71" s="12"/>
      <c r="BJ71" s="12"/>
      <c r="BK71" s="12"/>
      <c r="BL71" s="12"/>
      <c r="BM71" s="12"/>
      <c r="BN71" s="12"/>
      <c r="BO71" s="12"/>
      <c r="BP71" s="12"/>
      <c r="BQ71" s="12"/>
      <c r="BS71" s="16"/>
      <c r="BU71" s="35"/>
      <c r="BY71" s="12"/>
      <c r="BZ71" s="12"/>
      <c r="CA71" s="12"/>
      <c r="CB71" s="12"/>
      <c r="CC71" s="12"/>
      <c r="CD71" s="12"/>
      <c r="CE71" s="12"/>
      <c r="CF71" s="12"/>
      <c r="CG71" s="12"/>
      <c r="CI71" s="16"/>
      <c r="CK71" s="35"/>
      <c r="CO71" s="12"/>
      <c r="CP71" s="12"/>
      <c r="CQ71" s="12"/>
      <c r="CR71" s="12"/>
      <c r="CS71" s="12"/>
      <c r="CT71" s="12"/>
      <c r="CU71" s="12"/>
      <c r="CV71" s="12"/>
      <c r="CW71" s="12"/>
      <c r="CY71" s="16"/>
      <c r="DA71" s="35"/>
      <c r="DE71" s="12"/>
      <c r="DF71" s="12"/>
      <c r="DG71" s="12"/>
      <c r="DH71" s="12"/>
      <c r="DI71" s="12"/>
      <c r="DJ71" s="12"/>
      <c r="DK71" s="12"/>
      <c r="DL71" s="12"/>
      <c r="DM71" s="12"/>
      <c r="DO71" s="16"/>
      <c r="DQ71" s="35"/>
      <c r="DU71" s="12"/>
      <c r="DV71" s="12"/>
      <c r="DW71" s="12"/>
      <c r="DX71" s="12"/>
      <c r="DY71" s="12"/>
      <c r="DZ71" s="12"/>
      <c r="EA71" s="12"/>
      <c r="EB71" s="12"/>
      <c r="EC71" s="12"/>
      <c r="EE71" s="16"/>
      <c r="EG71" s="35"/>
      <c r="EK71" s="12"/>
      <c r="EL71" s="12"/>
      <c r="EM71" s="12"/>
      <c r="EN71" s="12"/>
      <c r="EO71" s="12"/>
      <c r="EP71" s="12"/>
      <c r="EQ71" s="12"/>
      <c r="ER71" s="12"/>
      <c r="ES71" s="12"/>
      <c r="EU71" s="16"/>
      <c r="EW71" s="35"/>
      <c r="FA71" s="12"/>
      <c r="FB71" s="12"/>
      <c r="FC71" s="12"/>
      <c r="FD71" s="12"/>
      <c r="FE71" s="12"/>
      <c r="FF71" s="12"/>
      <c r="FG71" s="12"/>
      <c r="FH71" s="12"/>
      <c r="FI71" s="12"/>
      <c r="FK71" s="16"/>
      <c r="FM71" s="16"/>
      <c r="FQ71" s="12"/>
      <c r="FR71" s="12"/>
      <c r="FS71" s="12"/>
      <c r="FT71" s="12"/>
      <c r="FU71" s="12"/>
      <c r="FV71" s="12"/>
      <c r="FW71" s="12"/>
      <c r="FX71" s="12"/>
      <c r="FY71" s="12"/>
      <c r="GA71" s="16"/>
      <c r="GC71" s="9"/>
      <c r="GG71" s="12"/>
      <c r="GH71" s="12"/>
      <c r="GI71" s="12"/>
      <c r="GJ71" s="12"/>
      <c r="GK71" s="12"/>
      <c r="GL71" s="12"/>
      <c r="GM71" s="12"/>
      <c r="GN71" s="12"/>
      <c r="GO71" s="12"/>
      <c r="GQ71" s="16"/>
      <c r="GS71" s="9"/>
      <c r="GW71" s="12"/>
      <c r="GX71" s="12"/>
      <c r="GY71" s="12"/>
      <c r="GZ71" s="12"/>
      <c r="HA71" s="12"/>
      <c r="HB71" s="12"/>
      <c r="HC71" s="12"/>
      <c r="HD71" s="12"/>
      <c r="HE71" s="12"/>
      <c r="HG71" s="16"/>
      <c r="HI71" s="9"/>
      <c r="HM71" s="12"/>
      <c r="HN71" s="12"/>
      <c r="HO71" s="12"/>
      <c r="HP71" s="12"/>
      <c r="HQ71" s="12"/>
      <c r="HR71" s="12"/>
      <c r="HS71" s="12"/>
      <c r="HT71" s="12"/>
      <c r="HU71" s="12"/>
      <c r="HW71" s="16"/>
      <c r="HY71" s="9"/>
      <c r="IC71" s="12"/>
      <c r="ID71" s="12"/>
      <c r="IE71" s="12"/>
      <c r="IF71" s="12"/>
      <c r="IG71" s="12"/>
      <c r="IH71" s="12"/>
      <c r="II71" s="12"/>
      <c r="IJ71" s="12"/>
      <c r="IK71" s="12"/>
      <c r="IM71" s="16"/>
      <c r="IO71" s="9"/>
      <c r="IS71" s="12"/>
      <c r="IT71" s="12"/>
      <c r="IU71" s="12"/>
      <c r="IV71" s="12"/>
      <c r="IW71" s="12"/>
      <c r="IX71" s="12"/>
      <c r="IY71" s="12"/>
      <c r="IZ71" s="12"/>
      <c r="JA71" s="12"/>
      <c r="JE71" s="9"/>
      <c r="JI71" s="12"/>
      <c r="JJ71" s="12"/>
      <c r="JK71" s="12"/>
      <c r="JL71" s="12"/>
      <c r="JM71" s="12"/>
      <c r="JN71" s="12"/>
      <c r="JO71" s="12"/>
      <c r="JP71" s="12"/>
      <c r="JQ71" s="12"/>
      <c r="JU71" s="9"/>
      <c r="JY71" s="12"/>
      <c r="JZ71" s="12"/>
      <c r="KA71" s="12"/>
      <c r="KB71" s="12"/>
      <c r="KC71" s="12"/>
      <c r="KD71" s="12"/>
      <c r="KE71" s="12"/>
      <c r="KF71" s="12"/>
      <c r="KG71" s="12"/>
      <c r="KK71" s="9"/>
      <c r="KO71" s="12"/>
      <c r="KP71" s="12"/>
      <c r="KQ71" s="12"/>
      <c r="KR71" s="12"/>
      <c r="KS71" s="12"/>
      <c r="KT71" s="12"/>
      <c r="KU71" s="12"/>
      <c r="KV71" s="12"/>
      <c r="KW71" s="12"/>
      <c r="LA71" s="9"/>
      <c r="LE71" s="12"/>
      <c r="LF71" s="12"/>
      <c r="LG71" s="12"/>
      <c r="LH71" s="12"/>
      <c r="LI71" s="12"/>
      <c r="LJ71" s="12"/>
      <c r="LK71" s="12"/>
      <c r="LL71" s="12"/>
      <c r="LM71" s="12"/>
      <c r="LQ71" s="9"/>
      <c r="LU71" s="12"/>
      <c r="LV71" s="12"/>
      <c r="LW71" s="12"/>
      <c r="LX71" s="12"/>
      <c r="LY71" s="12"/>
      <c r="LZ71" s="12"/>
      <c r="MA71" s="12"/>
      <c r="MB71" s="12"/>
      <c r="MC71" s="12"/>
      <c r="MG71" s="9"/>
      <c r="MK71" s="12"/>
      <c r="ML71" s="12"/>
      <c r="MM71" s="12"/>
      <c r="MN71" s="12"/>
      <c r="MO71" s="12"/>
      <c r="MP71" s="12"/>
      <c r="MQ71" s="12"/>
      <c r="MR71" s="12"/>
      <c r="MS71" s="12"/>
      <c r="MW71" s="9"/>
      <c r="NA71" s="12"/>
      <c r="NB71" s="12"/>
      <c r="NC71" s="12"/>
      <c r="ND71" s="12"/>
      <c r="NE71" s="12"/>
      <c r="NF71" s="12"/>
      <c r="NG71" s="12"/>
      <c r="NH71" s="12"/>
      <c r="NI71" s="12"/>
      <c r="NM71" s="9"/>
      <c r="NQ71" s="12"/>
      <c r="NR71" s="12"/>
      <c r="NS71" s="12"/>
      <c r="NT71" s="12"/>
      <c r="NU71" s="12"/>
      <c r="NV71" s="12"/>
      <c r="NW71" s="12"/>
      <c r="NX71" s="12"/>
      <c r="NY71" s="12"/>
      <c r="OC71" s="9"/>
      <c r="OG71" s="12"/>
      <c r="OH71" s="12"/>
      <c r="OI71" s="12"/>
      <c r="OJ71" s="12"/>
      <c r="OK71" s="12"/>
      <c r="OL71" s="12"/>
      <c r="OM71" s="12"/>
      <c r="ON71" s="12"/>
      <c r="OO71" s="12"/>
      <c r="OS71" s="9"/>
    </row>
    <row r="72" spans="1:410" x14ac:dyDescent="0.2">
      <c r="A72" s="5" t="s">
        <v>44</v>
      </c>
      <c r="B72" s="12"/>
      <c r="C72" s="12"/>
      <c r="D72" s="12"/>
      <c r="E72" s="12"/>
      <c r="F72" s="12"/>
      <c r="G72" s="12"/>
      <c r="H72" s="12"/>
      <c r="I72" s="12"/>
      <c r="J72" s="12"/>
      <c r="Y72" s="12"/>
      <c r="Z72" s="12"/>
      <c r="AA72" s="12"/>
      <c r="AB72" s="12"/>
      <c r="AC72" s="12"/>
      <c r="AD72" s="12"/>
      <c r="AE72" s="12"/>
      <c r="AF72" s="12"/>
      <c r="AG72" s="12"/>
      <c r="AQ72" s="12"/>
      <c r="AR72" s="12"/>
      <c r="AS72" s="12"/>
      <c r="AT72" s="12"/>
      <c r="AU72" s="12"/>
      <c r="AV72" s="12"/>
      <c r="AW72" s="12"/>
      <c r="AX72" s="12"/>
      <c r="AY72" s="12"/>
      <c r="BH72" s="5"/>
      <c r="BI72" s="12"/>
      <c r="BJ72" s="12"/>
      <c r="BK72" s="12"/>
      <c r="BL72" s="12"/>
      <c r="BM72" s="12"/>
      <c r="BN72" s="12"/>
      <c r="BO72" s="12"/>
      <c r="BP72" s="12"/>
      <c r="BQ72" s="12"/>
      <c r="BS72" s="16"/>
      <c r="BU72" s="35"/>
      <c r="BX72" s="5"/>
      <c r="BY72" s="12"/>
      <c r="BZ72" s="12"/>
      <c r="CA72" s="12"/>
      <c r="CB72" s="12"/>
      <c r="CC72" s="12"/>
      <c r="CD72" s="12"/>
      <c r="CE72" s="12"/>
      <c r="CF72" s="12"/>
      <c r="CG72" s="12"/>
      <c r="CI72" s="16"/>
      <c r="CK72" s="35"/>
      <c r="CN72" s="5"/>
      <c r="CO72" s="12"/>
      <c r="CP72" s="12"/>
      <c r="CQ72" s="12"/>
      <c r="CR72" s="12"/>
      <c r="CS72" s="12"/>
      <c r="CT72" s="12"/>
      <c r="CU72" s="12"/>
      <c r="CV72" s="12"/>
      <c r="CW72" s="12"/>
      <c r="CY72" s="16"/>
      <c r="DA72" s="35"/>
      <c r="DD72" s="5"/>
      <c r="DE72" s="12"/>
      <c r="DF72" s="12"/>
      <c r="DG72" s="12"/>
      <c r="DH72" s="12"/>
      <c r="DI72" s="12"/>
      <c r="DJ72" s="12"/>
      <c r="DK72" s="12"/>
      <c r="DL72" s="12"/>
      <c r="DM72" s="12"/>
      <c r="DO72" s="16"/>
      <c r="DQ72" s="35"/>
      <c r="DT72" s="5"/>
      <c r="DU72" s="12"/>
      <c r="DV72" s="12"/>
      <c r="DW72" s="12"/>
      <c r="DX72" s="12"/>
      <c r="DY72" s="12"/>
      <c r="DZ72" s="12"/>
      <c r="EA72" s="12"/>
      <c r="EB72" s="12"/>
      <c r="EC72" s="12"/>
      <c r="EE72" s="16"/>
      <c r="EG72" s="35"/>
      <c r="EJ72" s="5"/>
      <c r="EK72" s="12"/>
      <c r="EL72" s="12"/>
      <c r="EM72" s="12"/>
      <c r="EN72" s="12"/>
      <c r="EO72" s="12"/>
      <c r="EP72" s="12"/>
      <c r="EQ72" s="12"/>
      <c r="ER72" s="12"/>
      <c r="ES72" s="12"/>
      <c r="EU72" s="16"/>
      <c r="EW72" s="35"/>
      <c r="EZ72" s="5"/>
      <c r="FA72" s="12"/>
      <c r="FB72" s="12"/>
      <c r="FC72" s="12"/>
      <c r="FD72" s="12"/>
      <c r="FE72" s="12"/>
      <c r="FF72" s="12"/>
      <c r="FG72" s="12"/>
      <c r="FH72" s="12"/>
      <c r="FI72" s="12"/>
      <c r="FK72" s="16"/>
      <c r="FM72" s="16"/>
      <c r="FP72" s="5"/>
      <c r="FQ72" s="12"/>
      <c r="FR72" s="12"/>
      <c r="FS72" s="12"/>
      <c r="FT72" s="12"/>
      <c r="FU72" s="12"/>
      <c r="FV72" s="12"/>
      <c r="FW72" s="12"/>
      <c r="FX72" s="12"/>
      <c r="FY72" s="12"/>
      <c r="GA72" s="16"/>
      <c r="GC72" s="9"/>
      <c r="GF72" s="5"/>
      <c r="GG72" s="12"/>
      <c r="GH72" s="12"/>
      <c r="GI72" s="12"/>
      <c r="GJ72" s="12"/>
      <c r="GK72" s="12"/>
      <c r="GL72" s="12"/>
      <c r="GM72" s="12"/>
      <c r="GN72" s="12"/>
      <c r="GO72" s="12"/>
      <c r="GQ72" s="16"/>
      <c r="GS72" s="9"/>
      <c r="GW72" s="12"/>
      <c r="GX72" s="12"/>
      <c r="GY72" s="12"/>
      <c r="GZ72" s="12"/>
      <c r="HA72" s="12"/>
      <c r="HB72" s="12"/>
      <c r="HC72" s="12"/>
      <c r="HD72" s="12"/>
      <c r="HE72" s="12"/>
      <c r="HG72" s="16"/>
      <c r="HI72" s="9"/>
      <c r="HM72" s="12"/>
      <c r="HN72" s="12"/>
      <c r="HO72" s="12"/>
      <c r="HP72" s="12"/>
      <c r="HQ72" s="12"/>
      <c r="HR72" s="12"/>
      <c r="HS72" s="12"/>
      <c r="HT72" s="12"/>
      <c r="HU72" s="12"/>
      <c r="HW72" s="16"/>
      <c r="HY72" s="9"/>
      <c r="IC72" s="12"/>
      <c r="ID72" s="12"/>
      <c r="IE72" s="12"/>
      <c r="IF72" s="12"/>
      <c r="IG72" s="12"/>
      <c r="IH72" s="12"/>
      <c r="II72" s="12"/>
      <c r="IJ72" s="12"/>
      <c r="IK72" s="12"/>
      <c r="IM72" s="16"/>
      <c r="IO72" s="9"/>
      <c r="IS72" s="12"/>
      <c r="IT72" s="12"/>
      <c r="IU72" s="12"/>
      <c r="IV72" s="12"/>
      <c r="IW72" s="12"/>
      <c r="IX72" s="12"/>
      <c r="IY72" s="12"/>
      <c r="IZ72" s="12"/>
      <c r="JA72" s="12"/>
      <c r="JE72" s="9"/>
      <c r="JI72" s="12"/>
      <c r="JJ72" s="12"/>
      <c r="JK72" s="12"/>
      <c r="JL72" s="12"/>
      <c r="JM72" s="12"/>
      <c r="JN72" s="12"/>
      <c r="JO72" s="12"/>
      <c r="JP72" s="12"/>
      <c r="JQ72" s="12"/>
      <c r="JU72" s="9"/>
      <c r="JY72" s="12"/>
      <c r="JZ72" s="12"/>
      <c r="KA72" s="12"/>
      <c r="KB72" s="12"/>
      <c r="KC72" s="12"/>
      <c r="KD72" s="12"/>
      <c r="KE72" s="12"/>
      <c r="KF72" s="12"/>
      <c r="KG72" s="12"/>
      <c r="KK72" s="9"/>
      <c r="KO72" s="12"/>
      <c r="KP72" s="12"/>
      <c r="KQ72" s="12"/>
      <c r="KR72" s="12"/>
      <c r="KS72" s="12"/>
      <c r="KT72" s="12"/>
      <c r="KU72" s="12"/>
      <c r="KV72" s="12"/>
      <c r="KW72" s="12"/>
      <c r="LA72" s="9"/>
      <c r="LE72" s="12"/>
      <c r="LF72" s="12"/>
      <c r="LG72" s="12"/>
      <c r="LH72" s="12"/>
      <c r="LI72" s="12"/>
      <c r="LJ72" s="12"/>
      <c r="LK72" s="12"/>
      <c r="LL72" s="12"/>
      <c r="LM72" s="12"/>
      <c r="LQ72" s="9"/>
      <c r="LU72" s="12"/>
      <c r="LV72" s="12"/>
      <c r="LW72" s="12"/>
      <c r="LX72" s="12"/>
      <c r="LY72" s="12"/>
      <c r="LZ72" s="12"/>
      <c r="MA72" s="12"/>
      <c r="MB72" s="12"/>
      <c r="MC72" s="12"/>
      <c r="MG72" s="9"/>
      <c r="MK72" s="12"/>
      <c r="ML72" s="12"/>
      <c r="MM72" s="12"/>
      <c r="MN72" s="12"/>
      <c r="MO72" s="12"/>
      <c r="MP72" s="12"/>
      <c r="MQ72" s="12"/>
      <c r="MR72" s="12"/>
      <c r="MS72" s="12"/>
      <c r="MW72" s="9"/>
      <c r="NA72" s="12"/>
      <c r="NB72" s="12"/>
      <c r="NC72" s="12"/>
      <c r="ND72" s="12"/>
      <c r="NE72" s="12"/>
      <c r="NF72" s="12"/>
      <c r="NG72" s="12"/>
      <c r="NH72" s="12"/>
      <c r="NI72" s="12"/>
      <c r="NM72" s="9"/>
      <c r="NQ72" s="12"/>
      <c r="NR72" s="12"/>
      <c r="NS72" s="12"/>
      <c r="NT72" s="12"/>
      <c r="NU72" s="12"/>
      <c r="NV72" s="12"/>
      <c r="NW72" s="12"/>
      <c r="NX72" s="12"/>
      <c r="NY72" s="12"/>
      <c r="OC72" s="9"/>
      <c r="OG72" s="12"/>
      <c r="OH72" s="12"/>
      <c r="OI72" s="12"/>
      <c r="OJ72" s="12"/>
      <c r="OK72" s="12"/>
      <c r="OL72" s="12"/>
      <c r="OM72" s="12"/>
      <c r="ON72" s="12"/>
      <c r="OO72" s="12"/>
      <c r="OS72" s="9"/>
    </row>
    <row r="73" spans="1:410" x14ac:dyDescent="0.2">
      <c r="A73" t="s">
        <v>55</v>
      </c>
      <c r="B73" s="12">
        <f t="shared" ref="B73:H76" si="525">M73+Y73+AQ73+BI73+BY73+CO73+DE73+DU73+EK73+FA73+FQ73+GG73+GW73+HM73+IC73+IS73+JI73+JY73+KO73+LE73+LU73+MK73+NA73+NQ73+OG73</f>
        <v>0</v>
      </c>
      <c r="C73" s="12">
        <f t="shared" si="525"/>
        <v>0</v>
      </c>
      <c r="D73" s="12">
        <f t="shared" si="525"/>
        <v>0</v>
      </c>
      <c r="E73" s="12">
        <f t="shared" si="525"/>
        <v>0</v>
      </c>
      <c r="F73" s="12">
        <f t="shared" si="525"/>
        <v>0</v>
      </c>
      <c r="G73" s="12">
        <f t="shared" si="525"/>
        <v>0</v>
      </c>
      <c r="H73" s="12">
        <f t="shared" si="525"/>
        <v>0</v>
      </c>
      <c r="I73" s="12">
        <f t="shared" ref="I73:J76" si="526">AF73+AX73+BP73+CF73+CV73+DL73+EB73+ER73+FH73+FX73+GN73+HD73+HT73+IJ73+IZ73+JP73+KF73+KV73+LL73+MB73+MR73+NH73+NX73+ON73</f>
        <v>0</v>
      </c>
      <c r="J73" s="12">
        <f t="shared" si="526"/>
        <v>0</v>
      </c>
      <c r="M73">
        <f>M$5*V73</f>
        <v>0</v>
      </c>
      <c r="N73">
        <f>N$5*V73</f>
        <v>0</v>
      </c>
      <c r="O73">
        <f>O$5*V73</f>
        <v>0</v>
      </c>
      <c r="P73">
        <f>P$5*V73</f>
        <v>0</v>
      </c>
      <c r="Q73">
        <f>Q$5*V73</f>
        <v>0</v>
      </c>
      <c r="R73">
        <f>R$5*V73</f>
        <v>0</v>
      </c>
      <c r="S73">
        <f>S$5*V73</f>
        <v>0</v>
      </c>
      <c r="U73" t="s">
        <v>1303</v>
      </c>
      <c r="V73">
        <f>_xlfn.XLOOKUP(U73,'KPI Impacts'!$B$2:$H$2,'KPI Impacts'!$B73:$H73)</f>
        <v>0</v>
      </c>
      <c r="Y73" s="12" cm="1">
        <f t="array" ref="Y73">_xlfn.SWITCH(Y$4, 0,0, 1, AJ73,2,AL73,3,AN73,0)</f>
        <v>0</v>
      </c>
      <c r="Z73" s="12" cm="1">
        <f t="array" ref="Z73">_xlfn.SWITCH(Z$4, 0,0, 1, AJ73,2,AL73,3,AN73,0)+Y73</f>
        <v>0</v>
      </c>
      <c r="AA73" s="12" cm="1">
        <f t="array" ref="AA73">_xlfn.SWITCH(AA$4, 0,0, 1, AJ73,2,AL73,3,AN73,0)+Z73</f>
        <v>0</v>
      </c>
      <c r="AB73" s="12" cm="1">
        <f t="array" ref="AB73">_xlfn.SWITCH(AB$4, 0,0, 1, AJ73,2,AL73,3,AN73,0)+AA73</f>
        <v>0</v>
      </c>
      <c r="AC73" s="12" cm="1">
        <f t="array" ref="AC73">_xlfn.SWITCH(AC$4, 0,0, 1, AJ73,2,AL73,3,AN73,0)+AB73</f>
        <v>0</v>
      </c>
      <c r="AD73" s="12" cm="1">
        <f t="array" ref="AD73">_xlfn.SWITCH(AD$4, 0,0, 1, AJ73,2,AL73,3,AN73,0)+AC73</f>
        <v>0</v>
      </c>
      <c r="AE73" s="12" cm="1">
        <f t="array" ref="AE73">_xlfn.SWITCH(AE$4, 0,0, 1, AJ73,2,AL73,3,AN73,0)+AD73</f>
        <v>0</v>
      </c>
      <c r="AF73" s="12" cm="1">
        <f t="array" ref="AF73">_xlfn.SWITCH(AF$4, 0,0, 1, AJ73,2,AL73,3,AN73,0)+AE73</f>
        <v>0</v>
      </c>
      <c r="AG73" s="12" cm="1">
        <f t="array" ref="AG73">_xlfn.SWITCH(AG$4, 0,0, 1, AJ73,2,AL73,3,AN73,0)+AF73</f>
        <v>0</v>
      </c>
      <c r="AI73" t="s">
        <v>1303</v>
      </c>
      <c r="AJ73">
        <f>_xlfn.XLOOKUP(AI73,'KPI Impacts'!$K$2:$Q$2,'KPI Impacts'!$K73:$Q73)</f>
        <v>0</v>
      </c>
      <c r="AK73" t="s">
        <v>1303</v>
      </c>
      <c r="AL73">
        <f>_xlfn.XLOOKUP(AK73,'KPI Impacts'!$K$2:$Q$2,'KPI Impacts'!$K73:$Q73)</f>
        <v>0</v>
      </c>
      <c r="AM73" t="s">
        <v>1303</v>
      </c>
      <c r="AN73">
        <f>_xlfn.XLOOKUP(AM73,'KPI Impacts'!$K$2:$Q$2,'KPI Impacts'!$K73:$Q73)</f>
        <v>0</v>
      </c>
      <c r="AQ73" s="12" cm="1">
        <f t="array" ref="AQ73">_xlfn.SWITCH(AQ$4, 0,0, 1, BB73,2,BD73,3,BF73,0)</f>
        <v>0</v>
      </c>
      <c r="AR73" s="12" cm="1">
        <f t="array" ref="AR73">_xlfn.SWITCH(AR$4, 0,0, 1, BB73,2,BD73,3,BF73,0)+AQ73</f>
        <v>0</v>
      </c>
      <c r="AS73" s="12" cm="1">
        <f t="array" ref="AS73">_xlfn.SWITCH(AS$4, 0,0, 1, BB73,2,BD73,3,BF73,0)+AR73</f>
        <v>0</v>
      </c>
      <c r="AT73" s="12" cm="1">
        <f t="array" ref="AT73">_xlfn.SWITCH(AT$4, 0,0, 1, BB73,2,BD73,3,BF73,0)+AS73</f>
        <v>0</v>
      </c>
      <c r="AU73" s="12" cm="1">
        <f t="array" ref="AU73">_xlfn.SWITCH(AU$4, 0,0, 1, BB73,2,BD73,3,BF73,0)+AT73</f>
        <v>0</v>
      </c>
      <c r="AV73" s="12" cm="1">
        <f t="array" ref="AV73">_xlfn.SWITCH(AV$4, 0,0, 1, BB73,2,BD73,3,BF73,0)+AU73</f>
        <v>0</v>
      </c>
      <c r="AW73" s="12" cm="1">
        <f t="array" ref="AW73">_xlfn.SWITCH(AW$4, 0,0, 1, BB73,2,BD73,3,BF73,0)+AV73</f>
        <v>0</v>
      </c>
      <c r="AX73" s="12" cm="1">
        <f t="array" ref="AX73">_xlfn.SWITCH(AX$4, 0,0, 1, BB73,2,BD73,3,BF73,0)+AW73</f>
        <v>0</v>
      </c>
      <c r="AY73" s="12" cm="1">
        <f t="array" ref="AY73">_xlfn.SWITCH(AY$4, 0,0, 1, BB73,2,BD73,3,BF73,0)+AX73</f>
        <v>0</v>
      </c>
      <c r="BA73" t="s">
        <v>1303</v>
      </c>
      <c r="BB73">
        <f>_xlfn.XLOOKUP(BA73,'KPI Impacts'!$K$2:$Q$2,'KPI Impacts'!$K73:$Q73)</f>
        <v>0</v>
      </c>
      <c r="BC73" t="s">
        <v>1303</v>
      </c>
      <c r="BD73">
        <f>_xlfn.XLOOKUP(BC73,'KPI Impacts'!$K$2:$Q$2,'KPI Impacts'!$K73:$Q73)</f>
        <v>0</v>
      </c>
      <c r="BE73" t="s">
        <v>1303</v>
      </c>
      <c r="BF73">
        <f>_xlfn.XLOOKUP(BE73,'KPI Impacts'!$K$2:$Q$2,'KPI Impacts'!$K73:$Q73)</f>
        <v>0</v>
      </c>
      <c r="BI73" s="12">
        <f>BI$22*BT73</f>
        <v>0</v>
      </c>
      <c r="BJ73" s="12">
        <f>BJ$22 * IF(AND(BI$5=1,BI$20=1), BV73, BT73)</f>
        <v>0</v>
      </c>
      <c r="BK73" s="12">
        <f>BK$22 * IF(AND(BJ$5=1,BI$20=1), BV73, BT73)</f>
        <v>0</v>
      </c>
      <c r="BL73" s="12">
        <f>BL$22 * IF(AND(BK$5=1,BI$20=1), BV73, BT73)</f>
        <v>0</v>
      </c>
      <c r="BM73" s="12">
        <f>BM$22 * IF(AND(BL$5=1,BI$20=1), BV73, BT73)</f>
        <v>0</v>
      </c>
      <c r="BN73" s="12">
        <f>BN$22 * IF(AND(BM$5=1,BI$20=1), BV73, BT73)</f>
        <v>0</v>
      </c>
      <c r="BO73" s="12">
        <f>BO$22 * IF(AND(BN$5=1,BI$20=1), BV73, BT73)</f>
        <v>0</v>
      </c>
      <c r="BP73" s="12">
        <f>BP$22 * IF(AND(BO$5=1,BI$20=1), BV73, BT73)</f>
        <v>0</v>
      </c>
      <c r="BQ73" s="12">
        <f>BQ$22 * IF(AND(BP$5=1,BI$20=1), BV73, BT73)</f>
        <v>0</v>
      </c>
      <c r="BS73" s="16" t="s">
        <v>1303</v>
      </c>
      <c r="BT73">
        <f>_xlfn.XLOOKUP(BS73,'KPI Impacts'!$B$2:$H$2,'KPI Impacts'!$B73:$H73)</f>
        <v>0</v>
      </c>
      <c r="BU73" s="35" t="s">
        <v>1303</v>
      </c>
      <c r="BV73">
        <f>_xlfn.XLOOKUP(BU73,'KPI Impacts'!$B$2:$H$2,'KPI Impacts'!$B73:$H73)</f>
        <v>0</v>
      </c>
      <c r="BY73" s="12">
        <f>BY$22*CJ73</f>
        <v>0</v>
      </c>
      <c r="BZ73" s="12">
        <f>BZ$22 * IF(AND(BY$5=1,BY$20=1), CL73, CJ73)</f>
        <v>0</v>
      </c>
      <c r="CA73" s="12">
        <f>CA$22 * IF(AND(BZ$5=1,BY$20=1), CL73, CJ73)</f>
        <v>0</v>
      </c>
      <c r="CB73" s="12">
        <f>CB$22 * IF(AND(CA$5=1,BY$20=1), CL73, CJ73)</f>
        <v>0</v>
      </c>
      <c r="CC73" s="12">
        <f>CC$22 * IF(AND(CB$5=1,BY$20=1), CL73, CJ73)</f>
        <v>0</v>
      </c>
      <c r="CD73" s="12">
        <f>CD$22 * IF(AND(CC$5=1,BY$20=1), CL73, CJ73)</f>
        <v>0</v>
      </c>
      <c r="CE73" s="12">
        <f>CE$22 * IF(AND(CD$5=1,BY$20=1), CL73, CJ73)</f>
        <v>0</v>
      </c>
      <c r="CF73" s="12">
        <f>CF$22 * IF(AND(CE$5=1,BY$20=1), CL73, CJ73)</f>
        <v>0</v>
      </c>
      <c r="CG73" s="12">
        <f>CG$22 * IF(AND(CF$5=1,BY$20=1), CL73, CJ73)</f>
        <v>0</v>
      </c>
      <c r="CI73" s="16" t="s">
        <v>1303</v>
      </c>
      <c r="CJ73">
        <f>_xlfn.XLOOKUP(CI73,'KPI Impacts'!$B$2:$H$2,'KPI Impacts'!$B73:$H73)</f>
        <v>0</v>
      </c>
      <c r="CK73" s="35" t="s">
        <v>1303</v>
      </c>
      <c r="CL73">
        <f>_xlfn.XLOOKUP(CK73,'KPI Impacts'!$B$2:$H$2,'KPI Impacts'!$B73:$H73)</f>
        <v>0</v>
      </c>
      <c r="CO73" s="12">
        <f>CO$22*CZ73</f>
        <v>0</v>
      </c>
      <c r="CP73" s="12">
        <f>CP$22 * IF(AND(CO$5=1,CO$20=1), DB73, CZ73)</f>
        <v>0</v>
      </c>
      <c r="CQ73" s="12">
        <f>CQ$22 * IF(AND(CP$5=1,CO$20=1), DB73, CZ73)</f>
        <v>0</v>
      </c>
      <c r="CR73" s="12">
        <f>CR$22 * IF(AND(CQ$5=1,CO$20=1), DB73, CZ73)</f>
        <v>0</v>
      </c>
      <c r="CS73" s="12">
        <f>CS$22 * IF(AND(CR$5=1,CO$20=1), DB73, CZ73)</f>
        <v>0</v>
      </c>
      <c r="CT73" s="12">
        <f>CT$22 * IF(AND(CS$5=1,CO$20=1), DB73, CZ73)</f>
        <v>0</v>
      </c>
      <c r="CU73" s="12">
        <f>CU$22 * IF(AND(CT$5=1,CO$20=1), DB73, CZ73)</f>
        <v>0</v>
      </c>
      <c r="CV73" s="12">
        <f>CV$22 * IF(AND(CU$5=1,CO$20=1), DB73, CZ73)</f>
        <v>0</v>
      </c>
      <c r="CW73" s="12">
        <f>CW$22 * IF(AND(CV$5=1,CO$20=1), DB73, CZ73)</f>
        <v>0</v>
      </c>
      <c r="CY73" s="16" t="s">
        <v>1303</v>
      </c>
      <c r="CZ73">
        <f>_xlfn.XLOOKUP(CY73,'KPI Impacts'!$B$2:$H$2,'KPI Impacts'!$B73:$H73)</f>
        <v>0</v>
      </c>
      <c r="DA73" s="35" t="s">
        <v>1303</v>
      </c>
      <c r="DB73">
        <f>_xlfn.XLOOKUP(DA73,'KPI Impacts'!$B$2:$H$2,'KPI Impacts'!$B73:$H73)</f>
        <v>0</v>
      </c>
      <c r="DE73" s="12">
        <f>DE$22*DP73</f>
        <v>0</v>
      </c>
      <c r="DF73" s="12">
        <f>DF$22 * IF(AND(DE$5=1,DE$20=1), DR73, DP73)</f>
        <v>0</v>
      </c>
      <c r="DG73" s="12">
        <f>DG$22 * IF(AND(DF$5=1,DE$20=1), DR73, DP73)</f>
        <v>0</v>
      </c>
      <c r="DH73" s="12">
        <f>DH$22 * IF(AND(DG$5=1,DE$20=1), DR73, DP73)</f>
        <v>0</v>
      </c>
      <c r="DI73" s="12">
        <f>DI$22 * IF(AND(DH$5=1,DE$20=1), DR73, DP73)</f>
        <v>0</v>
      </c>
      <c r="DJ73" s="12">
        <f>DJ$22 * IF(AND(DI$5=1,DE$20=1), DR73, DP73)</f>
        <v>0</v>
      </c>
      <c r="DK73" s="12">
        <f>DK$22 * IF(AND(DJ$5=1,DE$20=1), DR73, DP73)</f>
        <v>0</v>
      </c>
      <c r="DL73" s="12">
        <f>DL$22 * IF(AND(DK$5=1,DE$20=1), DR73, DP73)</f>
        <v>0</v>
      </c>
      <c r="DM73" s="12">
        <f>DM$22 * IF(AND(DL$5=1,DE$20=1), DR73, DP73)</f>
        <v>0</v>
      </c>
      <c r="DO73" s="16" t="s">
        <v>1303</v>
      </c>
      <c r="DP73">
        <f>_xlfn.XLOOKUP(DO73,'KPI Impacts'!$B$2:$H$2,'KPI Impacts'!$B73:$H73)</f>
        <v>0</v>
      </c>
      <c r="DQ73" s="35" t="s">
        <v>1303</v>
      </c>
      <c r="DR73">
        <f>_xlfn.XLOOKUP(DQ73,'KPI Impacts'!$B$2:$H$2,'KPI Impacts'!$B73:$H73)</f>
        <v>0</v>
      </c>
      <c r="DU73" s="12">
        <f>DU$22*EF73</f>
        <v>0</v>
      </c>
      <c r="DV73" s="12">
        <f>DV$22 * IF(AND(DU$5=1,DU$20=1), EH73, EF73)</f>
        <v>0</v>
      </c>
      <c r="DW73" s="12">
        <f>DW$22 * IF(AND(DV$5=1,DU$20=1), EH73, EF73)</f>
        <v>0</v>
      </c>
      <c r="DX73" s="12">
        <f>DX$22 * IF(AND(DW$5=1,DU$20=1), EH73, EF73)</f>
        <v>0</v>
      </c>
      <c r="DY73" s="12">
        <f>DY$22 * IF(AND(DX$5=1,DU$20=1), EH73, EF73)</f>
        <v>0</v>
      </c>
      <c r="DZ73" s="12">
        <f>DZ$22 * IF(AND(DY$5=1,DU$20=1), EH73, EF73)</f>
        <v>0</v>
      </c>
      <c r="EA73" s="12">
        <f>EA$22 * IF(AND(DZ$5=1,DU$20=1), EH73, EF73)</f>
        <v>0</v>
      </c>
      <c r="EB73" s="12">
        <f>EB$22 * IF(AND(EA$5=1,DU$20=1), EH73, EF73)</f>
        <v>0</v>
      </c>
      <c r="EC73" s="12">
        <f>EC$22 * IF(AND(EB$5=1,DU$20=1), EH73, EF73)</f>
        <v>0</v>
      </c>
      <c r="EE73" s="16" t="s">
        <v>1303</v>
      </c>
      <c r="EF73">
        <f>_xlfn.XLOOKUP(EE73,'KPI Impacts'!$B$2:$H$2,'KPI Impacts'!$B73:$H73)</f>
        <v>0</v>
      </c>
      <c r="EG73" s="35" t="s">
        <v>1303</v>
      </c>
      <c r="EH73">
        <f>_xlfn.XLOOKUP(EG73,'KPI Impacts'!$B$2:$H$2,'KPI Impacts'!$B73:$H73)</f>
        <v>0</v>
      </c>
      <c r="EK73" s="12">
        <f>EK$22*EV73</f>
        <v>0</v>
      </c>
      <c r="EL73" s="12">
        <f>EL$22 * IF(AND(EK$5=1,EK$20=1), EX73, EV73)</f>
        <v>0</v>
      </c>
      <c r="EM73" s="12">
        <f>EM$22 * IF(AND(EL$5=1,EK$20=1), EX73, EV73)</f>
        <v>0</v>
      </c>
      <c r="EN73" s="12">
        <f>EN$22 * IF(AND(EM$5=1,EK$20=1), EX73, EV73)</f>
        <v>0</v>
      </c>
      <c r="EO73" s="12">
        <f>EO$22 * IF(AND(EN$5=1,EK$20=1), EX73, EV73)</f>
        <v>0</v>
      </c>
      <c r="EP73" s="12">
        <f>EP$22 * IF(AND(EO$5=1,EK$20=1), EX73, EV73)</f>
        <v>0</v>
      </c>
      <c r="EQ73" s="12">
        <f>EQ$22 * IF(AND(EP$5=1,EK$20=1), EX73, EV73)</f>
        <v>0</v>
      </c>
      <c r="ER73" s="12">
        <f>ER$22 * IF(AND(EQ$5=1,EK$20=1), EX73, EV73)</f>
        <v>0</v>
      </c>
      <c r="ES73" s="12">
        <f>ES$22 * IF(AND(ER$5=1,EK$20=1), EX73, EV73)</f>
        <v>0</v>
      </c>
      <c r="EU73" s="16" t="s">
        <v>1303</v>
      </c>
      <c r="EV73">
        <f>_xlfn.XLOOKUP(EU73,'KPI Impacts'!$B$2:$H$2,'KPI Impacts'!$B73:$H73)</f>
        <v>0</v>
      </c>
      <c r="EW73" s="35" t="s">
        <v>1303</v>
      </c>
      <c r="EX73">
        <f>_xlfn.XLOOKUP(EW73,'KPI Impacts'!$B$2:$H$2,'KPI Impacts'!$B73:$H73)</f>
        <v>0</v>
      </c>
      <c r="FA73" s="12">
        <f>FA$22*FL73</f>
        <v>0</v>
      </c>
      <c r="FB73" s="12">
        <f>FB$22 * IF(AND(FA$5=1,FA$20=1), FN73, FL73)</f>
        <v>0</v>
      </c>
      <c r="FC73" s="12">
        <f>FC$22 * IF(AND(FB$5=1,FA$20=1), FN73, FL73)</f>
        <v>0</v>
      </c>
      <c r="FD73" s="12">
        <f>FD$22 * IF(AND(FC$5=1,FA$20=1), FN73, FL73)</f>
        <v>0</v>
      </c>
      <c r="FE73" s="12">
        <f>FE$22 * IF(AND(FD$5=1,FA$20=1), FN73, FL73)</f>
        <v>0</v>
      </c>
      <c r="FF73" s="12">
        <f>FF$22 * IF(AND(FE$5=1,FA$20=1), FN73, FL73)</f>
        <v>0</v>
      </c>
      <c r="FG73" s="12">
        <f>FG$22 * IF(AND(FF$5=1,FA$20=1), FN73, FL73)</f>
        <v>0</v>
      </c>
      <c r="FH73" s="12">
        <f>FH$22 * IF(AND(FG$5=1,FA$20=1), FN73, FL73)</f>
        <v>0</v>
      </c>
      <c r="FI73" s="12">
        <f>FI$22 * IF(AND(FH$5=1,FA$20=1), FN73, FL73)</f>
        <v>0</v>
      </c>
      <c r="FK73" s="16" t="s">
        <v>1303</v>
      </c>
      <c r="FL73">
        <f>_xlfn.XLOOKUP(FK73,'KPI Impacts'!$B$2:$H$2,'KPI Impacts'!$B73:$H73)</f>
        <v>0</v>
      </c>
      <c r="FM73" s="16" t="s">
        <v>1303</v>
      </c>
      <c r="FN73">
        <f>_xlfn.XLOOKUP(FM73,'KPI Impacts'!$B$2:$H$2,'KPI Impacts'!$B73:$H73)</f>
        <v>0</v>
      </c>
      <c r="FQ73" s="12">
        <f>FQ$22*GB73</f>
        <v>0</v>
      </c>
      <c r="FR73" s="12">
        <f>FR$22 * IF(AND(FQ$5=1,FQ$20=1), GD73, GB73)</f>
        <v>0</v>
      </c>
      <c r="FS73" s="12">
        <f>FS$22 * IF(AND(FR$5=1,FQ$20=1), GD73, GB73)</f>
        <v>0</v>
      </c>
      <c r="FT73" s="12">
        <f>FT$22 * IF(AND(FS$5=1,FQ$20=1), GD73, GB73)</f>
        <v>0</v>
      </c>
      <c r="FU73" s="12">
        <f>FU$22 * IF(AND(FT$5=1,FQ$20=1), GD73, GB73)</f>
        <v>0</v>
      </c>
      <c r="FV73" s="12">
        <f>FV$22 * IF(AND(FU$5=1,FQ$20=1), GD73, GB73)</f>
        <v>0</v>
      </c>
      <c r="FW73" s="12">
        <f>FW$22 * IF(AND(FV$5=1,FQ$20=1), GD73, GB73)</f>
        <v>0</v>
      </c>
      <c r="FX73" s="12">
        <f>FX$22 * IF(AND(FW$5=1,FQ$20=1), GD73, GB73)</f>
        <v>0</v>
      </c>
      <c r="FY73" s="12">
        <f>FY$22 * IF(AND(FX$5=1,FQ$20=1), GD73, GB73)</f>
        <v>0</v>
      </c>
      <c r="GA73" s="16" t="s">
        <v>1303</v>
      </c>
      <c r="GB73">
        <f>_xlfn.XLOOKUP(GA73,'KPI Impacts'!$B$2:$H$2,'KPI Impacts'!$B73:$H73)</f>
        <v>0</v>
      </c>
      <c r="GC73" s="9" t="s">
        <v>1303</v>
      </c>
      <c r="GD73">
        <f>_xlfn.XLOOKUP(GC73,'KPI Impacts'!$B$2:$H$2,'KPI Impacts'!$B73:$H73)</f>
        <v>0</v>
      </c>
      <c r="GG73" s="12">
        <f>GG$22*GR73</f>
        <v>0</v>
      </c>
      <c r="GH73" s="12">
        <f>GH$22 * IF(AND(GG$5=1,GG$20=1), GT73, GR73)</f>
        <v>0</v>
      </c>
      <c r="GI73" s="12">
        <f>GI$22 * IF(AND(GH$5=1,GG$20=1), GT73, GR73)</f>
        <v>0</v>
      </c>
      <c r="GJ73" s="12">
        <f>GJ$22 * IF(AND(GI$5=1,GG$20=1), GT73, GR73)</f>
        <v>0</v>
      </c>
      <c r="GK73" s="12">
        <f>GK$22 * IF(AND(GJ$5=1,GG$20=1), GT73, GR73)</f>
        <v>0</v>
      </c>
      <c r="GL73" s="12">
        <f>GL$22 * IF(AND(GK$5=1,GG$20=1), GT73, GR73)</f>
        <v>0</v>
      </c>
      <c r="GM73" s="12">
        <f>GM$22 * IF(AND(GL$5=1,GG$20=1), GT73, GR73)</f>
        <v>0</v>
      </c>
      <c r="GN73" s="12">
        <f>GN$22 * IF(AND(GM$5=1,GG$20=1), GT73, GR73)</f>
        <v>0</v>
      </c>
      <c r="GO73" s="12">
        <f>GO$22 * IF(AND(GN$5=1,GG$20=1), GT73, GR73)</f>
        <v>0</v>
      </c>
      <c r="GQ73" s="16" t="s">
        <v>1303</v>
      </c>
      <c r="GR73">
        <f>_xlfn.XLOOKUP(GQ73,'KPI Impacts'!$B$2:$H$2,'KPI Impacts'!$B73:$H73)</f>
        <v>0</v>
      </c>
      <c r="GS73" s="9" t="s">
        <v>1303</v>
      </c>
      <c r="GT73">
        <f>_xlfn.XLOOKUP(GS73,'KPI Impacts'!$B$2:$H$2,'KPI Impacts'!$B73:$H73)</f>
        <v>0</v>
      </c>
      <c r="GW73" s="12">
        <f>GW$22*HH73</f>
        <v>0</v>
      </c>
      <c r="GX73" s="12">
        <f>GX$22 * IF(AND(GW$5=1,GW$20=1), HJ73, HH73)</f>
        <v>0</v>
      </c>
      <c r="GY73" s="12">
        <f>GY$22 * IF(AND(GX$5=1,GW$20=1), HJ73, HH73)</f>
        <v>0</v>
      </c>
      <c r="GZ73" s="12">
        <f>GZ$22 * IF(AND(GY$5=1,GW$20=1), HJ73, HH73)</f>
        <v>0</v>
      </c>
      <c r="HA73" s="12">
        <f>HA$22 * IF(AND(GZ$5=1,GW$20=1), HJ73, HH73)</f>
        <v>0</v>
      </c>
      <c r="HB73" s="12">
        <f>HB$22 * IF(AND(HA$5=1,GW$20=1), HJ73, HH73)</f>
        <v>0</v>
      </c>
      <c r="HC73" s="12">
        <f>HC$22 * IF(AND(HB$5=1,GW$20=1), HJ73, HH73)</f>
        <v>0</v>
      </c>
      <c r="HD73" s="12">
        <f>HD$22 * IF(AND(HC$5=1,GW$20=1), HJ73, HH73)</f>
        <v>0</v>
      </c>
      <c r="HE73" s="12">
        <f>HE$22 * IF(AND(HD$5=1,GW$20=1), HJ73, HH73)</f>
        <v>0</v>
      </c>
      <c r="HG73" s="16" t="s">
        <v>1303</v>
      </c>
      <c r="HH73">
        <f>_xlfn.XLOOKUP(HG73,'KPI Impacts'!$B$2:$H$2,'KPI Impacts'!$B73:$H73)</f>
        <v>0</v>
      </c>
      <c r="HI73" s="9" t="s">
        <v>1303</v>
      </c>
      <c r="HJ73">
        <f>_xlfn.XLOOKUP(HI73,'KPI Impacts'!$B$2:$H$2,'KPI Impacts'!$B73:$H73)</f>
        <v>0</v>
      </c>
      <c r="HM73" s="12">
        <f>HM$22*HX73</f>
        <v>0</v>
      </c>
      <c r="HN73" s="12">
        <f>HN$22 * IF(AND(HM$5=1,HM$20=1), HZ73, HX73)</f>
        <v>0</v>
      </c>
      <c r="HO73" s="12">
        <f>HO$22 * IF(AND(HN$5=1,HM$20=1), HZ73, HX73)</f>
        <v>0</v>
      </c>
      <c r="HP73" s="12">
        <f>HP$22 * IF(AND(HO$5=1,HM$20=1), HZ73, HX73)</f>
        <v>0</v>
      </c>
      <c r="HQ73" s="12">
        <f>HQ$22 * IF(AND(HP$5=1,HM$20=1), HZ73, HX73)</f>
        <v>0</v>
      </c>
      <c r="HR73" s="12">
        <f>HR$22 * IF(AND(HQ$5=1,HM$20=1), HZ73, HX73)</f>
        <v>0</v>
      </c>
      <c r="HS73" s="12">
        <f>HS$22 * IF(AND(HR$5=1,HM$20=1), HZ73, HX73)</f>
        <v>0</v>
      </c>
      <c r="HT73" s="12">
        <f>HT$22 * IF(AND(HS$5=1,HM$20=1), HZ73, HX73)</f>
        <v>0</v>
      </c>
      <c r="HU73" s="12">
        <f>HU$22 * IF(AND(HT$5=1,HM$20=1), HZ73, HX73)</f>
        <v>0</v>
      </c>
      <c r="HW73" s="16" t="s">
        <v>1303</v>
      </c>
      <c r="HX73">
        <f>_xlfn.XLOOKUP(HW73,'KPI Impacts'!$B$2:$H$2,'KPI Impacts'!$B73:$H73)</f>
        <v>0</v>
      </c>
      <c r="HY73" s="9" t="s">
        <v>1303</v>
      </c>
      <c r="HZ73">
        <f>_xlfn.XLOOKUP(HY73,'KPI Impacts'!$B$2:$H$2,'KPI Impacts'!$B73:$H73)</f>
        <v>0</v>
      </c>
      <c r="IC73" s="12">
        <f>IC$22*IN73</f>
        <v>0</v>
      </c>
      <c r="ID73" s="12">
        <f>ID$22 * IF(AND(IC$5=1,IC$20=1), IP73, IN73)</f>
        <v>0</v>
      </c>
      <c r="IE73" s="12">
        <f>IE$22 * IF(AND(ID$5=1,IC$20=1), IP73, IN73)</f>
        <v>0</v>
      </c>
      <c r="IF73" s="12">
        <f>IF$22 * IF(AND(IE$5=1,IC$20=1), IP73, IN73)</f>
        <v>0</v>
      </c>
      <c r="IG73" s="12">
        <f>IG$22 * IF(AND(IF$5=1,IC$20=1), IP73, IN73)</f>
        <v>0</v>
      </c>
      <c r="IH73" s="12">
        <f>IH$22 * IF(AND(IG$5=1,IC$20=1), IP73, IN73)</f>
        <v>0</v>
      </c>
      <c r="II73" s="12">
        <f>II$22 * IF(AND(IH$5=1,IC$20=1), IP73, IN73)</f>
        <v>0</v>
      </c>
      <c r="IJ73" s="12">
        <f>IJ$22 * IF(AND(II$5=1,IC$20=1), IP73, IN73)</f>
        <v>0</v>
      </c>
      <c r="IK73" s="12">
        <f>IK$22 * IF(AND(IJ$5=1,IC$20=1), IP73, IN73)</f>
        <v>0</v>
      </c>
      <c r="IM73" s="16" t="s">
        <v>1303</v>
      </c>
      <c r="IN73">
        <f>_xlfn.XLOOKUP(IM73,'KPI Impacts'!$B$2:$H$2,'KPI Impacts'!$B73:$H73)</f>
        <v>0</v>
      </c>
      <c r="IO73" s="9" t="s">
        <v>1303</v>
      </c>
      <c r="IP73">
        <f>_xlfn.XLOOKUP(IO73,'KPI Impacts'!$B$2:$H$2,'KPI Impacts'!$B73:$H73)</f>
        <v>0</v>
      </c>
      <c r="IS73" s="12">
        <f>IS$22*JD73</f>
        <v>0</v>
      </c>
      <c r="IT73" s="12">
        <f>IT$22 * IF(AND(IS$5=1,IS$20=1), JF73, JD73)</f>
        <v>0</v>
      </c>
      <c r="IU73" s="12">
        <f>IU$22 * IF(AND(IT$5=1,IS$20=1), JF73, JD73)</f>
        <v>0</v>
      </c>
      <c r="IV73" s="12">
        <f>IV$22 * IF(AND(IU$5=1,IS$20=1), JF73, JD73)</f>
        <v>0</v>
      </c>
      <c r="IW73" s="12">
        <f>IW$22 * IF(AND(IV$5=1,IS$20=1), JF73, JD73)</f>
        <v>0</v>
      </c>
      <c r="IX73" s="12">
        <f>IX$22 * IF(AND(IW$5=1,IS$20=1), JF73, JD73)</f>
        <v>0</v>
      </c>
      <c r="IY73" s="12">
        <f>IY$22 * IF(AND(IX$5=1,IS$20=1), JF73, JD73)</f>
        <v>0</v>
      </c>
      <c r="IZ73" s="12">
        <f>IZ$22 * IF(AND(IY$5=1,IS$20=1), JF73, JD73)</f>
        <v>0</v>
      </c>
      <c r="JA73" s="12">
        <f>JA$22 * IF(AND(IZ$5=1,IS$20=1), JF73, JD73)</f>
        <v>0</v>
      </c>
      <c r="JC73" t="s">
        <v>1303</v>
      </c>
      <c r="JD73">
        <f>_xlfn.XLOOKUP(JC73,'KPI Impacts'!$B$2:$H$2,'KPI Impacts'!$B73:$H73)</f>
        <v>0</v>
      </c>
      <c r="JE73" s="9" t="s">
        <v>1303</v>
      </c>
      <c r="JF73">
        <f>_xlfn.XLOOKUP(JE73,'KPI Impacts'!$B$2:$H$2,'KPI Impacts'!$B73:$H73)</f>
        <v>0</v>
      </c>
      <c r="JI73" s="12">
        <f>JI$22*JT73</f>
        <v>0</v>
      </c>
      <c r="JJ73" s="12">
        <f>JJ$22 * IF(AND(JI$5=1,JI$20=1), JV73, JT73)</f>
        <v>0</v>
      </c>
      <c r="JK73" s="12">
        <f>JK$22 * IF(AND(JJ$5=1,JI$20=1), JV73, JT73)</f>
        <v>0</v>
      </c>
      <c r="JL73" s="12">
        <f>JL$22 * IF(AND(JK$5=1,JI$20=1), JV73, JT73)</f>
        <v>0</v>
      </c>
      <c r="JM73" s="12">
        <f>JM$22 * IF(AND(JL$5=1,JI$20=1), JV73, JT73)</f>
        <v>0</v>
      </c>
      <c r="JN73" s="12">
        <f>JN$22 * IF(AND(JM$5=1,JI$20=1), JV73, JT73)</f>
        <v>0</v>
      </c>
      <c r="JO73" s="12">
        <f>JO$22 * IF(AND(JN$5=1,JI$20=1), JV73, JT73)</f>
        <v>0</v>
      </c>
      <c r="JP73" s="12">
        <f>JP$22 * IF(AND(JO$5=1,JI$20=1), JV73, JT73)</f>
        <v>0</v>
      </c>
      <c r="JQ73" s="12">
        <f>JQ$22 * IF(AND(JP$5=1,JI$20=1), JV73, JT73)</f>
        <v>0</v>
      </c>
      <c r="JS73" t="s">
        <v>1303</v>
      </c>
      <c r="JT73">
        <f>_xlfn.XLOOKUP(JS73,'KPI Impacts'!$B$2:$H$2,'KPI Impacts'!$B73:$H73)</f>
        <v>0</v>
      </c>
      <c r="JU73" s="9" t="s">
        <v>1303</v>
      </c>
      <c r="JV73">
        <f>_xlfn.XLOOKUP(JU73,'KPI Impacts'!$B$2:$H$2,'KPI Impacts'!$B73:$H73)</f>
        <v>0</v>
      </c>
      <c r="JY73" s="12">
        <f>JY$22*KJ73</f>
        <v>0</v>
      </c>
      <c r="JZ73" s="12">
        <f>JZ$22 * IF(AND(JY$5=1,JY$20=1), KL73, KJ73)</f>
        <v>0</v>
      </c>
      <c r="KA73" s="12">
        <f>KA$22 * IF(AND(JZ$5=1,JY$20=1), KL73, KJ73)</f>
        <v>0</v>
      </c>
      <c r="KB73" s="12">
        <f>KB$22 * IF(AND(KA$5=1,JY$20=1), KL73, KJ73)</f>
        <v>0</v>
      </c>
      <c r="KC73" s="12">
        <f>KC$22 * IF(AND(KB$5=1,JY$20=1), KL73, KJ73)</f>
        <v>0</v>
      </c>
      <c r="KD73" s="12">
        <f>KD$22 * IF(AND(KC$5=1,JY$20=1), KL73, KJ73)</f>
        <v>0</v>
      </c>
      <c r="KE73" s="12">
        <f>KE$22 * IF(AND(KD$5=1,JY$20=1), KL73, KJ73)</f>
        <v>0</v>
      </c>
      <c r="KF73" s="12">
        <f>KF$22 * IF(AND(KE$5=1,JY$20=1), KL73, KJ73)</f>
        <v>0</v>
      </c>
      <c r="KG73" s="12">
        <f>KG$22 * IF(AND(KF$5=1,JY$20=1), KL73, KJ73)</f>
        <v>0</v>
      </c>
      <c r="KI73" t="s">
        <v>1303</v>
      </c>
      <c r="KJ73">
        <f>_xlfn.XLOOKUP(KI73,'KPI Impacts'!$B$2:$H$2,'KPI Impacts'!$B73:$H73)</f>
        <v>0</v>
      </c>
      <c r="KK73" s="9" t="s">
        <v>1303</v>
      </c>
      <c r="KL73">
        <f>_xlfn.XLOOKUP(KK73,'KPI Impacts'!$B$2:$H$2,'KPI Impacts'!$B73:$H73)</f>
        <v>0</v>
      </c>
      <c r="KO73" s="12">
        <f>KO$22*KZ73</f>
        <v>0</v>
      </c>
      <c r="KP73" s="12">
        <f>KP$22 * IF(AND(KO$5=1,KO$20=1), LB73, KZ73)</f>
        <v>0</v>
      </c>
      <c r="KQ73" s="12">
        <f>KQ$22 * IF(AND(KP$5=1,KO$20=1), LB73, KZ73)</f>
        <v>0</v>
      </c>
      <c r="KR73" s="12">
        <f>KR$22 * IF(AND(KQ$5=1,KO$20=1), LB73, KZ73)</f>
        <v>0</v>
      </c>
      <c r="KS73" s="12">
        <f>KS$22 * IF(AND(KR$5=1,KO$20=1), LB73, KZ73)</f>
        <v>0</v>
      </c>
      <c r="KT73" s="12">
        <f>KT$22 * IF(AND(KS$5=1,KO$20=1), LB73, KZ73)</f>
        <v>0</v>
      </c>
      <c r="KU73" s="12">
        <f>KU$22 * IF(AND(KT$5=1,KO$20=1), LB73, KZ73)</f>
        <v>0</v>
      </c>
      <c r="KV73" s="12">
        <f>KV$22 * IF(AND(KU$5=1,KO$20=1), LB73, KZ73)</f>
        <v>0</v>
      </c>
      <c r="KW73" s="12">
        <f>KW$22 * IF(AND(KV$5=1,KO$20=1), LB73, KZ73)</f>
        <v>0</v>
      </c>
      <c r="KY73" t="s">
        <v>1303</v>
      </c>
      <c r="KZ73">
        <f>_xlfn.XLOOKUP(KY73,'KPI Impacts'!$B$2:$H$2,'KPI Impacts'!$B73:$H73)</f>
        <v>0</v>
      </c>
      <c r="LA73" s="9" t="s">
        <v>1303</v>
      </c>
      <c r="LB73">
        <f>_xlfn.XLOOKUP(LA73,'KPI Impacts'!$B$2:$H$2,'KPI Impacts'!$B73:$H73)</f>
        <v>0</v>
      </c>
      <c r="LE73" s="12">
        <f>LE$22*LP73</f>
        <v>0</v>
      </c>
      <c r="LF73" s="12">
        <f>LF$22 * IF(AND(LE$5=1,LE$20=1), LR73, LP73)</f>
        <v>0</v>
      </c>
      <c r="LG73" s="12">
        <f>LG$22 * IF(AND(LF$5=1,LE$20=1), LR73, LP73)</f>
        <v>0</v>
      </c>
      <c r="LH73" s="12">
        <f>LH$22 * IF(AND(LG$5=1,LE$20=1), LR73, LP73)</f>
        <v>0</v>
      </c>
      <c r="LI73" s="12">
        <f>LI$22 * IF(AND(LH$5=1,LE$20=1), LR73, LP73)</f>
        <v>0</v>
      </c>
      <c r="LJ73" s="12">
        <f>LJ$22 * IF(AND(LI$5=1,LE$20=1), LR73, LP73)</f>
        <v>0</v>
      </c>
      <c r="LK73" s="12">
        <f>LK$22 * IF(AND(LJ$5=1,LE$20=1), LR73, LP73)</f>
        <v>0</v>
      </c>
      <c r="LL73" s="12">
        <f>LL$22 * IF(AND(LK$5=1,LE$20=1), LR73, LP73)</f>
        <v>0</v>
      </c>
      <c r="LM73" s="12">
        <f>LM$22 * IF(AND(LL$5=1,LE$20=1), LR73, LP73)</f>
        <v>0</v>
      </c>
      <c r="LO73" t="s">
        <v>1303</v>
      </c>
      <c r="LP73">
        <f>_xlfn.XLOOKUP(LO73,'KPI Impacts'!$B$2:$H$2,'KPI Impacts'!$B73:$H73)</f>
        <v>0</v>
      </c>
      <c r="LQ73" s="9" t="s">
        <v>1303</v>
      </c>
      <c r="LR73">
        <f>_xlfn.XLOOKUP(LQ73,'KPI Impacts'!$B$2:$H$2,'KPI Impacts'!$B73:$H73)</f>
        <v>0</v>
      </c>
      <c r="LU73" s="12">
        <f>LU$22*MF73</f>
        <v>0</v>
      </c>
      <c r="LV73" s="12">
        <f>LV$22 * IF(AND(LU$5=1,LU$20=1), MH73, MF73)</f>
        <v>0</v>
      </c>
      <c r="LW73" s="12">
        <f>LW$22 * IF(AND(LV$5=1,LU$20=1), MH73, MF73)</f>
        <v>0</v>
      </c>
      <c r="LX73" s="12">
        <f>LX$22 * IF(AND(LW$5=1,LU$20=1), MH73, MF73)</f>
        <v>0</v>
      </c>
      <c r="LY73" s="12">
        <f>LY$22 * IF(AND(LX$5=1,LU$20=1), MH73, MF73)</f>
        <v>0</v>
      </c>
      <c r="LZ73" s="12">
        <f>LZ$22 * IF(AND(LY$5=1,LU$20=1), MH73, MF73)</f>
        <v>0</v>
      </c>
      <c r="MA73" s="12">
        <f>MA$22 * IF(AND(LZ$5=1,LU$20=1), MH73, MF73)</f>
        <v>0</v>
      </c>
      <c r="MB73" s="12">
        <f>MB$22 * IF(AND(MA$5=1,LU$20=1), MH73, MF73)</f>
        <v>0</v>
      </c>
      <c r="MC73" s="12">
        <f>MC$22 * IF(AND(MB$5=1,LU$20=1), MH73, MF73)</f>
        <v>0</v>
      </c>
      <c r="ME73" t="s">
        <v>1303</v>
      </c>
      <c r="MF73">
        <f>_xlfn.XLOOKUP(ME73,'KPI Impacts'!$B$2:$H$2,'KPI Impacts'!$B73:$H73)</f>
        <v>0</v>
      </c>
      <c r="MG73" s="9" t="s">
        <v>1303</v>
      </c>
      <c r="MH73">
        <f>_xlfn.XLOOKUP(MG73,'KPI Impacts'!$B$2:$H$2,'KPI Impacts'!$B73:$H73)</f>
        <v>0</v>
      </c>
      <c r="MK73" s="12">
        <f>MK$22*MV73</f>
        <v>0</v>
      </c>
      <c r="ML73" s="12">
        <f>ML$22 * IF(AND(MK$5=1,MK$20=1), MX73, MV73)</f>
        <v>0</v>
      </c>
      <c r="MM73" s="12">
        <f>MM$22 * IF(AND(ML$5=1,MK$20=1), MX73, MV73)</f>
        <v>0</v>
      </c>
      <c r="MN73" s="12">
        <f>MN$22 * IF(AND(MM$5=1,MK$20=1), MX73, MV73)</f>
        <v>0</v>
      </c>
      <c r="MO73" s="12">
        <f>MO$22 * IF(AND(MN$5=1,MK$20=1), MX73, MV73)</f>
        <v>0</v>
      </c>
      <c r="MP73" s="12">
        <f>MP$22 * IF(AND(MO$5=1,MK$20=1), MX73, MV73)</f>
        <v>0</v>
      </c>
      <c r="MQ73" s="12">
        <f>MQ$22 * IF(AND(MP$5=1,MK$20=1), MX73, MV73)</f>
        <v>0</v>
      </c>
      <c r="MR73" s="12">
        <f>MR$22 * IF(AND(MQ$5=1,MK$20=1), MX73, MV73)</f>
        <v>0</v>
      </c>
      <c r="MS73" s="12">
        <f>MS$22 * IF(AND(MR$5=1,MK$20=1), MX73, MV73)</f>
        <v>0</v>
      </c>
      <c r="MU73" t="s">
        <v>1303</v>
      </c>
      <c r="MV73">
        <f>_xlfn.XLOOKUP(MU73,'KPI Impacts'!$B$2:$H$2,'KPI Impacts'!$B73:$H73)</f>
        <v>0</v>
      </c>
      <c r="MW73" s="9" t="s">
        <v>1303</v>
      </c>
      <c r="MX73">
        <f>_xlfn.XLOOKUP(MW73,'KPI Impacts'!$B$2:$H$2,'KPI Impacts'!$B73:$H73)</f>
        <v>0</v>
      </c>
      <c r="NA73" s="12">
        <f>NA$22*NL73</f>
        <v>0</v>
      </c>
      <c r="NB73" s="12">
        <f>NB$22 * IF(AND(NA$5=1,NA$20=1), NN73, NL73)</f>
        <v>0</v>
      </c>
      <c r="NC73" s="12">
        <f>NC$22 * IF(AND(NB$5=1,NA$20=1), NN73, NL73)</f>
        <v>0</v>
      </c>
      <c r="ND73" s="12">
        <f>ND$22 * IF(AND(NC$5=1,NA$20=1), NN73, NL73)</f>
        <v>0</v>
      </c>
      <c r="NE73" s="12">
        <f>NE$22 * IF(AND(ND$5=1,NA$20=1), NN73, NL73)</f>
        <v>0</v>
      </c>
      <c r="NF73" s="12">
        <f>NF$22 * IF(AND(NE$5=1,NA$20=1), NN73, NL73)</f>
        <v>0</v>
      </c>
      <c r="NG73" s="12">
        <f>NG$22 * IF(AND(NF$5=1,NA$20=1), NN73, NL73)</f>
        <v>0</v>
      </c>
      <c r="NH73" s="12">
        <f>NH$22 * IF(AND(NG$5=1,NA$20=1), NN73, NL73)</f>
        <v>0</v>
      </c>
      <c r="NI73" s="12">
        <f>NI$22 * IF(AND(NH$5=1,NA$20=1), NN73, NL73)</f>
        <v>0</v>
      </c>
      <c r="NK73" t="s">
        <v>1303</v>
      </c>
      <c r="NL73">
        <f>_xlfn.XLOOKUP(NK73,'KPI Impacts'!$B$2:$H$2,'KPI Impacts'!$B73:$H73)</f>
        <v>0</v>
      </c>
      <c r="NM73" s="9" t="s">
        <v>1303</v>
      </c>
      <c r="NN73">
        <f>_xlfn.XLOOKUP(NM73,'KPI Impacts'!$B$2:$H$2,'KPI Impacts'!$B73:$H73)</f>
        <v>0</v>
      </c>
      <c r="NQ73" s="12">
        <f>NQ$22*OB73</f>
        <v>0</v>
      </c>
      <c r="NR73" s="12">
        <f>NR$22 * IF(AND(NQ$5=1,NQ$20=1), OD73, OB73)</f>
        <v>0</v>
      </c>
      <c r="NS73" s="12">
        <f>NS$22 * IF(AND(NR$5=1,NQ$20=1), OD73, OB73)</f>
        <v>0</v>
      </c>
      <c r="NT73" s="12">
        <f>NT$22 * IF(AND(NS$5=1,NQ$20=1), OD73, OB73)</f>
        <v>0</v>
      </c>
      <c r="NU73" s="12">
        <f>NU$22 * IF(AND(NT$5=1,NQ$20=1), OD73, OB73)</f>
        <v>0</v>
      </c>
      <c r="NV73" s="12">
        <f>NV$22 * IF(AND(NU$5=1,NQ$20=1), OD73, OB73)</f>
        <v>0</v>
      </c>
      <c r="NW73" s="12">
        <f>NW$22 * IF(AND(NV$5=1,NQ$20=1), OD73, OB73)</f>
        <v>0</v>
      </c>
      <c r="NX73" s="12">
        <f>NX$22 * IF(AND(NW$5=1,NQ$20=1), OD73, OB73)</f>
        <v>0</v>
      </c>
      <c r="NY73" s="12">
        <f>NY$22 * IF(AND(NX$5=1,NQ$20=1), OD73, OB73)</f>
        <v>0</v>
      </c>
      <c r="OA73" t="s">
        <v>1303</v>
      </c>
      <c r="OB73">
        <f>_xlfn.XLOOKUP(OA73,'KPI Impacts'!$B$2:$H$2,'KPI Impacts'!$B73:$H73)</f>
        <v>0</v>
      </c>
      <c r="OC73" s="9" t="s">
        <v>1303</v>
      </c>
      <c r="OD73">
        <f>_xlfn.XLOOKUP(OC73,'KPI Impacts'!$B$2:$H$2,'KPI Impacts'!$B73:$H73)</f>
        <v>0</v>
      </c>
      <c r="OG73" s="12">
        <f>OG$22*OR73</f>
        <v>0</v>
      </c>
      <c r="OH73" s="12">
        <f>OH$22 * IF(AND(OG$5=1,OG$20=1), OT73, OR73)</f>
        <v>0</v>
      </c>
      <c r="OI73" s="12">
        <f>OI$22 * IF(AND(OH$5=1,OG$20=1), OT73, OR73)</f>
        <v>0</v>
      </c>
      <c r="OJ73" s="12">
        <f>OJ$22 * IF(AND(OI$5=1,OG$20=1), OT73, OR73)</f>
        <v>0</v>
      </c>
      <c r="OK73" s="12">
        <f>OK$22 * IF(AND(OJ$5=1,OG$20=1), OT73, OR73)</f>
        <v>0</v>
      </c>
      <c r="OL73" s="12">
        <f>OL$22 * IF(AND(OK$5=1,OG$20=1), OT73, OR73)</f>
        <v>0</v>
      </c>
      <c r="OM73" s="12">
        <f>OM$22 * IF(AND(OL$5=1,OG$20=1), OT73, OR73)</f>
        <v>0</v>
      </c>
      <c r="ON73" s="12">
        <f>ON$22 * IF(AND(OM$5=1,OG$20=1), OT73, OR73)</f>
        <v>0</v>
      </c>
      <c r="OO73" s="12">
        <f>OO$22 * IF(AND(ON$5=1,OG$20=1), OT73, OR73)</f>
        <v>0</v>
      </c>
      <c r="OQ73" t="s">
        <v>1303</v>
      </c>
      <c r="OR73">
        <f>_xlfn.XLOOKUP(OQ73,'KPI Impacts'!$B$2:$H$2,'KPI Impacts'!$B73:$H73)</f>
        <v>0</v>
      </c>
      <c r="OS73" s="9" t="s">
        <v>1303</v>
      </c>
      <c r="OT73">
        <f>_xlfn.XLOOKUP(OS73,'KPI Impacts'!$B$2:$H$2,'KPI Impacts'!$B73:$H73)</f>
        <v>0</v>
      </c>
    </row>
    <row r="74" spans="1:410" x14ac:dyDescent="0.2">
      <c r="A74" s="9" t="s">
        <v>1928</v>
      </c>
      <c r="B74" s="12">
        <f t="shared" si="525"/>
        <v>0</v>
      </c>
      <c r="C74" s="12">
        <f t="shared" si="525"/>
        <v>0</v>
      </c>
      <c r="D74" s="12">
        <f t="shared" si="525"/>
        <v>0</v>
      </c>
      <c r="E74" s="12">
        <f t="shared" si="525"/>
        <v>0</v>
      </c>
      <c r="F74" s="12">
        <f t="shared" si="525"/>
        <v>0</v>
      </c>
      <c r="G74" s="12">
        <f t="shared" si="525"/>
        <v>0</v>
      </c>
      <c r="H74" s="12">
        <f t="shared" si="525"/>
        <v>0</v>
      </c>
      <c r="I74" s="12">
        <f t="shared" si="526"/>
        <v>0</v>
      </c>
      <c r="J74" s="12">
        <f t="shared" si="526"/>
        <v>0</v>
      </c>
      <c r="M74">
        <f>M$5*V74</f>
        <v>0</v>
      </c>
      <c r="N74">
        <f>N$5*V74</f>
        <v>0</v>
      </c>
      <c r="O74">
        <f>O$5*V74</f>
        <v>0</v>
      </c>
      <c r="P74">
        <f>P$5*V74</f>
        <v>0</v>
      </c>
      <c r="Q74">
        <f>Q$5*V74</f>
        <v>0</v>
      </c>
      <c r="R74">
        <f>R$5*V74</f>
        <v>0</v>
      </c>
      <c r="S74">
        <f>S$5*V74</f>
        <v>0</v>
      </c>
      <c r="U74" t="s">
        <v>1303</v>
      </c>
      <c r="V74">
        <f>_xlfn.XLOOKUP(U74,'KPI Impacts'!$B$2:$H$2,'KPI Impacts'!$B74:$H74)</f>
        <v>0</v>
      </c>
      <c r="Y74" s="12" cm="1">
        <f t="array" ref="Y74">_xlfn.SWITCH(Y$4, 0,0, 1, AJ74,2,AL74,3,AN74,0)</f>
        <v>0</v>
      </c>
      <c r="Z74" s="12" cm="1">
        <f t="array" ref="Z74">_xlfn.SWITCH(Z$4, 0,0, 1, AJ74,2,AL74,3,AN74,0)+Y74</f>
        <v>0</v>
      </c>
      <c r="AA74" s="12" cm="1">
        <f t="array" ref="AA74">_xlfn.SWITCH(AA$4, 0,0, 1, AJ74,2,AL74,3,AN74,0)+Z74</f>
        <v>0</v>
      </c>
      <c r="AB74" s="12" cm="1">
        <f t="array" ref="AB74">_xlfn.SWITCH(AB$4, 0,0, 1, AJ74,2,AL74,3,AN74,0)+AA74</f>
        <v>0</v>
      </c>
      <c r="AC74" s="12" cm="1">
        <f t="array" ref="AC74">_xlfn.SWITCH(AC$4, 0,0, 1, AJ74,2,AL74,3,AN74,0)+AB74</f>
        <v>0</v>
      </c>
      <c r="AD74" s="12" cm="1">
        <f t="array" ref="AD74">_xlfn.SWITCH(AD$4, 0,0, 1, AJ74,2,AL74,3,AN74,0)+AC74</f>
        <v>0</v>
      </c>
      <c r="AE74" s="12" cm="1">
        <f t="array" ref="AE74">_xlfn.SWITCH(AE$4, 0,0, 1, AJ74,2,AL74,3,AN74,0)+AD74</f>
        <v>0</v>
      </c>
      <c r="AF74" s="12" cm="1">
        <f t="array" ref="AF74">_xlfn.SWITCH(AF$4, 0,0, 1, AJ74,2,AL74,3,AN74,0)+AE74</f>
        <v>0</v>
      </c>
      <c r="AG74" s="12" cm="1">
        <f t="array" ref="AG74">_xlfn.SWITCH(AG$4, 0,0, 1, AJ74,2,AL74,3,AN74,0)+AF74</f>
        <v>0</v>
      </c>
      <c r="AI74" t="s">
        <v>1303</v>
      </c>
      <c r="AJ74">
        <f>_xlfn.XLOOKUP(AI74,'KPI Impacts'!$K$2:$Q$2,'KPI Impacts'!$K74:$Q74)</f>
        <v>0</v>
      </c>
      <c r="AK74" t="s">
        <v>1303</v>
      </c>
      <c r="AL74">
        <f>_xlfn.XLOOKUP(AK74,'KPI Impacts'!$K$2:$Q$2,'KPI Impacts'!$K74:$Q74)</f>
        <v>0</v>
      </c>
      <c r="AM74" t="s">
        <v>1303</v>
      </c>
      <c r="AN74">
        <f>_xlfn.XLOOKUP(AM74,'KPI Impacts'!$K$2:$Q$2,'KPI Impacts'!$K74:$Q74)</f>
        <v>0</v>
      </c>
      <c r="AQ74" s="12" cm="1">
        <f t="array" ref="AQ74">_xlfn.SWITCH(AQ$4, 0,0, 1, BB74,2,BD74,3,BF74,0)</f>
        <v>0</v>
      </c>
      <c r="AR74" s="12" cm="1">
        <f t="array" ref="AR74">_xlfn.SWITCH(AR$4, 0,0, 1, BB74,2,BD74,3,BF74,0)+AQ74</f>
        <v>0</v>
      </c>
      <c r="AS74" s="12" cm="1">
        <f t="array" ref="AS74">_xlfn.SWITCH(AS$4, 0,0, 1, BB74,2,BD74,3,BF74,0)+AR74</f>
        <v>0</v>
      </c>
      <c r="AT74" s="12" cm="1">
        <f t="array" ref="AT74">_xlfn.SWITCH(AT$4, 0,0, 1, BB74,2,BD74,3,BF74,0)+AS74</f>
        <v>0</v>
      </c>
      <c r="AU74" s="12" cm="1">
        <f t="array" ref="AU74">_xlfn.SWITCH(AU$4, 0,0, 1, BB74,2,BD74,3,BF74,0)+AT74</f>
        <v>0</v>
      </c>
      <c r="AV74" s="12" cm="1">
        <f t="array" ref="AV74">_xlfn.SWITCH(AV$4, 0,0, 1, BB74,2,BD74,3,BF74,0)+AU74</f>
        <v>0</v>
      </c>
      <c r="AW74" s="12" cm="1">
        <f t="array" ref="AW74">_xlfn.SWITCH(AW$4, 0,0, 1, BB74,2,BD74,3,BF74,0)+AV74</f>
        <v>0</v>
      </c>
      <c r="AX74" s="12" cm="1">
        <f t="array" ref="AX74">_xlfn.SWITCH(AX$4, 0,0, 1, BB74,2,BD74,3,BF74,0)+AW74</f>
        <v>0</v>
      </c>
      <c r="AY74" s="12" cm="1">
        <f t="array" ref="AY74">_xlfn.SWITCH(AY$4, 0,0, 1, BB74,2,BD74,3,BF74,0)+AX74</f>
        <v>0</v>
      </c>
      <c r="BA74" t="s">
        <v>1303</v>
      </c>
      <c r="BB74">
        <f>_xlfn.XLOOKUP(BA74,'KPI Impacts'!$K$2:$Q$2,'KPI Impacts'!$K74:$Q74)</f>
        <v>0</v>
      </c>
      <c r="BC74" t="s">
        <v>1303</v>
      </c>
      <c r="BD74">
        <f>_xlfn.XLOOKUP(BC74,'KPI Impacts'!$K$2:$Q$2,'KPI Impacts'!$K74:$Q74)</f>
        <v>0</v>
      </c>
      <c r="BE74" t="s">
        <v>1303</v>
      </c>
      <c r="BF74">
        <f>_xlfn.XLOOKUP(BE74,'KPI Impacts'!$K$2:$Q$2,'KPI Impacts'!$K74:$Q74)</f>
        <v>0</v>
      </c>
      <c r="BI74" s="12">
        <f>BI$22*BT74</f>
        <v>0</v>
      </c>
      <c r="BJ74" s="12">
        <f>BJ$22 * IF(AND(BI$5=1,BI$20=1), BV74, BT74)</f>
        <v>0</v>
      </c>
      <c r="BK74" s="12">
        <f>BK$22 * IF(AND(BJ$5=1,BI$20=1), BV74, BT74)</f>
        <v>0</v>
      </c>
      <c r="BL74" s="12">
        <f>BL$22 * IF(AND(BK$5=1,BI$20=1), BV74, BT74)</f>
        <v>0</v>
      </c>
      <c r="BM74" s="12">
        <f>BM$22 * IF(AND(BL$5=1,BI$20=1), BV74, BT74)</f>
        <v>0</v>
      </c>
      <c r="BN74" s="12">
        <f>BN$22 * IF(AND(BM$5=1,BI$20=1), BV74, BT74)</f>
        <v>0</v>
      </c>
      <c r="BO74" s="12">
        <f>BO$22 * IF(AND(BN$5=1,BI$20=1), BV74, BT74)</f>
        <v>0</v>
      </c>
      <c r="BP74" s="12">
        <f>BP$22 * IF(AND(BO$5=1,BI$20=1), BV74, BT74)</f>
        <v>0</v>
      </c>
      <c r="BQ74" s="12">
        <f>BQ$22 * IF(AND(BP$5=1,BI$20=1), BV74, BT74)</f>
        <v>0</v>
      </c>
      <c r="BS74" s="16" t="s">
        <v>1303</v>
      </c>
      <c r="BT74">
        <f>_xlfn.XLOOKUP(BS74,'KPI Impacts'!$B$2:$H$2,'KPI Impacts'!$B74:$H74)</f>
        <v>0</v>
      </c>
      <c r="BU74" s="35" t="s">
        <v>1303</v>
      </c>
      <c r="BV74">
        <f>_xlfn.XLOOKUP(BU74,'KPI Impacts'!$B$2:$H$2,'KPI Impacts'!$B74:$H74)</f>
        <v>0</v>
      </c>
      <c r="BY74" s="12">
        <f>BY$22*CJ74</f>
        <v>0</v>
      </c>
      <c r="BZ74" s="12">
        <f>BZ$22 * IF(AND(BY$5=1,BY$20=1), CL74, CJ74)</f>
        <v>0</v>
      </c>
      <c r="CA74" s="12">
        <f>CA$22 * IF(AND(BZ$5=1,BY$20=1), CL74, CJ74)</f>
        <v>0</v>
      </c>
      <c r="CB74" s="12">
        <f>CB$22 * IF(AND(CA$5=1,BY$20=1), CL74, CJ74)</f>
        <v>0</v>
      </c>
      <c r="CC74" s="12">
        <f>CC$22 * IF(AND(CB$5=1,BY$20=1), CL74, CJ74)</f>
        <v>0</v>
      </c>
      <c r="CD74" s="12">
        <f>CD$22 * IF(AND(CC$5=1,BY$20=1), CL74, CJ74)</f>
        <v>0</v>
      </c>
      <c r="CE74" s="12">
        <f>CE$22 * IF(AND(CD$5=1,BY$20=1), CL74, CJ74)</f>
        <v>0</v>
      </c>
      <c r="CF74" s="12">
        <f>CF$22 * IF(AND(CE$5=1,BY$20=1), CL74, CJ74)</f>
        <v>0</v>
      </c>
      <c r="CG74" s="12">
        <f>CG$22 * IF(AND(CF$5=1,BY$20=1), CL74, CJ74)</f>
        <v>0</v>
      </c>
      <c r="CI74" s="16" t="s">
        <v>1303</v>
      </c>
      <c r="CJ74">
        <f>_xlfn.XLOOKUP(CI74,'KPI Impacts'!$B$2:$H$2,'KPI Impacts'!$B74:$H74)</f>
        <v>0</v>
      </c>
      <c r="CK74" s="35" t="s">
        <v>1303</v>
      </c>
      <c r="CL74">
        <f>_xlfn.XLOOKUP(CK74,'KPI Impacts'!$B$2:$H$2,'KPI Impacts'!$B74:$H74)</f>
        <v>0</v>
      </c>
      <c r="CO74" s="12">
        <f>CO$22*CZ74</f>
        <v>0</v>
      </c>
      <c r="CP74" s="12">
        <f>CP$22 * IF(AND(CO$5=1,CO$20=1), DB74, CZ74)</f>
        <v>0</v>
      </c>
      <c r="CQ74" s="12">
        <f>CQ$22 * IF(AND(CP$5=1,CO$20=1), DB74, CZ74)</f>
        <v>0</v>
      </c>
      <c r="CR74" s="12">
        <f>CR$22 * IF(AND(CQ$5=1,CO$20=1), DB74, CZ74)</f>
        <v>0</v>
      </c>
      <c r="CS74" s="12">
        <f>CS$22 * IF(AND(CR$5=1,CO$20=1), DB74, CZ74)</f>
        <v>0</v>
      </c>
      <c r="CT74" s="12">
        <f>CT$22 * IF(AND(CS$5=1,CO$20=1), DB74, CZ74)</f>
        <v>0</v>
      </c>
      <c r="CU74" s="12">
        <f>CU$22 * IF(AND(CT$5=1,CO$20=1), DB74, CZ74)</f>
        <v>0</v>
      </c>
      <c r="CV74" s="12">
        <f>CV$22 * IF(AND(CU$5=1,CO$20=1), DB74, CZ74)</f>
        <v>0</v>
      </c>
      <c r="CW74" s="12">
        <f>CW$22 * IF(AND(CV$5=1,CO$20=1), DB74, CZ74)</f>
        <v>0</v>
      </c>
      <c r="CY74" s="16" t="s">
        <v>1303</v>
      </c>
      <c r="CZ74">
        <f>_xlfn.XLOOKUP(CY74,'KPI Impacts'!$B$2:$H$2,'KPI Impacts'!$B74:$H74)</f>
        <v>0</v>
      </c>
      <c r="DA74" s="35" t="s">
        <v>1303</v>
      </c>
      <c r="DB74">
        <f>_xlfn.XLOOKUP(DA74,'KPI Impacts'!$B$2:$H$2,'KPI Impacts'!$B74:$H74)</f>
        <v>0</v>
      </c>
      <c r="DE74" s="12">
        <f>DE$22*DP74</f>
        <v>0</v>
      </c>
      <c r="DF74" s="12">
        <f>DF$22 * IF(AND(DE$5=1,DE$20=1), DR74, DP74)</f>
        <v>0</v>
      </c>
      <c r="DG74" s="12">
        <f>DG$22 * IF(AND(DF$5=1,DE$20=1), DR74, DP74)</f>
        <v>0</v>
      </c>
      <c r="DH74" s="12">
        <f>DH$22 * IF(AND(DG$5=1,DE$20=1), DR74, DP74)</f>
        <v>0</v>
      </c>
      <c r="DI74" s="12">
        <f>DI$22 * IF(AND(DH$5=1,DE$20=1), DR74, DP74)</f>
        <v>0</v>
      </c>
      <c r="DJ74" s="12">
        <f>DJ$22 * IF(AND(DI$5=1,DE$20=1), DR74, DP74)</f>
        <v>0</v>
      </c>
      <c r="DK74" s="12">
        <f>DK$22 * IF(AND(DJ$5=1,DE$20=1), DR74, DP74)</f>
        <v>0</v>
      </c>
      <c r="DL74" s="12">
        <f>DL$22 * IF(AND(DK$5=1,DE$20=1), DR74, DP74)</f>
        <v>0</v>
      </c>
      <c r="DM74" s="12">
        <f>DM$22 * IF(AND(DL$5=1,DE$20=1), DR74, DP74)</f>
        <v>0</v>
      </c>
      <c r="DO74" s="16" t="s">
        <v>1303</v>
      </c>
      <c r="DP74">
        <f>_xlfn.XLOOKUP(DO74,'KPI Impacts'!$B$2:$H$2,'KPI Impacts'!$B74:$H74)</f>
        <v>0</v>
      </c>
      <c r="DQ74" s="35" t="s">
        <v>1303</v>
      </c>
      <c r="DR74">
        <f>_xlfn.XLOOKUP(DQ74,'KPI Impacts'!$B$2:$H$2,'KPI Impacts'!$B74:$H74)</f>
        <v>0</v>
      </c>
      <c r="DU74" s="12">
        <f>DU$22*EF74</f>
        <v>0</v>
      </c>
      <c r="DV74" s="12">
        <f>DV$22 * IF(AND(DU$5=1,DU$20=1), EH74, EF74)</f>
        <v>0</v>
      </c>
      <c r="DW74" s="12">
        <f>DW$22 * IF(AND(DV$5=1,DU$20=1), EH74, EF74)</f>
        <v>0</v>
      </c>
      <c r="DX74" s="12">
        <f>DX$22 * IF(AND(DW$5=1,DU$20=1), EH74, EF74)</f>
        <v>0</v>
      </c>
      <c r="DY74" s="12">
        <f>DY$22 * IF(AND(DX$5=1,DU$20=1), EH74, EF74)</f>
        <v>0</v>
      </c>
      <c r="DZ74" s="12">
        <f>DZ$22 * IF(AND(DY$5=1,DU$20=1), EH74, EF74)</f>
        <v>0</v>
      </c>
      <c r="EA74" s="12">
        <f>EA$22 * IF(AND(DZ$5=1,DU$20=1), EH74, EF74)</f>
        <v>0</v>
      </c>
      <c r="EB74" s="12">
        <f>EB$22 * IF(AND(EA$5=1,DU$20=1), EH74, EF74)</f>
        <v>0</v>
      </c>
      <c r="EC74" s="12">
        <f>EC$22 * IF(AND(EB$5=1,DU$20=1), EH74, EF74)</f>
        <v>0</v>
      </c>
      <c r="EE74" s="16" t="s">
        <v>1303</v>
      </c>
      <c r="EF74">
        <f>_xlfn.XLOOKUP(EE74,'KPI Impacts'!$B$2:$H$2,'KPI Impacts'!$B74:$H74)</f>
        <v>0</v>
      </c>
      <c r="EG74" s="35" t="s">
        <v>1303</v>
      </c>
      <c r="EH74">
        <f>_xlfn.XLOOKUP(EG74,'KPI Impacts'!$B$2:$H$2,'KPI Impacts'!$B74:$H74)</f>
        <v>0</v>
      </c>
      <c r="EK74" s="12">
        <f>EK$22*EV74</f>
        <v>0</v>
      </c>
      <c r="EL74" s="12">
        <f>EL$22 * IF(AND(EK$5=1,EK$20=1), EX74, EV74)</f>
        <v>0</v>
      </c>
      <c r="EM74" s="12">
        <f>EM$22 * IF(AND(EL$5=1,EK$20=1), EX74, EV74)</f>
        <v>0</v>
      </c>
      <c r="EN74" s="12">
        <f>EN$22 * IF(AND(EM$5=1,EK$20=1), EX74, EV74)</f>
        <v>0</v>
      </c>
      <c r="EO74" s="12">
        <f>EO$22 * IF(AND(EN$5=1,EK$20=1), EX74, EV74)</f>
        <v>0</v>
      </c>
      <c r="EP74" s="12">
        <f>EP$22 * IF(AND(EO$5=1,EK$20=1), EX74, EV74)</f>
        <v>0</v>
      </c>
      <c r="EQ74" s="12">
        <f>EQ$22 * IF(AND(EP$5=1,EK$20=1), EX74, EV74)</f>
        <v>0</v>
      </c>
      <c r="ER74" s="12">
        <f>ER$22 * IF(AND(EQ$5=1,EK$20=1), EX74, EV74)</f>
        <v>0</v>
      </c>
      <c r="ES74" s="12">
        <f>ES$22 * IF(AND(ER$5=1,EK$20=1), EX74, EV74)</f>
        <v>0</v>
      </c>
      <c r="EU74" s="16" t="s">
        <v>1303</v>
      </c>
      <c r="EV74">
        <f>_xlfn.XLOOKUP(EU74,'KPI Impacts'!$B$2:$H$2,'KPI Impacts'!$B74:$H74)</f>
        <v>0</v>
      </c>
      <c r="EW74" s="35" t="s">
        <v>1303</v>
      </c>
      <c r="EX74">
        <f>_xlfn.XLOOKUP(EW74,'KPI Impacts'!$B$2:$H$2,'KPI Impacts'!$B74:$H74)</f>
        <v>0</v>
      </c>
      <c r="FA74" s="12">
        <f>FA$22*FL74</f>
        <v>0</v>
      </c>
      <c r="FB74" s="12">
        <f>FB$22 * IF(AND(FA$5=1,FA$20=1), FN74, FL74)</f>
        <v>0</v>
      </c>
      <c r="FC74" s="12">
        <f>FC$22 * IF(AND(FB$5=1,FA$20=1), FN74, FL74)</f>
        <v>0</v>
      </c>
      <c r="FD74" s="12">
        <f>FD$22 * IF(AND(FC$5=1,FA$20=1), FN74, FL74)</f>
        <v>0</v>
      </c>
      <c r="FE74" s="12">
        <f>FE$22 * IF(AND(FD$5=1,FA$20=1), FN74, FL74)</f>
        <v>0</v>
      </c>
      <c r="FF74" s="12">
        <f>FF$22 * IF(AND(FE$5=1,FA$20=1), FN74, FL74)</f>
        <v>0</v>
      </c>
      <c r="FG74" s="12">
        <f>FG$22 * IF(AND(FF$5=1,FA$20=1), FN74, FL74)</f>
        <v>0</v>
      </c>
      <c r="FH74" s="12">
        <f>FH$22 * IF(AND(FG$5=1,FA$20=1), FN74, FL74)</f>
        <v>0</v>
      </c>
      <c r="FI74" s="12">
        <f>FI$22 * IF(AND(FH$5=1,FA$20=1), FN74, FL74)</f>
        <v>0</v>
      </c>
      <c r="FK74" s="16" t="s">
        <v>1303</v>
      </c>
      <c r="FL74">
        <f>_xlfn.XLOOKUP(FK74,'KPI Impacts'!$B$2:$H$2,'KPI Impacts'!$B74:$H74)</f>
        <v>0</v>
      </c>
      <c r="FM74" s="16" t="s">
        <v>1303</v>
      </c>
      <c r="FN74">
        <f>_xlfn.XLOOKUP(FM74,'KPI Impacts'!$B$2:$H$2,'KPI Impacts'!$B74:$H74)</f>
        <v>0</v>
      </c>
      <c r="FQ74" s="12">
        <f>FQ$22*GB74</f>
        <v>0</v>
      </c>
      <c r="FR74" s="12">
        <f>FR$22 * IF(AND(FQ$5=1,FQ$20=1), GD74, GB74)</f>
        <v>0</v>
      </c>
      <c r="FS74" s="12">
        <f>FS$22 * IF(AND(FR$5=1,FQ$20=1), GD74, GB74)</f>
        <v>0</v>
      </c>
      <c r="FT74" s="12">
        <f>FT$22 * IF(AND(FS$5=1,FQ$20=1), GD74, GB74)</f>
        <v>0</v>
      </c>
      <c r="FU74" s="12">
        <f>FU$22 * IF(AND(FT$5=1,FQ$20=1), GD74, GB74)</f>
        <v>0</v>
      </c>
      <c r="FV74" s="12">
        <f>FV$22 * IF(AND(FU$5=1,FQ$20=1), GD74, GB74)</f>
        <v>0</v>
      </c>
      <c r="FW74" s="12">
        <f>FW$22 * IF(AND(FV$5=1,FQ$20=1), GD74, GB74)</f>
        <v>0</v>
      </c>
      <c r="FX74" s="12">
        <f>FX$22 * IF(AND(FW$5=1,FQ$20=1), GD74, GB74)</f>
        <v>0</v>
      </c>
      <c r="FY74" s="12">
        <f>FY$22 * IF(AND(FX$5=1,FQ$20=1), GD74, GB74)</f>
        <v>0</v>
      </c>
      <c r="GA74" s="16" t="s">
        <v>1303</v>
      </c>
      <c r="GB74">
        <f>_xlfn.XLOOKUP(GA74,'KPI Impacts'!$B$2:$H$2,'KPI Impacts'!$B74:$H74)</f>
        <v>0</v>
      </c>
      <c r="GC74" s="9" t="s">
        <v>1303</v>
      </c>
      <c r="GD74">
        <f>_xlfn.XLOOKUP(GC74,'KPI Impacts'!$B$2:$H$2,'KPI Impacts'!$B74:$H74)</f>
        <v>0</v>
      </c>
      <c r="GG74" s="12">
        <f>GG$22*GR74</f>
        <v>0</v>
      </c>
      <c r="GH74" s="12">
        <f>GH$22 * IF(AND(GG$5=1,GG$20=1), GT74, GR74)</f>
        <v>0</v>
      </c>
      <c r="GI74" s="12">
        <f>GI$22 * IF(AND(GH$5=1,GG$20=1), GT74, GR74)</f>
        <v>0</v>
      </c>
      <c r="GJ74" s="12">
        <f>GJ$22 * IF(AND(GI$5=1,GG$20=1), GT74, GR74)</f>
        <v>0</v>
      </c>
      <c r="GK74" s="12">
        <f>GK$22 * IF(AND(GJ$5=1,GG$20=1), GT74, GR74)</f>
        <v>0</v>
      </c>
      <c r="GL74" s="12">
        <f>GL$22 * IF(AND(GK$5=1,GG$20=1), GT74, GR74)</f>
        <v>0</v>
      </c>
      <c r="GM74" s="12">
        <f>GM$22 * IF(AND(GL$5=1,GG$20=1), GT74, GR74)</f>
        <v>0</v>
      </c>
      <c r="GN74" s="12">
        <f>GN$22 * IF(AND(GM$5=1,GG$20=1), GT74, GR74)</f>
        <v>0</v>
      </c>
      <c r="GO74" s="12">
        <f>GO$22 * IF(AND(GN$5=1,GG$20=1), GT74, GR74)</f>
        <v>0</v>
      </c>
      <c r="GQ74" s="16" t="s">
        <v>1303</v>
      </c>
      <c r="GR74">
        <f>_xlfn.XLOOKUP(GQ74,'KPI Impacts'!$B$2:$H$2,'KPI Impacts'!$B74:$H74)</f>
        <v>0</v>
      </c>
      <c r="GS74" s="9" t="s">
        <v>1303</v>
      </c>
      <c r="GT74">
        <f>_xlfn.XLOOKUP(GS74,'KPI Impacts'!$B$2:$H$2,'KPI Impacts'!$B74:$H74)</f>
        <v>0</v>
      </c>
      <c r="GW74" s="12">
        <f>GW$22*HH74</f>
        <v>0</v>
      </c>
      <c r="GX74" s="12">
        <f>GX$22 * IF(AND(GW$5=1,GW$20=1), HJ74, HH74)</f>
        <v>0</v>
      </c>
      <c r="GY74" s="12">
        <f>GY$22 * IF(AND(GX$5=1,GW$20=1), HJ74, HH74)</f>
        <v>0</v>
      </c>
      <c r="GZ74" s="12">
        <f>GZ$22 * IF(AND(GY$5=1,GW$20=1), HJ74, HH74)</f>
        <v>0</v>
      </c>
      <c r="HA74" s="12">
        <f>HA$22 * IF(AND(GZ$5=1,GW$20=1), HJ74, HH74)</f>
        <v>0</v>
      </c>
      <c r="HB74" s="12">
        <f>HB$22 * IF(AND(HA$5=1,GW$20=1), HJ74, HH74)</f>
        <v>0</v>
      </c>
      <c r="HC74" s="12">
        <f>HC$22 * IF(AND(HB$5=1,GW$20=1), HJ74, HH74)</f>
        <v>0</v>
      </c>
      <c r="HD74" s="12">
        <f>HD$22 * IF(AND(HC$5=1,GW$20=1), HJ74, HH74)</f>
        <v>0</v>
      </c>
      <c r="HE74" s="12">
        <f>HE$22 * IF(AND(HD$5=1,GW$20=1), HJ74, HH74)</f>
        <v>0</v>
      </c>
      <c r="HG74" s="16" t="s">
        <v>1303</v>
      </c>
      <c r="HH74">
        <f>_xlfn.XLOOKUP(HG74,'KPI Impacts'!$B$2:$H$2,'KPI Impacts'!$B74:$H74)</f>
        <v>0</v>
      </c>
      <c r="HI74" s="9" t="s">
        <v>1303</v>
      </c>
      <c r="HJ74">
        <f>_xlfn.XLOOKUP(HI74,'KPI Impacts'!$B$2:$H$2,'KPI Impacts'!$B74:$H74)</f>
        <v>0</v>
      </c>
      <c r="HM74" s="12">
        <f>HM$22*HX74</f>
        <v>0</v>
      </c>
      <c r="HN74" s="12">
        <f>HN$22 * IF(AND(HM$5=1,HM$20=1), HZ74, HX74)</f>
        <v>0</v>
      </c>
      <c r="HO74" s="12">
        <f>HO$22 * IF(AND(HN$5=1,HM$20=1), HZ74, HX74)</f>
        <v>0</v>
      </c>
      <c r="HP74" s="12">
        <f>HP$22 * IF(AND(HO$5=1,HM$20=1), HZ74, HX74)</f>
        <v>0</v>
      </c>
      <c r="HQ74" s="12">
        <f>HQ$22 * IF(AND(HP$5=1,HM$20=1), HZ74, HX74)</f>
        <v>0</v>
      </c>
      <c r="HR74" s="12">
        <f>HR$22 * IF(AND(HQ$5=1,HM$20=1), HZ74, HX74)</f>
        <v>0</v>
      </c>
      <c r="HS74" s="12">
        <f>HS$22 * IF(AND(HR$5=1,HM$20=1), HZ74, HX74)</f>
        <v>0</v>
      </c>
      <c r="HT74" s="12">
        <f>HT$22 * IF(AND(HS$5=1,HM$20=1), HZ74, HX74)</f>
        <v>0</v>
      </c>
      <c r="HU74" s="12">
        <f>HU$22 * IF(AND(HT$5=1,HM$20=1), HZ74, HX74)</f>
        <v>0</v>
      </c>
      <c r="HW74" s="16" t="s">
        <v>1303</v>
      </c>
      <c r="HX74">
        <f>_xlfn.XLOOKUP(HW74,'KPI Impacts'!$B$2:$H$2,'KPI Impacts'!$B74:$H74)</f>
        <v>0</v>
      </c>
      <c r="HY74" s="9" t="s">
        <v>1303</v>
      </c>
      <c r="HZ74">
        <f>_xlfn.XLOOKUP(HY74,'KPI Impacts'!$B$2:$H$2,'KPI Impacts'!$B74:$H74)</f>
        <v>0</v>
      </c>
      <c r="IC74" s="12">
        <f>IC$22*IN74</f>
        <v>0</v>
      </c>
      <c r="ID74" s="12">
        <f>ID$22 * IF(AND(IC$5=1,IC$20=1), IP74, IN74)</f>
        <v>0</v>
      </c>
      <c r="IE74" s="12">
        <f>IE$22 * IF(AND(ID$5=1,IC$20=1), IP74, IN74)</f>
        <v>0</v>
      </c>
      <c r="IF74" s="12">
        <f>IF$22 * IF(AND(IE$5=1,IC$20=1), IP74, IN74)</f>
        <v>0</v>
      </c>
      <c r="IG74" s="12">
        <f>IG$22 * IF(AND(IF$5=1,IC$20=1), IP74, IN74)</f>
        <v>0</v>
      </c>
      <c r="IH74" s="12">
        <f>IH$22 * IF(AND(IG$5=1,IC$20=1), IP74, IN74)</f>
        <v>0</v>
      </c>
      <c r="II74" s="12">
        <f>II$22 * IF(AND(IH$5=1,IC$20=1), IP74, IN74)</f>
        <v>0</v>
      </c>
      <c r="IJ74" s="12">
        <f>IJ$22 * IF(AND(II$5=1,IC$20=1), IP74, IN74)</f>
        <v>0</v>
      </c>
      <c r="IK74" s="12">
        <f>IK$22 * IF(AND(IJ$5=1,IC$20=1), IP74, IN74)</f>
        <v>0</v>
      </c>
      <c r="IM74" s="16" t="s">
        <v>1303</v>
      </c>
      <c r="IN74">
        <f>_xlfn.XLOOKUP(IM74,'KPI Impacts'!$B$2:$H$2,'KPI Impacts'!$B74:$H74)</f>
        <v>0</v>
      </c>
      <c r="IO74" s="9" t="s">
        <v>1303</v>
      </c>
      <c r="IP74">
        <f>_xlfn.XLOOKUP(IO74,'KPI Impacts'!$B$2:$H$2,'KPI Impacts'!$B74:$H74)</f>
        <v>0</v>
      </c>
      <c r="IS74" s="12">
        <f>IS$22*JD74</f>
        <v>0</v>
      </c>
      <c r="IT74" s="12">
        <f>IT$22 * IF(AND(IS$5=1,IS$20=1), JF74, JD74)</f>
        <v>0</v>
      </c>
      <c r="IU74" s="12">
        <f>IU$22 * IF(AND(IT$5=1,IS$20=1), JF74, JD74)</f>
        <v>0</v>
      </c>
      <c r="IV74" s="12">
        <f>IV$22 * IF(AND(IU$5=1,IS$20=1), JF74, JD74)</f>
        <v>0</v>
      </c>
      <c r="IW74" s="12">
        <f>IW$22 * IF(AND(IV$5=1,IS$20=1), JF74, JD74)</f>
        <v>0</v>
      </c>
      <c r="IX74" s="12">
        <f>IX$22 * IF(AND(IW$5=1,IS$20=1), JF74, JD74)</f>
        <v>0</v>
      </c>
      <c r="IY74" s="12">
        <f>IY$22 * IF(AND(IX$5=1,IS$20=1), JF74, JD74)</f>
        <v>0</v>
      </c>
      <c r="IZ74" s="12">
        <f>IZ$22 * IF(AND(IY$5=1,IS$20=1), JF74, JD74)</f>
        <v>0</v>
      </c>
      <c r="JA74" s="12">
        <f>JA$22 * IF(AND(IZ$5=1,IS$20=1), JF74, JD74)</f>
        <v>0</v>
      </c>
      <c r="JC74" t="s">
        <v>1303</v>
      </c>
      <c r="JD74">
        <f>_xlfn.XLOOKUP(JC74,'KPI Impacts'!$B$2:$H$2,'KPI Impacts'!$B74:$H74)</f>
        <v>0</v>
      </c>
      <c r="JE74" s="9" t="s">
        <v>1303</v>
      </c>
      <c r="JF74">
        <f>_xlfn.XLOOKUP(JE74,'KPI Impacts'!$B$2:$H$2,'KPI Impacts'!$B74:$H74)</f>
        <v>0</v>
      </c>
      <c r="JI74" s="12">
        <f>JI$22*JT74</f>
        <v>0</v>
      </c>
      <c r="JJ74" s="12">
        <f>JJ$22 * IF(AND(JI$5=1,JI$20=1), JV74, JT74)</f>
        <v>0</v>
      </c>
      <c r="JK74" s="12">
        <f>JK$22 * IF(AND(JJ$5=1,JI$20=1), JV74, JT74)</f>
        <v>0</v>
      </c>
      <c r="JL74" s="12">
        <f>JL$22 * IF(AND(JK$5=1,JI$20=1), JV74, JT74)</f>
        <v>0</v>
      </c>
      <c r="JM74" s="12">
        <f>JM$22 * IF(AND(JL$5=1,JI$20=1), JV74, JT74)</f>
        <v>0</v>
      </c>
      <c r="JN74" s="12">
        <f>JN$22 * IF(AND(JM$5=1,JI$20=1), JV74, JT74)</f>
        <v>0</v>
      </c>
      <c r="JO74" s="12">
        <f>JO$22 * IF(AND(JN$5=1,JI$20=1), JV74, JT74)</f>
        <v>0</v>
      </c>
      <c r="JP74" s="12">
        <f>JP$22 * IF(AND(JO$5=1,JI$20=1), JV74, JT74)</f>
        <v>0</v>
      </c>
      <c r="JQ74" s="12">
        <f>JQ$22 * IF(AND(JP$5=1,JI$20=1), JV74, JT74)</f>
        <v>0</v>
      </c>
      <c r="JS74" t="s">
        <v>1303</v>
      </c>
      <c r="JT74">
        <f>_xlfn.XLOOKUP(JS74,'KPI Impacts'!$B$2:$H$2,'KPI Impacts'!$B74:$H74)</f>
        <v>0</v>
      </c>
      <c r="JU74" s="9" t="s">
        <v>1303</v>
      </c>
      <c r="JV74">
        <f>_xlfn.XLOOKUP(JU74,'KPI Impacts'!$B$2:$H$2,'KPI Impacts'!$B74:$H74)</f>
        <v>0</v>
      </c>
      <c r="JY74" s="12">
        <f>JY$22*KJ74</f>
        <v>0</v>
      </c>
      <c r="JZ74" s="12">
        <f>JZ$22 * IF(AND(JY$5=1,JY$20=1), KL74, KJ74)</f>
        <v>0</v>
      </c>
      <c r="KA74" s="12">
        <f>KA$22 * IF(AND(JZ$5=1,JY$20=1), KL74, KJ74)</f>
        <v>0</v>
      </c>
      <c r="KB74" s="12">
        <f>KB$22 * IF(AND(KA$5=1,JY$20=1), KL74, KJ74)</f>
        <v>0</v>
      </c>
      <c r="KC74" s="12">
        <f>KC$22 * IF(AND(KB$5=1,JY$20=1), KL74, KJ74)</f>
        <v>0</v>
      </c>
      <c r="KD74" s="12">
        <f>KD$22 * IF(AND(KC$5=1,JY$20=1), KL74, KJ74)</f>
        <v>0</v>
      </c>
      <c r="KE74" s="12">
        <f>KE$22 * IF(AND(KD$5=1,JY$20=1), KL74, KJ74)</f>
        <v>0</v>
      </c>
      <c r="KF74" s="12">
        <f>KF$22 * IF(AND(KE$5=1,JY$20=1), KL74, KJ74)</f>
        <v>0</v>
      </c>
      <c r="KG74" s="12">
        <f>KG$22 * IF(AND(KF$5=1,JY$20=1), KL74, KJ74)</f>
        <v>0</v>
      </c>
      <c r="KI74" t="s">
        <v>1303</v>
      </c>
      <c r="KJ74">
        <f>_xlfn.XLOOKUP(KI74,'KPI Impacts'!$B$2:$H$2,'KPI Impacts'!$B74:$H74)</f>
        <v>0</v>
      </c>
      <c r="KK74" s="9" t="s">
        <v>1303</v>
      </c>
      <c r="KL74">
        <f>_xlfn.XLOOKUP(KK74,'KPI Impacts'!$B$2:$H$2,'KPI Impacts'!$B74:$H74)</f>
        <v>0</v>
      </c>
      <c r="KO74" s="12">
        <f>KO$22*KZ74</f>
        <v>0</v>
      </c>
      <c r="KP74" s="12">
        <f>KP$22 * IF(AND(KO$5=1,KO$20=1), LB74, KZ74)</f>
        <v>0</v>
      </c>
      <c r="KQ74" s="12">
        <f>KQ$22 * IF(AND(KP$5=1,KO$20=1), LB74, KZ74)</f>
        <v>0</v>
      </c>
      <c r="KR74" s="12">
        <f>KR$22 * IF(AND(KQ$5=1,KO$20=1), LB74, KZ74)</f>
        <v>0</v>
      </c>
      <c r="KS74" s="12">
        <f>KS$22 * IF(AND(KR$5=1,KO$20=1), LB74, KZ74)</f>
        <v>0</v>
      </c>
      <c r="KT74" s="12">
        <f>KT$22 * IF(AND(KS$5=1,KO$20=1), LB74, KZ74)</f>
        <v>0</v>
      </c>
      <c r="KU74" s="12">
        <f>KU$22 * IF(AND(KT$5=1,KO$20=1), LB74, KZ74)</f>
        <v>0</v>
      </c>
      <c r="KV74" s="12">
        <f>KV$22 * IF(AND(KU$5=1,KO$20=1), LB74, KZ74)</f>
        <v>0</v>
      </c>
      <c r="KW74" s="12">
        <f>KW$22 * IF(AND(KV$5=1,KO$20=1), LB74, KZ74)</f>
        <v>0</v>
      </c>
      <c r="KY74" t="s">
        <v>1303</v>
      </c>
      <c r="KZ74">
        <f>_xlfn.XLOOKUP(KY74,'KPI Impacts'!$B$2:$H$2,'KPI Impacts'!$B74:$H74)</f>
        <v>0</v>
      </c>
      <c r="LA74" s="9" t="s">
        <v>1303</v>
      </c>
      <c r="LB74">
        <f>_xlfn.XLOOKUP(LA74,'KPI Impacts'!$B$2:$H$2,'KPI Impacts'!$B74:$H74)</f>
        <v>0</v>
      </c>
      <c r="LE74" s="12">
        <f>LE$22*LP74</f>
        <v>0</v>
      </c>
      <c r="LF74" s="12">
        <f>LF$22 * IF(AND(LE$5=1,LE$20=1), LR74, LP74)</f>
        <v>0</v>
      </c>
      <c r="LG74" s="12">
        <f>LG$22 * IF(AND(LF$5=1,LE$20=1), LR74, LP74)</f>
        <v>0</v>
      </c>
      <c r="LH74" s="12">
        <f>LH$22 * IF(AND(LG$5=1,LE$20=1), LR74, LP74)</f>
        <v>0</v>
      </c>
      <c r="LI74" s="12">
        <f>LI$22 * IF(AND(LH$5=1,LE$20=1), LR74, LP74)</f>
        <v>0</v>
      </c>
      <c r="LJ74" s="12">
        <f>LJ$22 * IF(AND(LI$5=1,LE$20=1), LR74, LP74)</f>
        <v>0</v>
      </c>
      <c r="LK74" s="12">
        <f>LK$22 * IF(AND(LJ$5=1,LE$20=1), LR74, LP74)</f>
        <v>0</v>
      </c>
      <c r="LL74" s="12">
        <f>LL$22 * IF(AND(LK$5=1,LE$20=1), LR74, LP74)</f>
        <v>0</v>
      </c>
      <c r="LM74" s="12">
        <f>LM$22 * IF(AND(LL$5=1,LE$20=1), LR74, LP74)</f>
        <v>0</v>
      </c>
      <c r="LO74" t="s">
        <v>1303</v>
      </c>
      <c r="LP74">
        <f>_xlfn.XLOOKUP(LO74,'KPI Impacts'!$B$2:$H$2,'KPI Impacts'!$B74:$H74)</f>
        <v>0</v>
      </c>
      <c r="LQ74" s="9" t="s">
        <v>1303</v>
      </c>
      <c r="LR74">
        <f>_xlfn.XLOOKUP(LQ74,'KPI Impacts'!$B$2:$H$2,'KPI Impacts'!$B74:$H74)</f>
        <v>0</v>
      </c>
      <c r="LU74" s="12">
        <f>LU$22*MF74</f>
        <v>0</v>
      </c>
      <c r="LV74" s="12">
        <f>LV$22 * IF(AND(LU$5=1,LU$20=1), MH74, MF74)</f>
        <v>0</v>
      </c>
      <c r="LW74" s="12">
        <f>LW$22 * IF(AND(LV$5=1,LU$20=1), MH74, MF74)</f>
        <v>0</v>
      </c>
      <c r="LX74" s="12">
        <f>LX$22 * IF(AND(LW$5=1,LU$20=1), MH74, MF74)</f>
        <v>0</v>
      </c>
      <c r="LY74" s="12">
        <f>LY$22 * IF(AND(LX$5=1,LU$20=1), MH74, MF74)</f>
        <v>0</v>
      </c>
      <c r="LZ74" s="12">
        <f>LZ$22 * IF(AND(LY$5=1,LU$20=1), MH74, MF74)</f>
        <v>0</v>
      </c>
      <c r="MA74" s="12">
        <f>MA$22 * IF(AND(LZ$5=1,LU$20=1), MH74, MF74)</f>
        <v>0</v>
      </c>
      <c r="MB74" s="12">
        <f>MB$22 * IF(AND(MA$5=1,LU$20=1), MH74, MF74)</f>
        <v>0</v>
      </c>
      <c r="MC74" s="12">
        <f>MC$22 * IF(AND(MB$5=1,LU$20=1), MH74, MF74)</f>
        <v>0</v>
      </c>
      <c r="ME74" t="s">
        <v>1303</v>
      </c>
      <c r="MF74">
        <f>_xlfn.XLOOKUP(ME74,'KPI Impacts'!$B$2:$H$2,'KPI Impacts'!$B74:$H74)</f>
        <v>0</v>
      </c>
      <c r="MG74" s="9" t="s">
        <v>1303</v>
      </c>
      <c r="MH74">
        <f>_xlfn.XLOOKUP(MG74,'KPI Impacts'!$B$2:$H$2,'KPI Impacts'!$B74:$H74)</f>
        <v>0</v>
      </c>
      <c r="MK74" s="12">
        <f>MK$22*MV74</f>
        <v>0</v>
      </c>
      <c r="ML74" s="12">
        <f>ML$22 * IF(AND(MK$5=1,MK$20=1), MX74, MV74)</f>
        <v>0</v>
      </c>
      <c r="MM74" s="12">
        <f>MM$22 * IF(AND(ML$5=1,MK$20=1), MX74, MV74)</f>
        <v>0</v>
      </c>
      <c r="MN74" s="12">
        <f>MN$22 * IF(AND(MM$5=1,MK$20=1), MX74, MV74)</f>
        <v>0</v>
      </c>
      <c r="MO74" s="12">
        <f>MO$22 * IF(AND(MN$5=1,MK$20=1), MX74, MV74)</f>
        <v>0</v>
      </c>
      <c r="MP74" s="12">
        <f>MP$22 * IF(AND(MO$5=1,MK$20=1), MX74, MV74)</f>
        <v>0</v>
      </c>
      <c r="MQ74" s="12">
        <f>MQ$22 * IF(AND(MP$5=1,MK$20=1), MX74, MV74)</f>
        <v>0</v>
      </c>
      <c r="MR74" s="12">
        <f>MR$22 * IF(AND(MQ$5=1,MK$20=1), MX74, MV74)</f>
        <v>0</v>
      </c>
      <c r="MS74" s="12">
        <f>MS$22 * IF(AND(MR$5=1,MK$20=1), MX74, MV74)</f>
        <v>0</v>
      </c>
      <c r="MU74" t="s">
        <v>1303</v>
      </c>
      <c r="MV74">
        <f>_xlfn.XLOOKUP(MU74,'KPI Impacts'!$B$2:$H$2,'KPI Impacts'!$B74:$H74)</f>
        <v>0</v>
      </c>
      <c r="MW74" s="9" t="s">
        <v>1303</v>
      </c>
      <c r="MX74">
        <f>_xlfn.XLOOKUP(MW74,'KPI Impacts'!$B$2:$H$2,'KPI Impacts'!$B74:$H74)</f>
        <v>0</v>
      </c>
      <c r="NA74" s="12">
        <f>NA$22*NL74</f>
        <v>0</v>
      </c>
      <c r="NB74" s="12">
        <f>NB$22 * IF(AND(NA$5=1,NA$20=1), NN74, NL74)</f>
        <v>0</v>
      </c>
      <c r="NC74" s="12">
        <f>NC$22 * IF(AND(NB$5=1,NA$20=1), NN74, NL74)</f>
        <v>0</v>
      </c>
      <c r="ND74" s="12">
        <f>ND$22 * IF(AND(NC$5=1,NA$20=1), NN74, NL74)</f>
        <v>0</v>
      </c>
      <c r="NE74" s="12">
        <f>NE$22 * IF(AND(ND$5=1,NA$20=1), NN74, NL74)</f>
        <v>0</v>
      </c>
      <c r="NF74" s="12">
        <f>NF$22 * IF(AND(NE$5=1,NA$20=1), NN74, NL74)</f>
        <v>0</v>
      </c>
      <c r="NG74" s="12">
        <f>NG$22 * IF(AND(NF$5=1,NA$20=1), NN74, NL74)</f>
        <v>0</v>
      </c>
      <c r="NH74" s="12">
        <f>NH$22 * IF(AND(NG$5=1,NA$20=1), NN74, NL74)</f>
        <v>0</v>
      </c>
      <c r="NI74" s="12">
        <f>NI$22 * IF(AND(NH$5=1,NA$20=1), NN74, NL74)</f>
        <v>0</v>
      </c>
      <c r="NK74" t="s">
        <v>1303</v>
      </c>
      <c r="NL74">
        <f>_xlfn.XLOOKUP(NK74,'KPI Impacts'!$B$2:$H$2,'KPI Impacts'!$B74:$H74)</f>
        <v>0</v>
      </c>
      <c r="NM74" s="9" t="s">
        <v>1303</v>
      </c>
      <c r="NN74">
        <f>_xlfn.XLOOKUP(NM74,'KPI Impacts'!$B$2:$H$2,'KPI Impacts'!$B74:$H74)</f>
        <v>0</v>
      </c>
      <c r="NQ74" s="12">
        <f>NQ$22*OB74</f>
        <v>0</v>
      </c>
      <c r="NR74" s="12">
        <f>NR$22 * IF(AND(NQ$5=1,NQ$20=1), OD74, OB74)</f>
        <v>0</v>
      </c>
      <c r="NS74" s="12">
        <f>NS$22 * IF(AND(NR$5=1,NQ$20=1), OD74, OB74)</f>
        <v>0</v>
      </c>
      <c r="NT74" s="12">
        <f>NT$22 * IF(AND(NS$5=1,NQ$20=1), OD74, OB74)</f>
        <v>0</v>
      </c>
      <c r="NU74" s="12">
        <f>NU$22 * IF(AND(NT$5=1,NQ$20=1), OD74, OB74)</f>
        <v>0</v>
      </c>
      <c r="NV74" s="12">
        <f>NV$22 * IF(AND(NU$5=1,NQ$20=1), OD74, OB74)</f>
        <v>0</v>
      </c>
      <c r="NW74" s="12">
        <f>NW$22 * IF(AND(NV$5=1,NQ$20=1), OD74, OB74)</f>
        <v>0</v>
      </c>
      <c r="NX74" s="12">
        <f>NX$22 * IF(AND(NW$5=1,NQ$20=1), OD74, OB74)</f>
        <v>0</v>
      </c>
      <c r="NY74" s="12">
        <f>NY$22 * IF(AND(NX$5=1,NQ$20=1), OD74, OB74)</f>
        <v>0</v>
      </c>
      <c r="OA74" t="s">
        <v>1303</v>
      </c>
      <c r="OB74">
        <f>_xlfn.XLOOKUP(OA74,'KPI Impacts'!$B$2:$H$2,'KPI Impacts'!$B74:$H74)</f>
        <v>0</v>
      </c>
      <c r="OC74" s="9" t="s">
        <v>1303</v>
      </c>
      <c r="OD74">
        <f>_xlfn.XLOOKUP(OC74,'KPI Impacts'!$B$2:$H$2,'KPI Impacts'!$B74:$H74)</f>
        <v>0</v>
      </c>
      <c r="OG74" s="12">
        <f>OG$22*OR74</f>
        <v>0</v>
      </c>
      <c r="OH74" s="12">
        <f>OH$22 * IF(AND(OG$5=1,OG$20=1), OT74, OR74)</f>
        <v>0</v>
      </c>
      <c r="OI74" s="12">
        <f>OI$22 * IF(AND(OH$5=1,OG$20=1), OT74, OR74)</f>
        <v>0</v>
      </c>
      <c r="OJ74" s="12">
        <f>OJ$22 * IF(AND(OI$5=1,OG$20=1), OT74, OR74)</f>
        <v>0</v>
      </c>
      <c r="OK74" s="12">
        <f>OK$22 * IF(AND(OJ$5=1,OG$20=1), OT74, OR74)</f>
        <v>0</v>
      </c>
      <c r="OL74" s="12">
        <f>OL$22 * IF(AND(OK$5=1,OG$20=1), OT74, OR74)</f>
        <v>0</v>
      </c>
      <c r="OM74" s="12">
        <f>OM$22 * IF(AND(OL$5=1,OG$20=1), OT74, OR74)</f>
        <v>0</v>
      </c>
      <c r="ON74" s="12">
        <f>ON$22 * IF(AND(OM$5=1,OG$20=1), OT74, OR74)</f>
        <v>0</v>
      </c>
      <c r="OO74" s="12">
        <f>OO$22 * IF(AND(ON$5=1,OG$20=1), OT74, OR74)</f>
        <v>0</v>
      </c>
      <c r="OQ74" t="s">
        <v>1303</v>
      </c>
      <c r="OR74">
        <f>_xlfn.XLOOKUP(OQ74,'KPI Impacts'!$B$2:$H$2,'KPI Impacts'!$B74:$H74)</f>
        <v>0</v>
      </c>
      <c r="OS74" s="9" t="s">
        <v>1303</v>
      </c>
      <c r="OT74">
        <f>_xlfn.XLOOKUP(OS74,'KPI Impacts'!$B$2:$H$2,'KPI Impacts'!$B74:$H74)</f>
        <v>0</v>
      </c>
    </row>
    <row r="75" spans="1:410" x14ac:dyDescent="0.2">
      <c r="A75" t="s">
        <v>1310</v>
      </c>
      <c r="B75" s="12">
        <f t="shared" si="525"/>
        <v>0</v>
      </c>
      <c r="C75" s="12">
        <f t="shared" si="525"/>
        <v>0</v>
      </c>
      <c r="D75" s="12">
        <f t="shared" si="525"/>
        <v>0</v>
      </c>
      <c r="E75" s="12">
        <f t="shared" si="525"/>
        <v>0</v>
      </c>
      <c r="F75" s="12">
        <f t="shared" si="525"/>
        <v>0</v>
      </c>
      <c r="G75" s="12">
        <f t="shared" si="525"/>
        <v>0</v>
      </c>
      <c r="H75" s="12">
        <f t="shared" si="525"/>
        <v>0</v>
      </c>
      <c r="I75" s="12">
        <f t="shared" si="526"/>
        <v>0</v>
      </c>
      <c r="J75" s="12">
        <f t="shared" si="526"/>
        <v>0</v>
      </c>
      <c r="M75">
        <f>M$5*V75</f>
        <v>0</v>
      </c>
      <c r="N75">
        <f>N$5*V75</f>
        <v>0</v>
      </c>
      <c r="O75">
        <f>O$5*V75</f>
        <v>0</v>
      </c>
      <c r="P75">
        <f>P$5*V75</f>
        <v>0</v>
      </c>
      <c r="Q75">
        <f>Q$5*V75</f>
        <v>0</v>
      </c>
      <c r="R75">
        <f>R$5*V75</f>
        <v>0</v>
      </c>
      <c r="S75">
        <f>S$5*V75</f>
        <v>0</v>
      </c>
      <c r="U75" t="s">
        <v>1303</v>
      </c>
      <c r="V75">
        <f>_xlfn.XLOOKUP(U75,'KPI Impacts'!$B$2:$H$2,'KPI Impacts'!$B75:$H75)</f>
        <v>0</v>
      </c>
      <c r="Y75" s="12" cm="1">
        <f t="array" ref="Y75">_xlfn.SWITCH(Y$4, 0,0, 1, AJ75,2,AL75,3,AN75,0)</f>
        <v>0</v>
      </c>
      <c r="Z75" s="12" cm="1">
        <f t="array" ref="Z75">_xlfn.SWITCH(Z$4, 0,0, 1, AJ75,2,AL75,3,AN75,0)+Y75</f>
        <v>0</v>
      </c>
      <c r="AA75" s="12" cm="1">
        <f t="array" ref="AA75">_xlfn.SWITCH(AA$4, 0,0, 1, AJ75,2,AL75,3,AN75,0)+Z75</f>
        <v>0</v>
      </c>
      <c r="AB75" s="12" cm="1">
        <f t="array" ref="AB75">_xlfn.SWITCH(AB$4, 0,0, 1, AJ75,2,AL75,3,AN75,0)+AA75</f>
        <v>0</v>
      </c>
      <c r="AC75" s="12" cm="1">
        <f t="array" ref="AC75">_xlfn.SWITCH(AC$4, 0,0, 1, AJ75,2,AL75,3,AN75,0)+AB75</f>
        <v>0</v>
      </c>
      <c r="AD75" s="12" cm="1">
        <f t="array" ref="AD75">_xlfn.SWITCH(AD$4, 0,0, 1, AJ75,2,AL75,3,AN75,0)+AC75</f>
        <v>0</v>
      </c>
      <c r="AE75" s="12" cm="1">
        <f t="array" ref="AE75">_xlfn.SWITCH(AE$4, 0,0, 1, AJ75,2,AL75,3,AN75,0)+AD75</f>
        <v>0</v>
      </c>
      <c r="AF75" s="12" cm="1">
        <f t="array" ref="AF75">_xlfn.SWITCH(AF$4, 0,0, 1, AJ75,2,AL75,3,AN75,0)+AE75</f>
        <v>0</v>
      </c>
      <c r="AG75" s="12" cm="1">
        <f t="array" ref="AG75">_xlfn.SWITCH(AG$4, 0,0, 1, AJ75,2,AL75,3,AN75,0)+AF75</f>
        <v>0</v>
      </c>
      <c r="AI75" t="s">
        <v>1303</v>
      </c>
      <c r="AJ75">
        <f>_xlfn.XLOOKUP(AI75,'KPI Impacts'!$K$2:$Q$2,'KPI Impacts'!$K75:$Q75)</f>
        <v>0</v>
      </c>
      <c r="AK75" t="s">
        <v>1303</v>
      </c>
      <c r="AL75">
        <f>_xlfn.XLOOKUP(AK75,'KPI Impacts'!$K$2:$Q$2,'KPI Impacts'!$K75:$Q75)</f>
        <v>0</v>
      </c>
      <c r="AM75" t="s">
        <v>1303</v>
      </c>
      <c r="AN75">
        <f>_xlfn.XLOOKUP(AM75,'KPI Impacts'!$K$2:$Q$2,'KPI Impacts'!$K75:$Q75)</f>
        <v>0</v>
      </c>
      <c r="AQ75" s="12" cm="1">
        <f t="array" ref="AQ75">_xlfn.SWITCH(AQ$4, 0,0, 1, BB75,2,BD75,3,BF75,0)</f>
        <v>0</v>
      </c>
      <c r="AR75" s="12" cm="1">
        <f t="array" ref="AR75">_xlfn.SWITCH(AR$4, 0,0, 1, BB75,2,BD75,3,BF75,0)+AQ75</f>
        <v>0</v>
      </c>
      <c r="AS75" s="12" cm="1">
        <f t="array" ref="AS75">_xlfn.SWITCH(AS$4, 0,0, 1, BB75,2,BD75,3,BF75,0)+AR75</f>
        <v>0</v>
      </c>
      <c r="AT75" s="12" cm="1">
        <f t="array" ref="AT75">_xlfn.SWITCH(AT$4, 0,0, 1, BB75,2,BD75,3,BF75,0)+AS75</f>
        <v>0</v>
      </c>
      <c r="AU75" s="12" cm="1">
        <f t="array" ref="AU75">_xlfn.SWITCH(AU$4, 0,0, 1, BB75,2,BD75,3,BF75,0)+AT75</f>
        <v>0</v>
      </c>
      <c r="AV75" s="12" cm="1">
        <f t="array" ref="AV75">_xlfn.SWITCH(AV$4, 0,0, 1, BB75,2,BD75,3,BF75,0)+AU75</f>
        <v>0</v>
      </c>
      <c r="AW75" s="12" cm="1">
        <f t="array" ref="AW75">_xlfn.SWITCH(AW$4, 0,0, 1, BB75,2,BD75,3,BF75,0)+AV75</f>
        <v>0</v>
      </c>
      <c r="AX75" s="12" cm="1">
        <f t="array" ref="AX75">_xlfn.SWITCH(AX$4, 0,0, 1, BB75,2,BD75,3,BF75,0)+AW75</f>
        <v>0</v>
      </c>
      <c r="AY75" s="12" cm="1">
        <f t="array" ref="AY75">_xlfn.SWITCH(AY$4, 0,0, 1, BB75,2,BD75,3,BF75,0)+AX75</f>
        <v>0</v>
      </c>
      <c r="BA75" t="s">
        <v>1303</v>
      </c>
      <c r="BB75">
        <f>_xlfn.XLOOKUP(BA75,'KPI Impacts'!$K$2:$Q$2,'KPI Impacts'!$K75:$Q75)</f>
        <v>0</v>
      </c>
      <c r="BC75" t="s">
        <v>1303</v>
      </c>
      <c r="BD75">
        <f>_xlfn.XLOOKUP(BC75,'KPI Impacts'!$K$2:$Q$2,'KPI Impacts'!$K75:$Q75)</f>
        <v>0</v>
      </c>
      <c r="BE75" t="s">
        <v>1303</v>
      </c>
      <c r="BF75">
        <f>_xlfn.XLOOKUP(BE75,'KPI Impacts'!$K$2:$Q$2,'KPI Impacts'!$K75:$Q75)</f>
        <v>0</v>
      </c>
      <c r="BI75" s="12">
        <f>BI$22*BT75</f>
        <v>0</v>
      </c>
      <c r="BJ75" s="12">
        <f>BJ$22 * IF(AND(BI$5=1,BI$20=1), BV75, BT75)</f>
        <v>0</v>
      </c>
      <c r="BK75" s="12">
        <f>BK$22 * IF(AND(BJ$5=1,BI$20=1), BV75, BT75)</f>
        <v>0</v>
      </c>
      <c r="BL75" s="12">
        <f>BL$22 * IF(AND(BK$5=1,BI$20=1), BV75, BT75)</f>
        <v>0</v>
      </c>
      <c r="BM75" s="12">
        <f>BM$22 * IF(AND(BL$5=1,BI$20=1), BV75, BT75)</f>
        <v>0</v>
      </c>
      <c r="BN75" s="12">
        <f>BN$22 * IF(AND(BM$5=1,BI$20=1), BV75, BT75)</f>
        <v>0</v>
      </c>
      <c r="BO75" s="12">
        <f>BO$22 * IF(AND(BN$5=1,BI$20=1), BV75, BT75)</f>
        <v>0</v>
      </c>
      <c r="BP75" s="12">
        <f>BP$22 * IF(AND(BO$5=1,BI$20=1), BV75, BT75)</f>
        <v>0</v>
      </c>
      <c r="BQ75" s="12">
        <f>BQ$22 * IF(AND(BP$5=1,BI$20=1), BV75, BT75)</f>
        <v>0</v>
      </c>
      <c r="BS75" s="16" t="s">
        <v>1303</v>
      </c>
      <c r="BT75">
        <f>_xlfn.XLOOKUP(BS75,'KPI Impacts'!$B$2:$H$2,'KPI Impacts'!$B75:$H75)</f>
        <v>0</v>
      </c>
      <c r="BU75" s="35" t="s">
        <v>1303</v>
      </c>
      <c r="BV75">
        <f>_xlfn.XLOOKUP(BU75,'KPI Impacts'!$B$2:$H$2,'KPI Impacts'!$B75:$H75)</f>
        <v>0</v>
      </c>
      <c r="BY75" s="12">
        <f>BY$22*CJ75</f>
        <v>0</v>
      </c>
      <c r="BZ75" s="12">
        <f>BZ$22 * IF(AND(BY$5=1,BY$20=1), CL75, CJ75)</f>
        <v>0</v>
      </c>
      <c r="CA75" s="12">
        <f>CA$22 * IF(AND(BZ$5=1,BY$20=1), CL75, CJ75)</f>
        <v>0</v>
      </c>
      <c r="CB75" s="12">
        <f>CB$22 * IF(AND(CA$5=1,BY$20=1), CL75, CJ75)</f>
        <v>0</v>
      </c>
      <c r="CC75" s="12">
        <f>CC$22 * IF(AND(CB$5=1,BY$20=1), CL75, CJ75)</f>
        <v>0</v>
      </c>
      <c r="CD75" s="12">
        <f>CD$22 * IF(AND(CC$5=1,BY$20=1), CL75, CJ75)</f>
        <v>0</v>
      </c>
      <c r="CE75" s="12">
        <f>CE$22 * IF(AND(CD$5=1,BY$20=1), CL75, CJ75)</f>
        <v>0</v>
      </c>
      <c r="CF75" s="12">
        <f>CF$22 * IF(AND(CE$5=1,BY$20=1), CL75, CJ75)</f>
        <v>0</v>
      </c>
      <c r="CG75" s="12">
        <f>CG$22 * IF(AND(CF$5=1,BY$20=1), CL75, CJ75)</f>
        <v>0</v>
      </c>
      <c r="CI75" s="16" t="s">
        <v>1303</v>
      </c>
      <c r="CJ75">
        <f>_xlfn.XLOOKUP(CI75,'KPI Impacts'!$B$2:$H$2,'KPI Impacts'!$B75:$H75)</f>
        <v>0</v>
      </c>
      <c r="CK75" s="35" t="s">
        <v>1303</v>
      </c>
      <c r="CL75">
        <f>_xlfn.XLOOKUP(CK75,'KPI Impacts'!$B$2:$H$2,'KPI Impacts'!$B75:$H75)</f>
        <v>0</v>
      </c>
      <c r="CO75" s="12">
        <f>CO$22*CZ75</f>
        <v>0</v>
      </c>
      <c r="CP75" s="12">
        <f>CP$22 * IF(AND(CO$5=1,CO$20=1), DB75, CZ75)</f>
        <v>0</v>
      </c>
      <c r="CQ75" s="12">
        <f>CQ$22 * IF(AND(CP$5=1,CO$20=1), DB75, CZ75)</f>
        <v>0</v>
      </c>
      <c r="CR75" s="12">
        <f>CR$22 * IF(AND(CQ$5=1,CO$20=1), DB75, CZ75)</f>
        <v>0</v>
      </c>
      <c r="CS75" s="12">
        <f>CS$22 * IF(AND(CR$5=1,CO$20=1), DB75, CZ75)</f>
        <v>0</v>
      </c>
      <c r="CT75" s="12">
        <f>CT$22 * IF(AND(CS$5=1,CO$20=1), DB75, CZ75)</f>
        <v>0</v>
      </c>
      <c r="CU75" s="12">
        <f>CU$22 * IF(AND(CT$5=1,CO$20=1), DB75, CZ75)</f>
        <v>0</v>
      </c>
      <c r="CV75" s="12">
        <f>CV$22 * IF(AND(CU$5=1,CO$20=1), DB75, CZ75)</f>
        <v>0</v>
      </c>
      <c r="CW75" s="12">
        <f>CW$22 * IF(AND(CV$5=1,CO$20=1), DB75, CZ75)</f>
        <v>0</v>
      </c>
      <c r="CY75" s="16" t="s">
        <v>1303</v>
      </c>
      <c r="CZ75">
        <f>_xlfn.XLOOKUP(CY75,'KPI Impacts'!$B$2:$H$2,'KPI Impacts'!$B75:$H75)</f>
        <v>0</v>
      </c>
      <c r="DA75" s="35" t="s">
        <v>1303</v>
      </c>
      <c r="DB75">
        <f>_xlfn.XLOOKUP(DA75,'KPI Impacts'!$B$2:$H$2,'KPI Impacts'!$B75:$H75)</f>
        <v>0</v>
      </c>
      <c r="DE75" s="12">
        <f>DE$22*DP75</f>
        <v>0</v>
      </c>
      <c r="DF75" s="12">
        <f>DF$22 * IF(AND(DE$5=1,DE$20=1), DR75, DP75)</f>
        <v>0</v>
      </c>
      <c r="DG75" s="12">
        <f>DG$22 * IF(AND(DF$5=1,DE$20=1), DR75, DP75)</f>
        <v>0</v>
      </c>
      <c r="DH75" s="12">
        <f>DH$22 * IF(AND(DG$5=1,DE$20=1), DR75, DP75)</f>
        <v>0</v>
      </c>
      <c r="DI75" s="12">
        <f>DI$22 * IF(AND(DH$5=1,DE$20=1), DR75, DP75)</f>
        <v>0</v>
      </c>
      <c r="DJ75" s="12">
        <f>DJ$22 * IF(AND(DI$5=1,DE$20=1), DR75, DP75)</f>
        <v>0</v>
      </c>
      <c r="DK75" s="12">
        <f>DK$22 * IF(AND(DJ$5=1,DE$20=1), DR75, DP75)</f>
        <v>0</v>
      </c>
      <c r="DL75" s="12">
        <f>DL$22 * IF(AND(DK$5=1,DE$20=1), DR75, DP75)</f>
        <v>0</v>
      </c>
      <c r="DM75" s="12">
        <f>DM$22 * IF(AND(DL$5=1,DE$20=1), DR75, DP75)</f>
        <v>0</v>
      </c>
      <c r="DO75" s="16" t="s">
        <v>1303</v>
      </c>
      <c r="DP75">
        <f>_xlfn.XLOOKUP(DO75,'KPI Impacts'!$B$2:$H$2,'KPI Impacts'!$B75:$H75)</f>
        <v>0</v>
      </c>
      <c r="DQ75" s="35" t="s">
        <v>1303</v>
      </c>
      <c r="DR75">
        <f>_xlfn.XLOOKUP(DQ75,'KPI Impacts'!$B$2:$H$2,'KPI Impacts'!$B75:$H75)</f>
        <v>0</v>
      </c>
      <c r="DU75" s="12">
        <f>DU$22*EF75</f>
        <v>0</v>
      </c>
      <c r="DV75" s="12">
        <f>DV$22 * IF(AND(DU$5=1,DU$20=1), EH75, EF75)</f>
        <v>0</v>
      </c>
      <c r="DW75" s="12">
        <f>DW$22 * IF(AND(DV$5=1,DU$20=1), EH75, EF75)</f>
        <v>0</v>
      </c>
      <c r="DX75" s="12">
        <f>DX$22 * IF(AND(DW$5=1,DU$20=1), EH75, EF75)</f>
        <v>0</v>
      </c>
      <c r="DY75" s="12">
        <f>DY$22 * IF(AND(DX$5=1,DU$20=1), EH75, EF75)</f>
        <v>0</v>
      </c>
      <c r="DZ75" s="12">
        <f>DZ$22 * IF(AND(DY$5=1,DU$20=1), EH75, EF75)</f>
        <v>0</v>
      </c>
      <c r="EA75" s="12">
        <f>EA$22 * IF(AND(DZ$5=1,DU$20=1), EH75, EF75)</f>
        <v>0</v>
      </c>
      <c r="EB75" s="12">
        <f>EB$22 * IF(AND(EA$5=1,DU$20=1), EH75, EF75)</f>
        <v>0</v>
      </c>
      <c r="EC75" s="12">
        <f>EC$22 * IF(AND(EB$5=1,DU$20=1), EH75, EF75)</f>
        <v>0</v>
      </c>
      <c r="EE75" s="16" t="s">
        <v>1303</v>
      </c>
      <c r="EF75">
        <f>_xlfn.XLOOKUP(EE75,'KPI Impacts'!$B$2:$H$2,'KPI Impacts'!$B75:$H75)</f>
        <v>0</v>
      </c>
      <c r="EG75" s="35" t="s">
        <v>1303</v>
      </c>
      <c r="EH75">
        <f>_xlfn.XLOOKUP(EG75,'KPI Impacts'!$B$2:$H$2,'KPI Impacts'!$B75:$H75)</f>
        <v>0</v>
      </c>
      <c r="EK75" s="12">
        <f>EK$22*EV75</f>
        <v>0</v>
      </c>
      <c r="EL75" s="12">
        <f>EL$22 * IF(AND(EK$5=1,EK$20=1), EX75, EV75)</f>
        <v>0</v>
      </c>
      <c r="EM75" s="12">
        <f>EM$22 * IF(AND(EL$5=1,EK$20=1), EX75, EV75)</f>
        <v>0</v>
      </c>
      <c r="EN75" s="12">
        <f>EN$22 * IF(AND(EM$5=1,EK$20=1), EX75, EV75)</f>
        <v>0</v>
      </c>
      <c r="EO75" s="12">
        <f>EO$22 * IF(AND(EN$5=1,EK$20=1), EX75, EV75)</f>
        <v>0</v>
      </c>
      <c r="EP75" s="12">
        <f>EP$22 * IF(AND(EO$5=1,EK$20=1), EX75, EV75)</f>
        <v>0</v>
      </c>
      <c r="EQ75" s="12">
        <f>EQ$22 * IF(AND(EP$5=1,EK$20=1), EX75, EV75)</f>
        <v>0</v>
      </c>
      <c r="ER75" s="12">
        <f>ER$22 * IF(AND(EQ$5=1,EK$20=1), EX75, EV75)</f>
        <v>0</v>
      </c>
      <c r="ES75" s="12">
        <f>ES$22 * IF(AND(ER$5=1,EK$20=1), EX75, EV75)</f>
        <v>0</v>
      </c>
      <c r="EU75" s="16" t="s">
        <v>1303</v>
      </c>
      <c r="EV75">
        <f>_xlfn.XLOOKUP(EU75,'KPI Impacts'!$B$2:$H$2,'KPI Impacts'!$B75:$H75)</f>
        <v>0</v>
      </c>
      <c r="EW75" s="35" t="s">
        <v>1303</v>
      </c>
      <c r="EX75">
        <f>_xlfn.XLOOKUP(EW75,'KPI Impacts'!$B$2:$H$2,'KPI Impacts'!$B75:$H75)</f>
        <v>0</v>
      </c>
      <c r="FA75" s="12">
        <f>FA$22*FL75</f>
        <v>0</v>
      </c>
      <c r="FB75" s="12">
        <f>FB$22 * IF(AND(FA$5=1,FA$20=1), FN75, FL75)</f>
        <v>0</v>
      </c>
      <c r="FC75" s="12">
        <f>FC$22 * IF(AND(FB$5=1,FA$20=1), FN75, FL75)</f>
        <v>0</v>
      </c>
      <c r="FD75" s="12">
        <f>FD$22 * IF(AND(FC$5=1,FA$20=1), FN75, FL75)</f>
        <v>0</v>
      </c>
      <c r="FE75" s="12">
        <f>FE$22 * IF(AND(FD$5=1,FA$20=1), FN75, FL75)</f>
        <v>0</v>
      </c>
      <c r="FF75" s="12">
        <f>FF$22 * IF(AND(FE$5=1,FA$20=1), FN75, FL75)</f>
        <v>0</v>
      </c>
      <c r="FG75" s="12">
        <f>FG$22 * IF(AND(FF$5=1,FA$20=1), FN75, FL75)</f>
        <v>0</v>
      </c>
      <c r="FH75" s="12">
        <f>FH$22 * IF(AND(FG$5=1,FA$20=1), FN75, FL75)</f>
        <v>0</v>
      </c>
      <c r="FI75" s="12">
        <f>FI$22 * IF(AND(FH$5=1,FA$20=1), FN75, FL75)</f>
        <v>0</v>
      </c>
      <c r="FK75" s="16" t="s">
        <v>1303</v>
      </c>
      <c r="FL75">
        <f>_xlfn.XLOOKUP(FK75,'KPI Impacts'!$B$2:$H$2,'KPI Impacts'!$B75:$H75)</f>
        <v>0</v>
      </c>
      <c r="FM75" s="16" t="s">
        <v>1303</v>
      </c>
      <c r="FN75">
        <f>_xlfn.XLOOKUP(FM75,'KPI Impacts'!$B$2:$H$2,'KPI Impacts'!$B75:$H75)</f>
        <v>0</v>
      </c>
      <c r="FQ75" s="12">
        <f>FQ$22*GB75</f>
        <v>0</v>
      </c>
      <c r="FR75" s="12">
        <f>FR$22 * IF(AND(FQ$5=1,FQ$20=1), GD75, GB75)</f>
        <v>0</v>
      </c>
      <c r="FS75" s="12">
        <f>FS$22 * IF(AND(FR$5=1,FQ$20=1), GD75, GB75)</f>
        <v>0</v>
      </c>
      <c r="FT75" s="12">
        <f>FT$22 * IF(AND(FS$5=1,FQ$20=1), GD75, GB75)</f>
        <v>0</v>
      </c>
      <c r="FU75" s="12">
        <f>FU$22 * IF(AND(FT$5=1,FQ$20=1), GD75, GB75)</f>
        <v>0</v>
      </c>
      <c r="FV75" s="12">
        <f>FV$22 * IF(AND(FU$5=1,FQ$20=1), GD75, GB75)</f>
        <v>0</v>
      </c>
      <c r="FW75" s="12">
        <f>FW$22 * IF(AND(FV$5=1,FQ$20=1), GD75, GB75)</f>
        <v>0</v>
      </c>
      <c r="FX75" s="12">
        <f>FX$22 * IF(AND(FW$5=1,FQ$20=1), GD75, GB75)</f>
        <v>0</v>
      </c>
      <c r="FY75" s="12">
        <f>FY$22 * IF(AND(FX$5=1,FQ$20=1), GD75, GB75)</f>
        <v>0</v>
      </c>
      <c r="GA75" s="16" t="s">
        <v>1303</v>
      </c>
      <c r="GB75">
        <f>_xlfn.XLOOKUP(GA75,'KPI Impacts'!$B$2:$H$2,'KPI Impacts'!$B75:$H75)</f>
        <v>0</v>
      </c>
      <c r="GC75" s="9" t="s">
        <v>1303</v>
      </c>
      <c r="GD75">
        <f>_xlfn.XLOOKUP(GC75,'KPI Impacts'!$B$2:$H$2,'KPI Impacts'!$B75:$H75)</f>
        <v>0</v>
      </c>
      <c r="GG75" s="12">
        <f>GG$22*GR75</f>
        <v>0</v>
      </c>
      <c r="GH75" s="12">
        <f>GH$22 * IF(AND(GG$5=1,GG$20=1), GT75, GR75)</f>
        <v>0</v>
      </c>
      <c r="GI75" s="12">
        <f>GI$22 * IF(AND(GH$5=1,GG$20=1), GT75, GR75)</f>
        <v>0</v>
      </c>
      <c r="GJ75" s="12">
        <f>GJ$22 * IF(AND(GI$5=1,GG$20=1), GT75, GR75)</f>
        <v>0</v>
      </c>
      <c r="GK75" s="12">
        <f>GK$22 * IF(AND(GJ$5=1,GG$20=1), GT75, GR75)</f>
        <v>0</v>
      </c>
      <c r="GL75" s="12">
        <f>GL$22 * IF(AND(GK$5=1,GG$20=1), GT75, GR75)</f>
        <v>0</v>
      </c>
      <c r="GM75" s="12">
        <f>GM$22 * IF(AND(GL$5=1,GG$20=1), GT75, GR75)</f>
        <v>0</v>
      </c>
      <c r="GN75" s="12">
        <f>GN$22 * IF(AND(GM$5=1,GG$20=1), GT75, GR75)</f>
        <v>0</v>
      </c>
      <c r="GO75" s="12">
        <f>GO$22 * IF(AND(GN$5=1,GG$20=1), GT75, GR75)</f>
        <v>0</v>
      </c>
      <c r="GQ75" s="16" t="s">
        <v>1303</v>
      </c>
      <c r="GR75">
        <f>_xlfn.XLOOKUP(GQ75,'KPI Impacts'!$B$2:$H$2,'KPI Impacts'!$B75:$H75)</f>
        <v>0</v>
      </c>
      <c r="GS75" s="9" t="s">
        <v>1303</v>
      </c>
      <c r="GT75">
        <f>_xlfn.XLOOKUP(GS75,'KPI Impacts'!$B$2:$H$2,'KPI Impacts'!$B75:$H75)</f>
        <v>0</v>
      </c>
      <c r="GW75" s="12">
        <f>GW$22*HH75</f>
        <v>0</v>
      </c>
      <c r="GX75" s="12">
        <f>GX$22 * IF(AND(GW$5=1,GW$20=1), HJ75, HH75)</f>
        <v>0</v>
      </c>
      <c r="GY75" s="12">
        <f>GY$22 * IF(AND(GX$5=1,GW$20=1), HJ75, HH75)</f>
        <v>0</v>
      </c>
      <c r="GZ75" s="12">
        <f>GZ$22 * IF(AND(GY$5=1,GW$20=1), HJ75, HH75)</f>
        <v>0</v>
      </c>
      <c r="HA75" s="12">
        <f>HA$22 * IF(AND(GZ$5=1,GW$20=1), HJ75, HH75)</f>
        <v>0</v>
      </c>
      <c r="HB75" s="12">
        <f>HB$22 * IF(AND(HA$5=1,GW$20=1), HJ75, HH75)</f>
        <v>0</v>
      </c>
      <c r="HC75" s="12">
        <f>HC$22 * IF(AND(HB$5=1,GW$20=1), HJ75, HH75)</f>
        <v>0</v>
      </c>
      <c r="HD75" s="12">
        <f>HD$22 * IF(AND(HC$5=1,GW$20=1), HJ75, HH75)</f>
        <v>0</v>
      </c>
      <c r="HE75" s="12">
        <f>HE$22 * IF(AND(HD$5=1,GW$20=1), HJ75, HH75)</f>
        <v>0</v>
      </c>
      <c r="HG75" s="16" t="s">
        <v>1303</v>
      </c>
      <c r="HH75">
        <f>_xlfn.XLOOKUP(HG75,'KPI Impacts'!$B$2:$H$2,'KPI Impacts'!$B75:$H75)</f>
        <v>0</v>
      </c>
      <c r="HI75" s="9" t="s">
        <v>1303</v>
      </c>
      <c r="HJ75">
        <f>_xlfn.XLOOKUP(HI75,'KPI Impacts'!$B$2:$H$2,'KPI Impacts'!$B75:$H75)</f>
        <v>0</v>
      </c>
      <c r="HM75" s="12">
        <f>HM$22*HX75</f>
        <v>0</v>
      </c>
      <c r="HN75" s="12">
        <f>HN$22 * IF(AND(HM$5=1,HM$20=1), HZ75, HX75)</f>
        <v>0</v>
      </c>
      <c r="HO75" s="12">
        <f>HO$22 * IF(AND(HN$5=1,HM$20=1), HZ75, HX75)</f>
        <v>0</v>
      </c>
      <c r="HP75" s="12">
        <f>HP$22 * IF(AND(HO$5=1,HM$20=1), HZ75, HX75)</f>
        <v>0</v>
      </c>
      <c r="HQ75" s="12">
        <f>HQ$22 * IF(AND(HP$5=1,HM$20=1), HZ75, HX75)</f>
        <v>0</v>
      </c>
      <c r="HR75" s="12">
        <f>HR$22 * IF(AND(HQ$5=1,HM$20=1), HZ75, HX75)</f>
        <v>0</v>
      </c>
      <c r="HS75" s="12">
        <f>HS$22 * IF(AND(HR$5=1,HM$20=1), HZ75, HX75)</f>
        <v>0</v>
      </c>
      <c r="HT75" s="12">
        <f>HT$22 * IF(AND(HS$5=1,HM$20=1), HZ75, HX75)</f>
        <v>0</v>
      </c>
      <c r="HU75" s="12">
        <f>HU$22 * IF(AND(HT$5=1,HM$20=1), HZ75, HX75)</f>
        <v>0</v>
      </c>
      <c r="HW75" s="16" t="s">
        <v>1303</v>
      </c>
      <c r="HX75">
        <f>_xlfn.XLOOKUP(HW75,'KPI Impacts'!$B$2:$H$2,'KPI Impacts'!$B75:$H75)</f>
        <v>0</v>
      </c>
      <c r="HY75" s="9" t="s">
        <v>1303</v>
      </c>
      <c r="HZ75">
        <f>_xlfn.XLOOKUP(HY75,'KPI Impacts'!$B$2:$H$2,'KPI Impacts'!$B75:$H75)</f>
        <v>0</v>
      </c>
      <c r="IC75" s="12">
        <f>IC$22*IN75</f>
        <v>0</v>
      </c>
      <c r="ID75" s="12">
        <f>ID$22 * IF(AND(IC$5=1,IC$20=1), IP75, IN75)</f>
        <v>0</v>
      </c>
      <c r="IE75" s="12">
        <f>IE$22 * IF(AND(ID$5=1,IC$20=1), IP75, IN75)</f>
        <v>0</v>
      </c>
      <c r="IF75" s="12">
        <f>IF$22 * IF(AND(IE$5=1,IC$20=1), IP75, IN75)</f>
        <v>0</v>
      </c>
      <c r="IG75" s="12">
        <f>IG$22 * IF(AND(IF$5=1,IC$20=1), IP75, IN75)</f>
        <v>0</v>
      </c>
      <c r="IH75" s="12">
        <f>IH$22 * IF(AND(IG$5=1,IC$20=1), IP75, IN75)</f>
        <v>0</v>
      </c>
      <c r="II75" s="12">
        <f>II$22 * IF(AND(IH$5=1,IC$20=1), IP75, IN75)</f>
        <v>0</v>
      </c>
      <c r="IJ75" s="12">
        <f>IJ$22 * IF(AND(II$5=1,IC$20=1), IP75, IN75)</f>
        <v>0</v>
      </c>
      <c r="IK75" s="12">
        <f>IK$22 * IF(AND(IJ$5=1,IC$20=1), IP75, IN75)</f>
        <v>0</v>
      </c>
      <c r="IM75" s="16" t="s">
        <v>1303</v>
      </c>
      <c r="IN75">
        <f>_xlfn.XLOOKUP(IM75,'KPI Impacts'!$B$2:$H$2,'KPI Impacts'!$B75:$H75)</f>
        <v>0</v>
      </c>
      <c r="IO75" s="9" t="s">
        <v>1303</v>
      </c>
      <c r="IP75">
        <f>_xlfn.XLOOKUP(IO75,'KPI Impacts'!$B$2:$H$2,'KPI Impacts'!$B75:$H75)</f>
        <v>0</v>
      </c>
      <c r="IS75" s="12">
        <f>IS$22*JD75</f>
        <v>0</v>
      </c>
      <c r="IT75" s="12">
        <f>IT$22 * IF(AND(IS$5=1,IS$20=1), JF75, JD75)</f>
        <v>0</v>
      </c>
      <c r="IU75" s="12">
        <f>IU$22 * IF(AND(IT$5=1,IS$20=1), JF75, JD75)</f>
        <v>0</v>
      </c>
      <c r="IV75" s="12">
        <f>IV$22 * IF(AND(IU$5=1,IS$20=1), JF75, JD75)</f>
        <v>0</v>
      </c>
      <c r="IW75" s="12">
        <f>IW$22 * IF(AND(IV$5=1,IS$20=1), JF75, JD75)</f>
        <v>0</v>
      </c>
      <c r="IX75" s="12">
        <f>IX$22 * IF(AND(IW$5=1,IS$20=1), JF75, JD75)</f>
        <v>0</v>
      </c>
      <c r="IY75" s="12">
        <f>IY$22 * IF(AND(IX$5=1,IS$20=1), JF75, JD75)</f>
        <v>0</v>
      </c>
      <c r="IZ75" s="12">
        <f>IZ$22 * IF(AND(IY$5=1,IS$20=1), JF75, JD75)</f>
        <v>0</v>
      </c>
      <c r="JA75" s="12">
        <f>JA$22 * IF(AND(IZ$5=1,IS$20=1), JF75, JD75)</f>
        <v>0</v>
      </c>
      <c r="JC75" t="s">
        <v>1303</v>
      </c>
      <c r="JD75">
        <f>_xlfn.XLOOKUP(JC75,'KPI Impacts'!$B$2:$H$2,'KPI Impacts'!$B75:$H75)</f>
        <v>0</v>
      </c>
      <c r="JE75" s="9" t="s">
        <v>1303</v>
      </c>
      <c r="JF75">
        <f>_xlfn.XLOOKUP(JE75,'KPI Impacts'!$B$2:$H$2,'KPI Impacts'!$B75:$H75)</f>
        <v>0</v>
      </c>
      <c r="JI75" s="12">
        <f>JI$22*JT75</f>
        <v>0</v>
      </c>
      <c r="JJ75" s="12">
        <f>JJ$22 * IF(AND(JI$5=1,JI$20=1), JV75, JT75)</f>
        <v>0</v>
      </c>
      <c r="JK75" s="12">
        <f>JK$22 * IF(AND(JJ$5=1,JI$20=1), JV75, JT75)</f>
        <v>0</v>
      </c>
      <c r="JL75" s="12">
        <f>JL$22 * IF(AND(JK$5=1,JI$20=1), JV75, JT75)</f>
        <v>0</v>
      </c>
      <c r="JM75" s="12">
        <f>JM$22 * IF(AND(JL$5=1,JI$20=1), JV75, JT75)</f>
        <v>0</v>
      </c>
      <c r="JN75" s="12">
        <f>JN$22 * IF(AND(JM$5=1,JI$20=1), JV75, JT75)</f>
        <v>0</v>
      </c>
      <c r="JO75" s="12">
        <f>JO$22 * IF(AND(JN$5=1,JI$20=1), JV75, JT75)</f>
        <v>0</v>
      </c>
      <c r="JP75" s="12">
        <f>JP$22 * IF(AND(JO$5=1,JI$20=1), JV75, JT75)</f>
        <v>0</v>
      </c>
      <c r="JQ75" s="12">
        <f>JQ$22 * IF(AND(JP$5=1,JI$20=1), JV75, JT75)</f>
        <v>0</v>
      </c>
      <c r="JS75" t="s">
        <v>1303</v>
      </c>
      <c r="JT75">
        <f>_xlfn.XLOOKUP(JS75,'KPI Impacts'!$B$2:$H$2,'KPI Impacts'!$B75:$H75)</f>
        <v>0</v>
      </c>
      <c r="JU75" s="9" t="s">
        <v>1303</v>
      </c>
      <c r="JV75">
        <f>_xlfn.XLOOKUP(JU75,'KPI Impacts'!$B$2:$H$2,'KPI Impacts'!$B75:$H75)</f>
        <v>0</v>
      </c>
      <c r="JY75" s="12">
        <f>JY$22*KJ75</f>
        <v>0</v>
      </c>
      <c r="JZ75" s="12">
        <f>JZ$22 * IF(AND(JY$5=1,JY$20=1), KL75, KJ75)</f>
        <v>0</v>
      </c>
      <c r="KA75" s="12">
        <f>KA$22 * IF(AND(JZ$5=1,JY$20=1), KL75, KJ75)</f>
        <v>0</v>
      </c>
      <c r="KB75" s="12">
        <f>KB$22 * IF(AND(KA$5=1,JY$20=1), KL75, KJ75)</f>
        <v>0</v>
      </c>
      <c r="KC75" s="12">
        <f>KC$22 * IF(AND(KB$5=1,JY$20=1), KL75, KJ75)</f>
        <v>0</v>
      </c>
      <c r="KD75" s="12">
        <f>KD$22 * IF(AND(KC$5=1,JY$20=1), KL75, KJ75)</f>
        <v>0</v>
      </c>
      <c r="KE75" s="12">
        <f>KE$22 * IF(AND(KD$5=1,JY$20=1), KL75, KJ75)</f>
        <v>0</v>
      </c>
      <c r="KF75" s="12">
        <f>KF$22 * IF(AND(KE$5=1,JY$20=1), KL75, KJ75)</f>
        <v>0</v>
      </c>
      <c r="KG75" s="12">
        <f>KG$22 * IF(AND(KF$5=1,JY$20=1), KL75, KJ75)</f>
        <v>0</v>
      </c>
      <c r="KI75" t="s">
        <v>1303</v>
      </c>
      <c r="KJ75">
        <f>_xlfn.XLOOKUP(KI75,'KPI Impacts'!$B$2:$H$2,'KPI Impacts'!$B75:$H75)</f>
        <v>0</v>
      </c>
      <c r="KK75" s="9" t="s">
        <v>1303</v>
      </c>
      <c r="KL75">
        <f>_xlfn.XLOOKUP(KK75,'KPI Impacts'!$B$2:$H$2,'KPI Impacts'!$B75:$H75)</f>
        <v>0</v>
      </c>
      <c r="KO75" s="12">
        <f>KO$22*KZ75</f>
        <v>0</v>
      </c>
      <c r="KP75" s="12">
        <f>KP$22 * IF(AND(KO$5=1,KO$20=1), LB75, KZ75)</f>
        <v>0</v>
      </c>
      <c r="KQ75" s="12">
        <f>KQ$22 * IF(AND(KP$5=1,KO$20=1), LB75, KZ75)</f>
        <v>0</v>
      </c>
      <c r="KR75" s="12">
        <f>KR$22 * IF(AND(KQ$5=1,KO$20=1), LB75, KZ75)</f>
        <v>0</v>
      </c>
      <c r="KS75" s="12">
        <f>KS$22 * IF(AND(KR$5=1,KO$20=1), LB75, KZ75)</f>
        <v>0</v>
      </c>
      <c r="KT75" s="12">
        <f>KT$22 * IF(AND(KS$5=1,KO$20=1), LB75, KZ75)</f>
        <v>0</v>
      </c>
      <c r="KU75" s="12">
        <f>KU$22 * IF(AND(KT$5=1,KO$20=1), LB75, KZ75)</f>
        <v>0</v>
      </c>
      <c r="KV75" s="12">
        <f>KV$22 * IF(AND(KU$5=1,KO$20=1), LB75, KZ75)</f>
        <v>0</v>
      </c>
      <c r="KW75" s="12">
        <f>KW$22 * IF(AND(KV$5=1,KO$20=1), LB75, KZ75)</f>
        <v>0</v>
      </c>
      <c r="KY75" t="s">
        <v>1303</v>
      </c>
      <c r="KZ75">
        <f>_xlfn.XLOOKUP(KY75,'KPI Impacts'!$B$2:$H$2,'KPI Impacts'!$B75:$H75)</f>
        <v>0</v>
      </c>
      <c r="LA75" s="9" t="s">
        <v>1303</v>
      </c>
      <c r="LB75">
        <f>_xlfn.XLOOKUP(LA75,'KPI Impacts'!$B$2:$H$2,'KPI Impacts'!$B75:$H75)</f>
        <v>0</v>
      </c>
      <c r="LE75" s="12">
        <f>LE$22*LP75</f>
        <v>0</v>
      </c>
      <c r="LF75" s="12">
        <f>LF$22 * IF(AND(LE$5=1,LE$20=1), LR75, LP75)</f>
        <v>0</v>
      </c>
      <c r="LG75" s="12">
        <f>LG$22 * IF(AND(LF$5=1,LE$20=1), LR75, LP75)</f>
        <v>0</v>
      </c>
      <c r="LH75" s="12">
        <f>LH$22 * IF(AND(LG$5=1,LE$20=1), LR75, LP75)</f>
        <v>0</v>
      </c>
      <c r="LI75" s="12">
        <f>LI$22 * IF(AND(LH$5=1,LE$20=1), LR75, LP75)</f>
        <v>0</v>
      </c>
      <c r="LJ75" s="12">
        <f>LJ$22 * IF(AND(LI$5=1,LE$20=1), LR75, LP75)</f>
        <v>0</v>
      </c>
      <c r="LK75" s="12">
        <f>LK$22 * IF(AND(LJ$5=1,LE$20=1), LR75, LP75)</f>
        <v>0</v>
      </c>
      <c r="LL75" s="12">
        <f>LL$22 * IF(AND(LK$5=1,LE$20=1), LR75, LP75)</f>
        <v>0</v>
      </c>
      <c r="LM75" s="12">
        <f>LM$22 * IF(AND(LL$5=1,LE$20=1), LR75, LP75)</f>
        <v>0</v>
      </c>
      <c r="LO75" t="s">
        <v>1303</v>
      </c>
      <c r="LP75">
        <f>_xlfn.XLOOKUP(LO75,'KPI Impacts'!$B$2:$H$2,'KPI Impacts'!$B75:$H75)</f>
        <v>0</v>
      </c>
      <c r="LQ75" s="9" t="s">
        <v>1303</v>
      </c>
      <c r="LR75">
        <f>_xlfn.XLOOKUP(LQ75,'KPI Impacts'!$B$2:$H$2,'KPI Impacts'!$B75:$H75)</f>
        <v>0</v>
      </c>
      <c r="LU75" s="12">
        <f>LU$22*MF75</f>
        <v>0</v>
      </c>
      <c r="LV75" s="12">
        <f>LV$22 * IF(AND(LU$5=1,LU$20=1), MH75, MF75)</f>
        <v>0</v>
      </c>
      <c r="LW75" s="12">
        <f>LW$22 * IF(AND(LV$5=1,LU$20=1), MH75, MF75)</f>
        <v>0</v>
      </c>
      <c r="LX75" s="12">
        <f>LX$22 * IF(AND(LW$5=1,LU$20=1), MH75, MF75)</f>
        <v>0</v>
      </c>
      <c r="LY75" s="12">
        <f>LY$22 * IF(AND(LX$5=1,LU$20=1), MH75, MF75)</f>
        <v>0</v>
      </c>
      <c r="LZ75" s="12">
        <f>LZ$22 * IF(AND(LY$5=1,LU$20=1), MH75, MF75)</f>
        <v>0</v>
      </c>
      <c r="MA75" s="12">
        <f>MA$22 * IF(AND(LZ$5=1,LU$20=1), MH75, MF75)</f>
        <v>0</v>
      </c>
      <c r="MB75" s="12">
        <f>MB$22 * IF(AND(MA$5=1,LU$20=1), MH75, MF75)</f>
        <v>0</v>
      </c>
      <c r="MC75" s="12">
        <f>MC$22 * IF(AND(MB$5=1,LU$20=1), MH75, MF75)</f>
        <v>0</v>
      </c>
      <c r="ME75" t="s">
        <v>1303</v>
      </c>
      <c r="MF75">
        <f>_xlfn.XLOOKUP(ME75,'KPI Impacts'!$B$2:$H$2,'KPI Impacts'!$B75:$H75)</f>
        <v>0</v>
      </c>
      <c r="MG75" s="9" t="s">
        <v>1303</v>
      </c>
      <c r="MH75">
        <f>_xlfn.XLOOKUP(MG75,'KPI Impacts'!$B$2:$H$2,'KPI Impacts'!$B75:$H75)</f>
        <v>0</v>
      </c>
      <c r="MK75" s="12">
        <f>MK$22*MV75</f>
        <v>0</v>
      </c>
      <c r="ML75" s="12">
        <f>ML$22 * IF(AND(MK$5=1,MK$20=1), MX75, MV75)</f>
        <v>0</v>
      </c>
      <c r="MM75" s="12">
        <f>MM$22 * IF(AND(ML$5=1,MK$20=1), MX75, MV75)</f>
        <v>0</v>
      </c>
      <c r="MN75" s="12">
        <f>MN$22 * IF(AND(MM$5=1,MK$20=1), MX75, MV75)</f>
        <v>0</v>
      </c>
      <c r="MO75" s="12">
        <f>MO$22 * IF(AND(MN$5=1,MK$20=1), MX75, MV75)</f>
        <v>0</v>
      </c>
      <c r="MP75" s="12">
        <f>MP$22 * IF(AND(MO$5=1,MK$20=1), MX75, MV75)</f>
        <v>0</v>
      </c>
      <c r="MQ75" s="12">
        <f>MQ$22 * IF(AND(MP$5=1,MK$20=1), MX75, MV75)</f>
        <v>0</v>
      </c>
      <c r="MR75" s="12">
        <f>MR$22 * IF(AND(MQ$5=1,MK$20=1), MX75, MV75)</f>
        <v>0</v>
      </c>
      <c r="MS75" s="12">
        <f>MS$22 * IF(AND(MR$5=1,MK$20=1), MX75, MV75)</f>
        <v>0</v>
      </c>
      <c r="MU75" t="s">
        <v>1303</v>
      </c>
      <c r="MV75">
        <f>_xlfn.XLOOKUP(MU75,'KPI Impacts'!$B$2:$H$2,'KPI Impacts'!$B75:$H75)</f>
        <v>0</v>
      </c>
      <c r="MW75" s="9" t="s">
        <v>1303</v>
      </c>
      <c r="MX75">
        <f>_xlfn.XLOOKUP(MW75,'KPI Impacts'!$B$2:$H$2,'KPI Impacts'!$B75:$H75)</f>
        <v>0</v>
      </c>
      <c r="NA75" s="12">
        <f>NA$22*NL75</f>
        <v>0</v>
      </c>
      <c r="NB75" s="12">
        <f>NB$22 * IF(AND(NA$5=1,NA$20=1), NN75, NL75)</f>
        <v>0</v>
      </c>
      <c r="NC75" s="12">
        <f>NC$22 * IF(AND(NB$5=1,NA$20=1), NN75, NL75)</f>
        <v>0</v>
      </c>
      <c r="ND75" s="12">
        <f>ND$22 * IF(AND(NC$5=1,NA$20=1), NN75, NL75)</f>
        <v>0</v>
      </c>
      <c r="NE75" s="12">
        <f>NE$22 * IF(AND(ND$5=1,NA$20=1), NN75, NL75)</f>
        <v>0</v>
      </c>
      <c r="NF75" s="12">
        <f>NF$22 * IF(AND(NE$5=1,NA$20=1), NN75, NL75)</f>
        <v>0</v>
      </c>
      <c r="NG75" s="12">
        <f>NG$22 * IF(AND(NF$5=1,NA$20=1), NN75, NL75)</f>
        <v>0</v>
      </c>
      <c r="NH75" s="12">
        <f>NH$22 * IF(AND(NG$5=1,NA$20=1), NN75, NL75)</f>
        <v>0</v>
      </c>
      <c r="NI75" s="12">
        <f>NI$22 * IF(AND(NH$5=1,NA$20=1), NN75, NL75)</f>
        <v>0</v>
      </c>
      <c r="NK75" t="s">
        <v>1303</v>
      </c>
      <c r="NL75">
        <f>_xlfn.XLOOKUP(NK75,'KPI Impacts'!$B$2:$H$2,'KPI Impacts'!$B75:$H75)</f>
        <v>0</v>
      </c>
      <c r="NM75" s="9" t="s">
        <v>1303</v>
      </c>
      <c r="NN75">
        <f>_xlfn.XLOOKUP(NM75,'KPI Impacts'!$B$2:$H$2,'KPI Impacts'!$B75:$H75)</f>
        <v>0</v>
      </c>
      <c r="NQ75" s="12">
        <f>NQ$22*OB75</f>
        <v>0</v>
      </c>
      <c r="NR75" s="12">
        <f>NR$22 * IF(AND(NQ$5=1,NQ$20=1), OD75, OB75)</f>
        <v>0</v>
      </c>
      <c r="NS75" s="12">
        <f>NS$22 * IF(AND(NR$5=1,NQ$20=1), OD75, OB75)</f>
        <v>0</v>
      </c>
      <c r="NT75" s="12">
        <f>NT$22 * IF(AND(NS$5=1,NQ$20=1), OD75, OB75)</f>
        <v>0</v>
      </c>
      <c r="NU75" s="12">
        <f>NU$22 * IF(AND(NT$5=1,NQ$20=1), OD75, OB75)</f>
        <v>0</v>
      </c>
      <c r="NV75" s="12">
        <f>NV$22 * IF(AND(NU$5=1,NQ$20=1), OD75, OB75)</f>
        <v>0</v>
      </c>
      <c r="NW75" s="12">
        <f>NW$22 * IF(AND(NV$5=1,NQ$20=1), OD75, OB75)</f>
        <v>0</v>
      </c>
      <c r="NX75" s="12">
        <f>NX$22 * IF(AND(NW$5=1,NQ$20=1), OD75, OB75)</f>
        <v>0</v>
      </c>
      <c r="NY75" s="12">
        <f>NY$22 * IF(AND(NX$5=1,NQ$20=1), OD75, OB75)</f>
        <v>0</v>
      </c>
      <c r="OA75" t="s">
        <v>1303</v>
      </c>
      <c r="OB75">
        <f>_xlfn.XLOOKUP(OA75,'KPI Impacts'!$B$2:$H$2,'KPI Impacts'!$B75:$H75)</f>
        <v>0</v>
      </c>
      <c r="OC75" s="9" t="s">
        <v>1303</v>
      </c>
      <c r="OD75">
        <f>_xlfn.XLOOKUP(OC75,'KPI Impacts'!$B$2:$H$2,'KPI Impacts'!$B75:$H75)</f>
        <v>0</v>
      </c>
      <c r="OG75" s="12">
        <f>OG$22*OR75</f>
        <v>0</v>
      </c>
      <c r="OH75" s="12">
        <f>OH$22 * IF(AND(OG$5=1,OG$20=1), OT75, OR75)</f>
        <v>0</v>
      </c>
      <c r="OI75" s="12">
        <f>OI$22 * IF(AND(OH$5=1,OG$20=1), OT75, OR75)</f>
        <v>0</v>
      </c>
      <c r="OJ75" s="12">
        <f>OJ$22 * IF(AND(OI$5=1,OG$20=1), OT75, OR75)</f>
        <v>0</v>
      </c>
      <c r="OK75" s="12">
        <f>OK$22 * IF(AND(OJ$5=1,OG$20=1), OT75, OR75)</f>
        <v>0</v>
      </c>
      <c r="OL75" s="12">
        <f>OL$22 * IF(AND(OK$5=1,OG$20=1), OT75, OR75)</f>
        <v>0</v>
      </c>
      <c r="OM75" s="12">
        <f>OM$22 * IF(AND(OL$5=1,OG$20=1), OT75, OR75)</f>
        <v>0</v>
      </c>
      <c r="ON75" s="12">
        <f>ON$22 * IF(AND(OM$5=1,OG$20=1), OT75, OR75)</f>
        <v>0</v>
      </c>
      <c r="OO75" s="12">
        <f>OO$22 * IF(AND(ON$5=1,OG$20=1), OT75, OR75)</f>
        <v>0</v>
      </c>
      <c r="OQ75" t="s">
        <v>1303</v>
      </c>
      <c r="OR75">
        <f>_xlfn.XLOOKUP(OQ75,'KPI Impacts'!$B$2:$H$2,'KPI Impacts'!$B75:$H75)</f>
        <v>0</v>
      </c>
      <c r="OS75" s="9" t="s">
        <v>1303</v>
      </c>
      <c r="OT75">
        <f>_xlfn.XLOOKUP(OS75,'KPI Impacts'!$B$2:$H$2,'KPI Impacts'!$B75:$H75)</f>
        <v>0</v>
      </c>
    </row>
    <row r="76" spans="1:410" x14ac:dyDescent="0.2">
      <c r="A76" t="s">
        <v>1311</v>
      </c>
      <c r="B76" s="12">
        <f t="shared" si="525"/>
        <v>0</v>
      </c>
      <c r="C76" s="12">
        <f t="shared" si="525"/>
        <v>0</v>
      </c>
      <c r="D76" s="12">
        <f t="shared" si="525"/>
        <v>0</v>
      </c>
      <c r="E76" s="12">
        <f t="shared" si="525"/>
        <v>0</v>
      </c>
      <c r="F76" s="12">
        <f t="shared" si="525"/>
        <v>0</v>
      </c>
      <c r="G76" s="12">
        <f t="shared" si="525"/>
        <v>0</v>
      </c>
      <c r="H76" s="12">
        <f t="shared" si="525"/>
        <v>0</v>
      </c>
      <c r="I76" s="12">
        <f t="shared" si="526"/>
        <v>0</v>
      </c>
      <c r="J76" s="12">
        <f t="shared" si="526"/>
        <v>0</v>
      </c>
      <c r="M76">
        <f>M$5*V76</f>
        <v>0</v>
      </c>
      <c r="N76">
        <f>N$5*V76</f>
        <v>0</v>
      </c>
      <c r="O76">
        <f>O$5*V76</f>
        <v>0</v>
      </c>
      <c r="P76">
        <f>P$5*V76</f>
        <v>0</v>
      </c>
      <c r="Q76">
        <f>Q$5*V76</f>
        <v>0</v>
      </c>
      <c r="R76">
        <f>R$5*V76</f>
        <v>0</v>
      </c>
      <c r="S76">
        <f>S$5*V76</f>
        <v>0</v>
      </c>
      <c r="U76" t="s">
        <v>1303</v>
      </c>
      <c r="V76">
        <f>_xlfn.XLOOKUP(U76,'KPI Impacts'!$B$2:$H$2,'KPI Impacts'!$B76:$H76)</f>
        <v>0</v>
      </c>
      <c r="Y76" s="12" cm="1">
        <f t="array" ref="Y76">_xlfn.SWITCH(Y$4, 0,0, 1, AJ76,2,AL76,3,AN76,0)</f>
        <v>0</v>
      </c>
      <c r="Z76" s="12" cm="1">
        <f t="array" ref="Z76">_xlfn.SWITCH(Z$4, 0,0, 1, AJ76,2,AL76,3,AN76,0)+Y76</f>
        <v>0</v>
      </c>
      <c r="AA76" s="12" cm="1">
        <f t="array" ref="AA76">_xlfn.SWITCH(AA$4, 0,0, 1, AJ76,2,AL76,3,AN76,0)+Z76</f>
        <v>0</v>
      </c>
      <c r="AB76" s="12" cm="1">
        <f t="array" ref="AB76">_xlfn.SWITCH(AB$4, 0,0, 1, AJ76,2,AL76,3,AN76,0)+AA76</f>
        <v>0</v>
      </c>
      <c r="AC76" s="12" cm="1">
        <f t="array" ref="AC76">_xlfn.SWITCH(AC$4, 0,0, 1, AJ76,2,AL76,3,AN76,0)+AB76</f>
        <v>0</v>
      </c>
      <c r="AD76" s="12" cm="1">
        <f t="array" ref="AD76">_xlfn.SWITCH(AD$4, 0,0, 1, AJ76,2,AL76,3,AN76,0)+AC76</f>
        <v>0</v>
      </c>
      <c r="AE76" s="12" cm="1">
        <f t="array" ref="AE76">_xlfn.SWITCH(AE$4, 0,0, 1, AJ76,2,AL76,3,AN76,0)+AD76</f>
        <v>0</v>
      </c>
      <c r="AF76" s="12" cm="1">
        <f t="array" ref="AF76">_xlfn.SWITCH(AF$4, 0,0, 1, AJ76,2,AL76,3,AN76,0)+AE76</f>
        <v>0</v>
      </c>
      <c r="AG76" s="12" cm="1">
        <f t="array" ref="AG76">_xlfn.SWITCH(AG$4, 0,0, 1, AJ76,2,AL76,3,AN76,0)+AF76</f>
        <v>0</v>
      </c>
      <c r="AI76" t="s">
        <v>1303</v>
      </c>
      <c r="AJ76">
        <f>_xlfn.XLOOKUP(AI76,'KPI Impacts'!$K$2:$Q$2,'KPI Impacts'!$K76:$Q76)</f>
        <v>0</v>
      </c>
      <c r="AK76" t="s">
        <v>1303</v>
      </c>
      <c r="AL76">
        <f>_xlfn.XLOOKUP(AK76,'KPI Impacts'!$K$2:$Q$2,'KPI Impacts'!$K76:$Q76)</f>
        <v>0</v>
      </c>
      <c r="AM76" t="s">
        <v>1303</v>
      </c>
      <c r="AN76">
        <f>_xlfn.XLOOKUP(AM76,'KPI Impacts'!$K$2:$Q$2,'KPI Impacts'!$K76:$Q76)</f>
        <v>0</v>
      </c>
      <c r="AQ76" s="12" cm="1">
        <f t="array" ref="AQ76">_xlfn.SWITCH(AQ$4, 0,0, 1, BB76,2,BD76,3,BF76,0)</f>
        <v>0</v>
      </c>
      <c r="AR76" s="12" cm="1">
        <f t="array" ref="AR76">_xlfn.SWITCH(AR$4, 0,0, 1, BB76,2,BD76,3,BF76,0)+AQ76</f>
        <v>0</v>
      </c>
      <c r="AS76" s="12" cm="1">
        <f t="array" ref="AS76">_xlfn.SWITCH(AS$4, 0,0, 1, BB76,2,BD76,3,BF76,0)+AR76</f>
        <v>0</v>
      </c>
      <c r="AT76" s="12" cm="1">
        <f t="array" ref="AT76">_xlfn.SWITCH(AT$4, 0,0, 1, BB76,2,BD76,3,BF76,0)+AS76</f>
        <v>0</v>
      </c>
      <c r="AU76" s="12" cm="1">
        <f t="array" ref="AU76">_xlfn.SWITCH(AU$4, 0,0, 1, BB76,2,BD76,3,BF76,0)+AT76</f>
        <v>0</v>
      </c>
      <c r="AV76" s="12" cm="1">
        <f t="array" ref="AV76">_xlfn.SWITCH(AV$4, 0,0, 1, BB76,2,BD76,3,BF76,0)+AU76</f>
        <v>0</v>
      </c>
      <c r="AW76" s="12" cm="1">
        <f t="array" ref="AW76">_xlfn.SWITCH(AW$4, 0,0, 1, BB76,2,BD76,3,BF76,0)+AV76</f>
        <v>0</v>
      </c>
      <c r="AX76" s="12" cm="1">
        <f t="array" ref="AX76">_xlfn.SWITCH(AX$4, 0,0, 1, BB76,2,BD76,3,BF76,0)+AW76</f>
        <v>0</v>
      </c>
      <c r="AY76" s="12" cm="1">
        <f t="array" ref="AY76">_xlfn.SWITCH(AY$4, 0,0, 1, BB76,2,BD76,3,BF76,0)+AX76</f>
        <v>0</v>
      </c>
      <c r="BA76" t="s">
        <v>1303</v>
      </c>
      <c r="BB76">
        <f>_xlfn.XLOOKUP(BA76,'KPI Impacts'!$K$2:$Q$2,'KPI Impacts'!$K76:$Q76)</f>
        <v>0</v>
      </c>
      <c r="BC76" t="s">
        <v>1303</v>
      </c>
      <c r="BD76">
        <f>_xlfn.XLOOKUP(BC76,'KPI Impacts'!$K$2:$Q$2,'KPI Impacts'!$K76:$Q76)</f>
        <v>0</v>
      </c>
      <c r="BE76" t="s">
        <v>1303</v>
      </c>
      <c r="BF76">
        <f>_xlfn.XLOOKUP(BE76,'KPI Impacts'!$K$2:$Q$2,'KPI Impacts'!$K76:$Q76)</f>
        <v>0</v>
      </c>
      <c r="BI76" s="12">
        <f>BI$22*BT76</f>
        <v>0</v>
      </c>
      <c r="BJ76" s="12">
        <f>BJ$22 * IF(AND(BI$5=1,BI$20=1), BV76, BT76)</f>
        <v>0</v>
      </c>
      <c r="BK76" s="12">
        <f>BK$22 * IF(AND(BJ$5=1,BI$20=1), BV76, BT76)</f>
        <v>0</v>
      </c>
      <c r="BL76" s="12">
        <f>BL$22 * IF(AND(BK$5=1,BI$20=1), BV76, BT76)</f>
        <v>0</v>
      </c>
      <c r="BM76" s="12">
        <f>BM$22 * IF(AND(BL$5=1,BI$20=1), BV76, BT76)</f>
        <v>0</v>
      </c>
      <c r="BN76" s="12">
        <f>BN$22 * IF(AND(BM$5=1,BI$20=1), BV76, BT76)</f>
        <v>0</v>
      </c>
      <c r="BO76" s="12">
        <f>BO$22 * IF(AND(BN$5=1,BI$20=1), BV76, BT76)</f>
        <v>0</v>
      </c>
      <c r="BP76" s="12">
        <f>BP$22 * IF(AND(BO$5=1,BI$20=1), BV76, BT76)</f>
        <v>0</v>
      </c>
      <c r="BQ76" s="12">
        <f>BQ$22 * IF(AND(BP$5=1,BI$20=1), BV76, BT76)</f>
        <v>0</v>
      </c>
      <c r="BS76" s="16" t="s">
        <v>1303</v>
      </c>
      <c r="BT76">
        <f>_xlfn.XLOOKUP(BS76,'KPI Impacts'!$B$2:$H$2,'KPI Impacts'!$B76:$H76)</f>
        <v>0</v>
      </c>
      <c r="BU76" s="35" t="s">
        <v>1303</v>
      </c>
      <c r="BV76">
        <f>_xlfn.XLOOKUP(BU76,'KPI Impacts'!$B$2:$H$2,'KPI Impacts'!$B76:$H76)</f>
        <v>0</v>
      </c>
      <c r="BY76" s="12">
        <f>BY$22*CJ76</f>
        <v>0</v>
      </c>
      <c r="BZ76" s="12">
        <f>BZ$22 * IF(AND(BY$5=1,BY$20=1), CL76, CJ76)</f>
        <v>0</v>
      </c>
      <c r="CA76" s="12">
        <f>CA$22 * IF(AND(BZ$5=1,BY$20=1), CL76, CJ76)</f>
        <v>0</v>
      </c>
      <c r="CB76" s="12">
        <f>CB$22 * IF(AND(CA$5=1,BY$20=1), CL76, CJ76)</f>
        <v>0</v>
      </c>
      <c r="CC76" s="12">
        <f>CC$22 * IF(AND(CB$5=1,BY$20=1), CL76, CJ76)</f>
        <v>0</v>
      </c>
      <c r="CD76" s="12">
        <f>CD$22 * IF(AND(CC$5=1,BY$20=1), CL76, CJ76)</f>
        <v>0</v>
      </c>
      <c r="CE76" s="12">
        <f>CE$22 * IF(AND(CD$5=1,BY$20=1), CL76, CJ76)</f>
        <v>0</v>
      </c>
      <c r="CF76" s="12">
        <f>CF$22 * IF(AND(CE$5=1,BY$20=1), CL76, CJ76)</f>
        <v>0</v>
      </c>
      <c r="CG76" s="12">
        <f>CG$22 * IF(AND(CF$5=1,BY$20=1), CL76, CJ76)</f>
        <v>0</v>
      </c>
      <c r="CI76" s="16" t="s">
        <v>1303</v>
      </c>
      <c r="CJ76">
        <f>_xlfn.XLOOKUP(CI76,'KPI Impacts'!$B$2:$H$2,'KPI Impacts'!$B76:$H76)</f>
        <v>0</v>
      </c>
      <c r="CK76" s="35" t="s">
        <v>1303</v>
      </c>
      <c r="CL76">
        <f>_xlfn.XLOOKUP(CK76,'KPI Impacts'!$B$2:$H$2,'KPI Impacts'!$B76:$H76)</f>
        <v>0</v>
      </c>
      <c r="CO76" s="12">
        <f>CO$22*CZ76</f>
        <v>0</v>
      </c>
      <c r="CP76" s="12">
        <f>CP$22 * IF(AND(CO$5=1,CO$20=1), DB76, CZ76)</f>
        <v>0</v>
      </c>
      <c r="CQ76" s="12">
        <f>CQ$22 * IF(AND(CP$5=1,CO$20=1), DB76, CZ76)</f>
        <v>0</v>
      </c>
      <c r="CR76" s="12">
        <f>CR$22 * IF(AND(CQ$5=1,CO$20=1), DB76, CZ76)</f>
        <v>0</v>
      </c>
      <c r="CS76" s="12">
        <f>CS$22 * IF(AND(CR$5=1,CO$20=1), DB76, CZ76)</f>
        <v>0</v>
      </c>
      <c r="CT76" s="12">
        <f>CT$22 * IF(AND(CS$5=1,CO$20=1), DB76, CZ76)</f>
        <v>0</v>
      </c>
      <c r="CU76" s="12">
        <f>CU$22 * IF(AND(CT$5=1,CO$20=1), DB76, CZ76)</f>
        <v>0</v>
      </c>
      <c r="CV76" s="12">
        <f>CV$22 * IF(AND(CU$5=1,CO$20=1), DB76, CZ76)</f>
        <v>0</v>
      </c>
      <c r="CW76" s="12">
        <f>CW$22 * IF(AND(CV$5=1,CO$20=1), DB76, CZ76)</f>
        <v>0</v>
      </c>
      <c r="CY76" s="16" t="s">
        <v>1303</v>
      </c>
      <c r="CZ76">
        <f>_xlfn.XLOOKUP(CY76,'KPI Impacts'!$B$2:$H$2,'KPI Impacts'!$B76:$H76)</f>
        <v>0</v>
      </c>
      <c r="DA76" s="35" t="s">
        <v>1303</v>
      </c>
      <c r="DB76">
        <f>_xlfn.XLOOKUP(DA76,'KPI Impacts'!$B$2:$H$2,'KPI Impacts'!$B76:$H76)</f>
        <v>0</v>
      </c>
      <c r="DE76" s="12">
        <f>DE$22*DP76</f>
        <v>0</v>
      </c>
      <c r="DF76" s="12">
        <f>DF$22 * IF(AND(DE$5=1,DE$20=1), DR76, DP76)</f>
        <v>0</v>
      </c>
      <c r="DG76" s="12">
        <f>DG$22 * IF(AND(DF$5=1,DE$20=1), DR76, DP76)</f>
        <v>0</v>
      </c>
      <c r="DH76" s="12">
        <f>DH$22 * IF(AND(DG$5=1,DE$20=1), DR76, DP76)</f>
        <v>0</v>
      </c>
      <c r="DI76" s="12">
        <f>DI$22 * IF(AND(DH$5=1,DE$20=1), DR76, DP76)</f>
        <v>0</v>
      </c>
      <c r="DJ76" s="12">
        <f>DJ$22 * IF(AND(DI$5=1,DE$20=1), DR76, DP76)</f>
        <v>0</v>
      </c>
      <c r="DK76" s="12">
        <f>DK$22 * IF(AND(DJ$5=1,DE$20=1), DR76, DP76)</f>
        <v>0</v>
      </c>
      <c r="DL76" s="12">
        <f>DL$22 * IF(AND(DK$5=1,DE$20=1), DR76, DP76)</f>
        <v>0</v>
      </c>
      <c r="DM76" s="12">
        <f>DM$22 * IF(AND(DL$5=1,DE$20=1), DR76, DP76)</f>
        <v>0</v>
      </c>
      <c r="DO76" s="16" t="s">
        <v>1303</v>
      </c>
      <c r="DP76">
        <f>_xlfn.XLOOKUP(DO76,'KPI Impacts'!$B$2:$H$2,'KPI Impacts'!$B76:$H76)</f>
        <v>0</v>
      </c>
      <c r="DQ76" s="35" t="s">
        <v>1303</v>
      </c>
      <c r="DR76">
        <f>_xlfn.XLOOKUP(DQ76,'KPI Impacts'!$B$2:$H$2,'KPI Impacts'!$B76:$H76)</f>
        <v>0</v>
      </c>
      <c r="DU76" s="12">
        <f>DU$22*EF76</f>
        <v>0</v>
      </c>
      <c r="DV76" s="12">
        <f>DV$22 * IF(AND(DU$5=1,DU$20=1), EH76, EF76)</f>
        <v>0</v>
      </c>
      <c r="DW76" s="12">
        <f>DW$22 * IF(AND(DV$5=1,DU$20=1), EH76, EF76)</f>
        <v>0</v>
      </c>
      <c r="DX76" s="12">
        <f>DX$22 * IF(AND(DW$5=1,DU$20=1), EH76, EF76)</f>
        <v>0</v>
      </c>
      <c r="DY76" s="12">
        <f>DY$22 * IF(AND(DX$5=1,DU$20=1), EH76, EF76)</f>
        <v>0</v>
      </c>
      <c r="DZ76" s="12">
        <f>DZ$22 * IF(AND(DY$5=1,DU$20=1), EH76, EF76)</f>
        <v>0</v>
      </c>
      <c r="EA76" s="12">
        <f>EA$22 * IF(AND(DZ$5=1,DU$20=1), EH76, EF76)</f>
        <v>0</v>
      </c>
      <c r="EB76" s="12">
        <f>EB$22 * IF(AND(EA$5=1,DU$20=1), EH76, EF76)</f>
        <v>0</v>
      </c>
      <c r="EC76" s="12">
        <f>EC$22 * IF(AND(EB$5=1,DU$20=1), EH76, EF76)</f>
        <v>0</v>
      </c>
      <c r="EE76" s="16" t="s">
        <v>1303</v>
      </c>
      <c r="EF76">
        <f>_xlfn.XLOOKUP(EE76,'KPI Impacts'!$B$2:$H$2,'KPI Impacts'!$B76:$H76)</f>
        <v>0</v>
      </c>
      <c r="EG76" s="35" t="s">
        <v>1303</v>
      </c>
      <c r="EH76">
        <f>_xlfn.XLOOKUP(EG76,'KPI Impacts'!$B$2:$H$2,'KPI Impacts'!$B76:$H76)</f>
        <v>0</v>
      </c>
      <c r="EK76" s="12">
        <f>EK$22*EV76</f>
        <v>0</v>
      </c>
      <c r="EL76" s="12">
        <f>EL$22 * IF(AND(EK$5=1,EK$20=1), EX76, EV76)</f>
        <v>0</v>
      </c>
      <c r="EM76" s="12">
        <f>EM$22 * IF(AND(EL$5=1,EK$20=1), EX76, EV76)</f>
        <v>0</v>
      </c>
      <c r="EN76" s="12">
        <f>EN$22 * IF(AND(EM$5=1,EK$20=1), EX76, EV76)</f>
        <v>0</v>
      </c>
      <c r="EO76" s="12">
        <f>EO$22 * IF(AND(EN$5=1,EK$20=1), EX76, EV76)</f>
        <v>0</v>
      </c>
      <c r="EP76" s="12">
        <f>EP$22 * IF(AND(EO$5=1,EK$20=1), EX76, EV76)</f>
        <v>0</v>
      </c>
      <c r="EQ76" s="12">
        <f>EQ$22 * IF(AND(EP$5=1,EK$20=1), EX76, EV76)</f>
        <v>0</v>
      </c>
      <c r="ER76" s="12">
        <f>ER$22 * IF(AND(EQ$5=1,EK$20=1), EX76, EV76)</f>
        <v>0</v>
      </c>
      <c r="ES76" s="12">
        <f>ES$22 * IF(AND(ER$5=1,EK$20=1), EX76, EV76)</f>
        <v>0</v>
      </c>
      <c r="EU76" s="16" t="s">
        <v>1303</v>
      </c>
      <c r="EV76">
        <f>_xlfn.XLOOKUP(EU76,'KPI Impacts'!$B$2:$H$2,'KPI Impacts'!$B76:$H76)</f>
        <v>0</v>
      </c>
      <c r="EW76" s="35" t="s">
        <v>1303</v>
      </c>
      <c r="EX76">
        <f>_xlfn.XLOOKUP(EW76,'KPI Impacts'!$B$2:$H$2,'KPI Impacts'!$B76:$H76)</f>
        <v>0</v>
      </c>
      <c r="FA76" s="12">
        <f>FA$22*FL76</f>
        <v>0</v>
      </c>
      <c r="FB76" s="12">
        <f>FB$22 * IF(AND(FA$5=1,FA$20=1), FN76, FL76)</f>
        <v>0</v>
      </c>
      <c r="FC76" s="12">
        <f>FC$22 * IF(AND(FB$5=1,FA$20=1), FN76, FL76)</f>
        <v>0</v>
      </c>
      <c r="FD76" s="12">
        <f>FD$22 * IF(AND(FC$5=1,FA$20=1), FN76, FL76)</f>
        <v>0</v>
      </c>
      <c r="FE76" s="12">
        <f>FE$22 * IF(AND(FD$5=1,FA$20=1), FN76, FL76)</f>
        <v>0</v>
      </c>
      <c r="FF76" s="12">
        <f>FF$22 * IF(AND(FE$5=1,FA$20=1), FN76, FL76)</f>
        <v>0</v>
      </c>
      <c r="FG76" s="12">
        <f>FG$22 * IF(AND(FF$5=1,FA$20=1), FN76, FL76)</f>
        <v>0</v>
      </c>
      <c r="FH76" s="12">
        <f>FH$22 * IF(AND(FG$5=1,FA$20=1), FN76, FL76)</f>
        <v>0</v>
      </c>
      <c r="FI76" s="12">
        <f>FI$22 * IF(AND(FH$5=1,FA$20=1), FN76, FL76)</f>
        <v>0</v>
      </c>
      <c r="FK76" s="16" t="s">
        <v>1303</v>
      </c>
      <c r="FL76">
        <f>_xlfn.XLOOKUP(FK76,'KPI Impacts'!$B$2:$H$2,'KPI Impacts'!$B76:$H76)</f>
        <v>0</v>
      </c>
      <c r="FM76" s="16" t="s">
        <v>1303</v>
      </c>
      <c r="FN76">
        <f>_xlfn.XLOOKUP(FM76,'KPI Impacts'!$B$2:$H$2,'KPI Impacts'!$B76:$H76)</f>
        <v>0</v>
      </c>
      <c r="FQ76" s="12">
        <f>FQ$22*GB76</f>
        <v>0</v>
      </c>
      <c r="FR76" s="12">
        <f>FR$22 * IF(AND(FQ$5=1,FQ$20=1), GD76, GB76)</f>
        <v>0</v>
      </c>
      <c r="FS76" s="12">
        <f>FS$22 * IF(AND(FR$5=1,FQ$20=1), GD76, GB76)</f>
        <v>0</v>
      </c>
      <c r="FT76" s="12">
        <f>FT$22 * IF(AND(FS$5=1,FQ$20=1), GD76, GB76)</f>
        <v>0</v>
      </c>
      <c r="FU76" s="12">
        <f>FU$22 * IF(AND(FT$5=1,FQ$20=1), GD76, GB76)</f>
        <v>0</v>
      </c>
      <c r="FV76" s="12">
        <f>FV$22 * IF(AND(FU$5=1,FQ$20=1), GD76, GB76)</f>
        <v>0</v>
      </c>
      <c r="FW76" s="12">
        <f>FW$22 * IF(AND(FV$5=1,FQ$20=1), GD76, GB76)</f>
        <v>0</v>
      </c>
      <c r="FX76" s="12">
        <f>FX$22 * IF(AND(FW$5=1,FQ$20=1), GD76, GB76)</f>
        <v>0</v>
      </c>
      <c r="FY76" s="12">
        <f>FY$22 * IF(AND(FX$5=1,FQ$20=1), GD76, GB76)</f>
        <v>0</v>
      </c>
      <c r="GA76" s="16" t="s">
        <v>1303</v>
      </c>
      <c r="GB76">
        <f>_xlfn.XLOOKUP(GA76,'KPI Impacts'!$B$2:$H$2,'KPI Impacts'!$B76:$H76)</f>
        <v>0</v>
      </c>
      <c r="GC76" s="9" t="s">
        <v>1303</v>
      </c>
      <c r="GD76">
        <f>_xlfn.XLOOKUP(GC76,'KPI Impacts'!$B$2:$H$2,'KPI Impacts'!$B76:$H76)</f>
        <v>0</v>
      </c>
      <c r="GG76" s="12">
        <f>GG$22*GR76</f>
        <v>0</v>
      </c>
      <c r="GH76" s="12">
        <f>GH$22 * IF(AND(GG$5=1,GG$20=1), GT76, GR76)</f>
        <v>0</v>
      </c>
      <c r="GI76" s="12">
        <f>GI$22 * IF(AND(GH$5=1,GG$20=1), GT76, GR76)</f>
        <v>0</v>
      </c>
      <c r="GJ76" s="12">
        <f>GJ$22 * IF(AND(GI$5=1,GG$20=1), GT76, GR76)</f>
        <v>0</v>
      </c>
      <c r="GK76" s="12">
        <f>GK$22 * IF(AND(GJ$5=1,GG$20=1), GT76, GR76)</f>
        <v>0</v>
      </c>
      <c r="GL76" s="12">
        <f>GL$22 * IF(AND(GK$5=1,GG$20=1), GT76, GR76)</f>
        <v>0</v>
      </c>
      <c r="GM76" s="12">
        <f>GM$22 * IF(AND(GL$5=1,GG$20=1), GT76, GR76)</f>
        <v>0</v>
      </c>
      <c r="GN76" s="12">
        <f>GN$22 * IF(AND(GM$5=1,GG$20=1), GT76, GR76)</f>
        <v>0</v>
      </c>
      <c r="GO76" s="12">
        <f>GO$22 * IF(AND(GN$5=1,GG$20=1), GT76, GR76)</f>
        <v>0</v>
      </c>
      <c r="GQ76" s="16" t="s">
        <v>1303</v>
      </c>
      <c r="GR76">
        <f>_xlfn.XLOOKUP(GQ76,'KPI Impacts'!$B$2:$H$2,'KPI Impacts'!$B76:$H76)</f>
        <v>0</v>
      </c>
      <c r="GS76" s="9" t="s">
        <v>1303</v>
      </c>
      <c r="GT76">
        <f>_xlfn.XLOOKUP(GS76,'KPI Impacts'!$B$2:$H$2,'KPI Impacts'!$B76:$H76)</f>
        <v>0</v>
      </c>
      <c r="GW76" s="12">
        <f>GW$22*HH76</f>
        <v>0</v>
      </c>
      <c r="GX76" s="12">
        <f>GX$22 * IF(AND(GW$5=1,GW$20=1), HJ76, HH76)</f>
        <v>0</v>
      </c>
      <c r="GY76" s="12">
        <f>GY$22 * IF(AND(GX$5=1,GW$20=1), HJ76, HH76)</f>
        <v>0</v>
      </c>
      <c r="GZ76" s="12">
        <f>GZ$22 * IF(AND(GY$5=1,GW$20=1), HJ76, HH76)</f>
        <v>0</v>
      </c>
      <c r="HA76" s="12">
        <f>HA$22 * IF(AND(GZ$5=1,GW$20=1), HJ76, HH76)</f>
        <v>0</v>
      </c>
      <c r="HB76" s="12">
        <f>HB$22 * IF(AND(HA$5=1,GW$20=1), HJ76, HH76)</f>
        <v>0</v>
      </c>
      <c r="HC76" s="12">
        <f>HC$22 * IF(AND(HB$5=1,GW$20=1), HJ76, HH76)</f>
        <v>0</v>
      </c>
      <c r="HD76" s="12">
        <f>HD$22 * IF(AND(HC$5=1,GW$20=1), HJ76, HH76)</f>
        <v>0</v>
      </c>
      <c r="HE76" s="12">
        <f>HE$22 * IF(AND(HD$5=1,GW$20=1), HJ76, HH76)</f>
        <v>0</v>
      </c>
      <c r="HG76" s="16" t="s">
        <v>1303</v>
      </c>
      <c r="HH76">
        <f>_xlfn.XLOOKUP(HG76,'KPI Impacts'!$B$2:$H$2,'KPI Impacts'!$B76:$H76)</f>
        <v>0</v>
      </c>
      <c r="HI76" s="9" t="s">
        <v>1303</v>
      </c>
      <c r="HJ76">
        <f>_xlfn.XLOOKUP(HI76,'KPI Impacts'!$B$2:$H$2,'KPI Impacts'!$B76:$H76)</f>
        <v>0</v>
      </c>
      <c r="HM76" s="12">
        <f>HM$22*HX76</f>
        <v>0</v>
      </c>
      <c r="HN76" s="12">
        <f>HN$22 * IF(AND(HM$5=1,HM$20=1), HZ76, HX76)</f>
        <v>0</v>
      </c>
      <c r="HO76" s="12">
        <f>HO$22 * IF(AND(HN$5=1,HM$20=1), HZ76, HX76)</f>
        <v>0</v>
      </c>
      <c r="HP76" s="12">
        <f>HP$22 * IF(AND(HO$5=1,HM$20=1), HZ76, HX76)</f>
        <v>0</v>
      </c>
      <c r="HQ76" s="12">
        <f>HQ$22 * IF(AND(HP$5=1,HM$20=1), HZ76, HX76)</f>
        <v>0</v>
      </c>
      <c r="HR76" s="12">
        <f>HR$22 * IF(AND(HQ$5=1,HM$20=1), HZ76, HX76)</f>
        <v>0</v>
      </c>
      <c r="HS76" s="12">
        <f>HS$22 * IF(AND(HR$5=1,HM$20=1), HZ76, HX76)</f>
        <v>0</v>
      </c>
      <c r="HT76" s="12">
        <f>HT$22 * IF(AND(HS$5=1,HM$20=1), HZ76, HX76)</f>
        <v>0</v>
      </c>
      <c r="HU76" s="12">
        <f>HU$22 * IF(AND(HT$5=1,HM$20=1), HZ76, HX76)</f>
        <v>0</v>
      </c>
      <c r="HW76" s="16" t="s">
        <v>1303</v>
      </c>
      <c r="HX76">
        <f>_xlfn.XLOOKUP(HW76,'KPI Impacts'!$B$2:$H$2,'KPI Impacts'!$B76:$H76)</f>
        <v>0</v>
      </c>
      <c r="HY76" s="9" t="s">
        <v>1303</v>
      </c>
      <c r="HZ76">
        <f>_xlfn.XLOOKUP(HY76,'KPI Impacts'!$B$2:$H$2,'KPI Impacts'!$B76:$H76)</f>
        <v>0</v>
      </c>
      <c r="IC76" s="12">
        <f>IC$22*IN76</f>
        <v>0</v>
      </c>
      <c r="ID76" s="12">
        <f>ID$22 * IF(AND(IC$5=1,IC$20=1), IP76, IN76)</f>
        <v>0</v>
      </c>
      <c r="IE76" s="12">
        <f>IE$22 * IF(AND(ID$5=1,IC$20=1), IP76, IN76)</f>
        <v>0</v>
      </c>
      <c r="IF76" s="12">
        <f>IF$22 * IF(AND(IE$5=1,IC$20=1), IP76, IN76)</f>
        <v>0</v>
      </c>
      <c r="IG76" s="12">
        <f>IG$22 * IF(AND(IF$5=1,IC$20=1), IP76, IN76)</f>
        <v>0</v>
      </c>
      <c r="IH76" s="12">
        <f>IH$22 * IF(AND(IG$5=1,IC$20=1), IP76, IN76)</f>
        <v>0</v>
      </c>
      <c r="II76" s="12">
        <f>II$22 * IF(AND(IH$5=1,IC$20=1), IP76, IN76)</f>
        <v>0</v>
      </c>
      <c r="IJ76" s="12">
        <f>IJ$22 * IF(AND(II$5=1,IC$20=1), IP76, IN76)</f>
        <v>0</v>
      </c>
      <c r="IK76" s="12">
        <f>IK$22 * IF(AND(IJ$5=1,IC$20=1), IP76, IN76)</f>
        <v>0</v>
      </c>
      <c r="IM76" s="16" t="s">
        <v>1303</v>
      </c>
      <c r="IN76">
        <f>_xlfn.XLOOKUP(IM76,'KPI Impacts'!$B$2:$H$2,'KPI Impacts'!$B76:$H76)</f>
        <v>0</v>
      </c>
      <c r="IO76" s="9" t="s">
        <v>1303</v>
      </c>
      <c r="IP76">
        <f>_xlfn.XLOOKUP(IO76,'KPI Impacts'!$B$2:$H$2,'KPI Impacts'!$B76:$H76)</f>
        <v>0</v>
      </c>
      <c r="IS76" s="12">
        <f>IS$22*JD76</f>
        <v>0</v>
      </c>
      <c r="IT76" s="12">
        <f>IT$22 * IF(AND(IS$5=1,IS$20=1), JF76, JD76)</f>
        <v>0</v>
      </c>
      <c r="IU76" s="12">
        <f>IU$22 * IF(AND(IT$5=1,IS$20=1), JF76, JD76)</f>
        <v>0</v>
      </c>
      <c r="IV76" s="12">
        <f>IV$22 * IF(AND(IU$5=1,IS$20=1), JF76, JD76)</f>
        <v>0</v>
      </c>
      <c r="IW76" s="12">
        <f>IW$22 * IF(AND(IV$5=1,IS$20=1), JF76, JD76)</f>
        <v>0</v>
      </c>
      <c r="IX76" s="12">
        <f>IX$22 * IF(AND(IW$5=1,IS$20=1), JF76, JD76)</f>
        <v>0</v>
      </c>
      <c r="IY76" s="12">
        <f>IY$22 * IF(AND(IX$5=1,IS$20=1), JF76, JD76)</f>
        <v>0</v>
      </c>
      <c r="IZ76" s="12">
        <f>IZ$22 * IF(AND(IY$5=1,IS$20=1), JF76, JD76)</f>
        <v>0</v>
      </c>
      <c r="JA76" s="12">
        <f>JA$22 * IF(AND(IZ$5=1,IS$20=1), JF76, JD76)</f>
        <v>0</v>
      </c>
      <c r="JC76" t="s">
        <v>1303</v>
      </c>
      <c r="JD76">
        <f>_xlfn.XLOOKUP(JC76,'KPI Impacts'!$B$2:$H$2,'KPI Impacts'!$B76:$H76)</f>
        <v>0</v>
      </c>
      <c r="JE76" s="9" t="s">
        <v>1303</v>
      </c>
      <c r="JF76">
        <f>_xlfn.XLOOKUP(JE76,'KPI Impacts'!$B$2:$H$2,'KPI Impacts'!$B76:$H76)</f>
        <v>0</v>
      </c>
      <c r="JI76" s="12">
        <f>JI$22*JT76</f>
        <v>0</v>
      </c>
      <c r="JJ76" s="12">
        <f>JJ$22 * IF(AND(JI$5=1,JI$20=1), JV76, JT76)</f>
        <v>0</v>
      </c>
      <c r="JK76" s="12">
        <f>JK$22 * IF(AND(JJ$5=1,JI$20=1), JV76, JT76)</f>
        <v>0</v>
      </c>
      <c r="JL76" s="12">
        <f>JL$22 * IF(AND(JK$5=1,JI$20=1), JV76, JT76)</f>
        <v>0</v>
      </c>
      <c r="JM76" s="12">
        <f>JM$22 * IF(AND(JL$5=1,JI$20=1), JV76, JT76)</f>
        <v>0</v>
      </c>
      <c r="JN76" s="12">
        <f>JN$22 * IF(AND(JM$5=1,JI$20=1), JV76, JT76)</f>
        <v>0</v>
      </c>
      <c r="JO76" s="12">
        <f>JO$22 * IF(AND(JN$5=1,JI$20=1), JV76, JT76)</f>
        <v>0</v>
      </c>
      <c r="JP76" s="12">
        <f>JP$22 * IF(AND(JO$5=1,JI$20=1), JV76, JT76)</f>
        <v>0</v>
      </c>
      <c r="JQ76" s="12">
        <f>JQ$22 * IF(AND(JP$5=1,JI$20=1), JV76, JT76)</f>
        <v>0</v>
      </c>
      <c r="JS76" t="s">
        <v>1303</v>
      </c>
      <c r="JT76">
        <f>_xlfn.XLOOKUP(JS76,'KPI Impacts'!$B$2:$H$2,'KPI Impacts'!$B76:$H76)</f>
        <v>0</v>
      </c>
      <c r="JU76" s="9" t="s">
        <v>1303</v>
      </c>
      <c r="JV76">
        <f>_xlfn.XLOOKUP(JU76,'KPI Impacts'!$B$2:$H$2,'KPI Impacts'!$B76:$H76)</f>
        <v>0</v>
      </c>
      <c r="JY76" s="12">
        <f>JY$22*KJ76</f>
        <v>0</v>
      </c>
      <c r="JZ76" s="12">
        <f>JZ$22 * IF(AND(JY$5=1,JY$20=1), KL76, KJ76)</f>
        <v>0</v>
      </c>
      <c r="KA76" s="12">
        <f>KA$22 * IF(AND(JZ$5=1,JY$20=1), KL76, KJ76)</f>
        <v>0</v>
      </c>
      <c r="KB76" s="12">
        <f>KB$22 * IF(AND(KA$5=1,JY$20=1), KL76, KJ76)</f>
        <v>0</v>
      </c>
      <c r="KC76" s="12">
        <f>KC$22 * IF(AND(KB$5=1,JY$20=1), KL76, KJ76)</f>
        <v>0</v>
      </c>
      <c r="KD76" s="12">
        <f>KD$22 * IF(AND(KC$5=1,JY$20=1), KL76, KJ76)</f>
        <v>0</v>
      </c>
      <c r="KE76" s="12">
        <f>KE$22 * IF(AND(KD$5=1,JY$20=1), KL76, KJ76)</f>
        <v>0</v>
      </c>
      <c r="KF76" s="12">
        <f>KF$22 * IF(AND(KE$5=1,JY$20=1), KL76, KJ76)</f>
        <v>0</v>
      </c>
      <c r="KG76" s="12">
        <f>KG$22 * IF(AND(KF$5=1,JY$20=1), KL76, KJ76)</f>
        <v>0</v>
      </c>
      <c r="KI76" t="s">
        <v>1303</v>
      </c>
      <c r="KJ76">
        <f>_xlfn.XLOOKUP(KI76,'KPI Impacts'!$B$2:$H$2,'KPI Impacts'!$B76:$H76)</f>
        <v>0</v>
      </c>
      <c r="KK76" s="9" t="s">
        <v>1303</v>
      </c>
      <c r="KL76">
        <f>_xlfn.XLOOKUP(KK76,'KPI Impacts'!$B$2:$H$2,'KPI Impacts'!$B76:$H76)</f>
        <v>0</v>
      </c>
      <c r="KO76" s="12">
        <f>KO$22*KZ76</f>
        <v>0</v>
      </c>
      <c r="KP76" s="12">
        <f>KP$22 * IF(AND(KO$5=1,KO$20=1), LB76, KZ76)</f>
        <v>0</v>
      </c>
      <c r="KQ76" s="12">
        <f>KQ$22 * IF(AND(KP$5=1,KO$20=1), LB76, KZ76)</f>
        <v>0</v>
      </c>
      <c r="KR76" s="12">
        <f>KR$22 * IF(AND(KQ$5=1,KO$20=1), LB76, KZ76)</f>
        <v>0</v>
      </c>
      <c r="KS76" s="12">
        <f>KS$22 * IF(AND(KR$5=1,KO$20=1), LB76, KZ76)</f>
        <v>0</v>
      </c>
      <c r="KT76" s="12">
        <f>KT$22 * IF(AND(KS$5=1,KO$20=1), LB76, KZ76)</f>
        <v>0</v>
      </c>
      <c r="KU76" s="12">
        <f>KU$22 * IF(AND(KT$5=1,KO$20=1), LB76, KZ76)</f>
        <v>0</v>
      </c>
      <c r="KV76" s="12">
        <f>KV$22 * IF(AND(KU$5=1,KO$20=1), LB76, KZ76)</f>
        <v>0</v>
      </c>
      <c r="KW76" s="12">
        <f>KW$22 * IF(AND(KV$5=1,KO$20=1), LB76, KZ76)</f>
        <v>0</v>
      </c>
      <c r="KY76" t="s">
        <v>1303</v>
      </c>
      <c r="KZ76">
        <f>_xlfn.XLOOKUP(KY76,'KPI Impacts'!$B$2:$H$2,'KPI Impacts'!$B76:$H76)</f>
        <v>0</v>
      </c>
      <c r="LA76" s="9" t="s">
        <v>1303</v>
      </c>
      <c r="LB76">
        <f>_xlfn.XLOOKUP(LA76,'KPI Impacts'!$B$2:$H$2,'KPI Impacts'!$B76:$H76)</f>
        <v>0</v>
      </c>
      <c r="LE76" s="12">
        <f>LE$22*LP76</f>
        <v>0</v>
      </c>
      <c r="LF76" s="12">
        <f>LF$22 * IF(AND(LE$5=1,LE$20=1), LR76, LP76)</f>
        <v>0</v>
      </c>
      <c r="LG76" s="12">
        <f>LG$22 * IF(AND(LF$5=1,LE$20=1), LR76, LP76)</f>
        <v>0</v>
      </c>
      <c r="LH76" s="12">
        <f>LH$22 * IF(AND(LG$5=1,LE$20=1), LR76, LP76)</f>
        <v>0</v>
      </c>
      <c r="LI76" s="12">
        <f>LI$22 * IF(AND(LH$5=1,LE$20=1), LR76, LP76)</f>
        <v>0</v>
      </c>
      <c r="LJ76" s="12">
        <f>LJ$22 * IF(AND(LI$5=1,LE$20=1), LR76, LP76)</f>
        <v>0</v>
      </c>
      <c r="LK76" s="12">
        <f>LK$22 * IF(AND(LJ$5=1,LE$20=1), LR76, LP76)</f>
        <v>0</v>
      </c>
      <c r="LL76" s="12">
        <f>LL$22 * IF(AND(LK$5=1,LE$20=1), LR76, LP76)</f>
        <v>0</v>
      </c>
      <c r="LM76" s="12">
        <f>LM$22 * IF(AND(LL$5=1,LE$20=1), LR76, LP76)</f>
        <v>0</v>
      </c>
      <c r="LO76" t="s">
        <v>1303</v>
      </c>
      <c r="LP76">
        <f>_xlfn.XLOOKUP(LO76,'KPI Impacts'!$B$2:$H$2,'KPI Impacts'!$B76:$H76)</f>
        <v>0</v>
      </c>
      <c r="LQ76" s="9" t="s">
        <v>1303</v>
      </c>
      <c r="LR76">
        <f>_xlfn.XLOOKUP(LQ76,'KPI Impacts'!$B$2:$H$2,'KPI Impacts'!$B76:$H76)</f>
        <v>0</v>
      </c>
      <c r="LU76" s="12">
        <f>LU$22*MF76</f>
        <v>0</v>
      </c>
      <c r="LV76" s="12">
        <f>LV$22 * IF(AND(LU$5=1,LU$20=1), MH76, MF76)</f>
        <v>0</v>
      </c>
      <c r="LW76" s="12">
        <f>LW$22 * IF(AND(LV$5=1,LU$20=1), MH76, MF76)</f>
        <v>0</v>
      </c>
      <c r="LX76" s="12">
        <f>LX$22 * IF(AND(LW$5=1,LU$20=1), MH76, MF76)</f>
        <v>0</v>
      </c>
      <c r="LY76" s="12">
        <f>LY$22 * IF(AND(LX$5=1,LU$20=1), MH76, MF76)</f>
        <v>0</v>
      </c>
      <c r="LZ76" s="12">
        <f>LZ$22 * IF(AND(LY$5=1,LU$20=1), MH76, MF76)</f>
        <v>0</v>
      </c>
      <c r="MA76" s="12">
        <f>MA$22 * IF(AND(LZ$5=1,LU$20=1), MH76, MF76)</f>
        <v>0</v>
      </c>
      <c r="MB76" s="12">
        <f>MB$22 * IF(AND(MA$5=1,LU$20=1), MH76, MF76)</f>
        <v>0</v>
      </c>
      <c r="MC76" s="12">
        <f>MC$22 * IF(AND(MB$5=1,LU$20=1), MH76, MF76)</f>
        <v>0</v>
      </c>
      <c r="ME76" t="s">
        <v>1303</v>
      </c>
      <c r="MF76">
        <f>_xlfn.XLOOKUP(ME76,'KPI Impacts'!$B$2:$H$2,'KPI Impacts'!$B76:$H76)</f>
        <v>0</v>
      </c>
      <c r="MG76" s="9" t="s">
        <v>1303</v>
      </c>
      <c r="MH76">
        <f>_xlfn.XLOOKUP(MG76,'KPI Impacts'!$B$2:$H$2,'KPI Impacts'!$B76:$H76)</f>
        <v>0</v>
      </c>
      <c r="MK76" s="12">
        <f>MK$22*MV76</f>
        <v>0</v>
      </c>
      <c r="ML76" s="12">
        <f>ML$22 * IF(AND(MK$5=1,MK$20=1), MX76, MV76)</f>
        <v>0</v>
      </c>
      <c r="MM76" s="12">
        <f>MM$22 * IF(AND(ML$5=1,MK$20=1), MX76, MV76)</f>
        <v>0</v>
      </c>
      <c r="MN76" s="12">
        <f>MN$22 * IF(AND(MM$5=1,MK$20=1), MX76, MV76)</f>
        <v>0</v>
      </c>
      <c r="MO76" s="12">
        <f>MO$22 * IF(AND(MN$5=1,MK$20=1), MX76, MV76)</f>
        <v>0</v>
      </c>
      <c r="MP76" s="12">
        <f>MP$22 * IF(AND(MO$5=1,MK$20=1), MX76, MV76)</f>
        <v>0</v>
      </c>
      <c r="MQ76" s="12">
        <f>MQ$22 * IF(AND(MP$5=1,MK$20=1), MX76, MV76)</f>
        <v>0</v>
      </c>
      <c r="MR76" s="12">
        <f>MR$22 * IF(AND(MQ$5=1,MK$20=1), MX76, MV76)</f>
        <v>0</v>
      </c>
      <c r="MS76" s="12">
        <f>MS$22 * IF(AND(MR$5=1,MK$20=1), MX76, MV76)</f>
        <v>0</v>
      </c>
      <c r="MU76" t="s">
        <v>1303</v>
      </c>
      <c r="MV76">
        <f>_xlfn.XLOOKUP(MU76,'KPI Impacts'!$B$2:$H$2,'KPI Impacts'!$B76:$H76)</f>
        <v>0</v>
      </c>
      <c r="MW76" s="9" t="s">
        <v>1303</v>
      </c>
      <c r="MX76">
        <f>_xlfn.XLOOKUP(MW76,'KPI Impacts'!$B$2:$H$2,'KPI Impacts'!$B76:$H76)</f>
        <v>0</v>
      </c>
      <c r="NA76" s="12">
        <f>NA$22*NL76</f>
        <v>0</v>
      </c>
      <c r="NB76" s="12">
        <f>NB$22 * IF(AND(NA$5=1,NA$20=1), NN76, NL76)</f>
        <v>0</v>
      </c>
      <c r="NC76" s="12">
        <f>NC$22 * IF(AND(NB$5=1,NA$20=1), NN76, NL76)</f>
        <v>0</v>
      </c>
      <c r="ND76" s="12">
        <f>ND$22 * IF(AND(NC$5=1,NA$20=1), NN76, NL76)</f>
        <v>0</v>
      </c>
      <c r="NE76" s="12">
        <f>NE$22 * IF(AND(ND$5=1,NA$20=1), NN76, NL76)</f>
        <v>0</v>
      </c>
      <c r="NF76" s="12">
        <f>NF$22 * IF(AND(NE$5=1,NA$20=1), NN76, NL76)</f>
        <v>0</v>
      </c>
      <c r="NG76" s="12">
        <f>NG$22 * IF(AND(NF$5=1,NA$20=1), NN76, NL76)</f>
        <v>0</v>
      </c>
      <c r="NH76" s="12">
        <f>NH$22 * IF(AND(NG$5=1,NA$20=1), NN76, NL76)</f>
        <v>0</v>
      </c>
      <c r="NI76" s="12">
        <f>NI$22 * IF(AND(NH$5=1,NA$20=1), NN76, NL76)</f>
        <v>0</v>
      </c>
      <c r="NK76" t="s">
        <v>1303</v>
      </c>
      <c r="NL76">
        <f>_xlfn.XLOOKUP(NK76,'KPI Impacts'!$B$2:$H$2,'KPI Impacts'!$B76:$H76)</f>
        <v>0</v>
      </c>
      <c r="NM76" s="9" t="s">
        <v>1303</v>
      </c>
      <c r="NN76">
        <f>_xlfn.XLOOKUP(NM76,'KPI Impacts'!$B$2:$H$2,'KPI Impacts'!$B76:$H76)</f>
        <v>0</v>
      </c>
      <c r="NQ76" s="12">
        <f>NQ$22*OB76</f>
        <v>0</v>
      </c>
      <c r="NR76" s="12">
        <f>NR$22 * IF(AND(NQ$5=1,NQ$20=1), OD76, OB76)</f>
        <v>0</v>
      </c>
      <c r="NS76" s="12">
        <f>NS$22 * IF(AND(NR$5=1,NQ$20=1), OD76, OB76)</f>
        <v>0</v>
      </c>
      <c r="NT76" s="12">
        <f>NT$22 * IF(AND(NS$5=1,NQ$20=1), OD76, OB76)</f>
        <v>0</v>
      </c>
      <c r="NU76" s="12">
        <f>NU$22 * IF(AND(NT$5=1,NQ$20=1), OD76, OB76)</f>
        <v>0</v>
      </c>
      <c r="NV76" s="12">
        <f>NV$22 * IF(AND(NU$5=1,NQ$20=1), OD76, OB76)</f>
        <v>0</v>
      </c>
      <c r="NW76" s="12">
        <f>NW$22 * IF(AND(NV$5=1,NQ$20=1), OD76, OB76)</f>
        <v>0</v>
      </c>
      <c r="NX76" s="12">
        <f>NX$22 * IF(AND(NW$5=1,NQ$20=1), OD76, OB76)</f>
        <v>0</v>
      </c>
      <c r="NY76" s="12">
        <f>NY$22 * IF(AND(NX$5=1,NQ$20=1), OD76, OB76)</f>
        <v>0</v>
      </c>
      <c r="OA76" t="s">
        <v>1303</v>
      </c>
      <c r="OB76">
        <f>_xlfn.XLOOKUP(OA76,'KPI Impacts'!$B$2:$H$2,'KPI Impacts'!$B76:$H76)</f>
        <v>0</v>
      </c>
      <c r="OC76" s="9" t="s">
        <v>1303</v>
      </c>
      <c r="OD76">
        <f>_xlfn.XLOOKUP(OC76,'KPI Impacts'!$B$2:$H$2,'KPI Impacts'!$B76:$H76)</f>
        <v>0</v>
      </c>
      <c r="OG76" s="12">
        <f>OG$22*OR76</f>
        <v>0</v>
      </c>
      <c r="OH76" s="12">
        <f>OH$22 * IF(AND(OG$5=1,OG$20=1), OT76, OR76)</f>
        <v>0</v>
      </c>
      <c r="OI76" s="12">
        <f>OI$22 * IF(AND(OH$5=1,OG$20=1), OT76, OR76)</f>
        <v>0</v>
      </c>
      <c r="OJ76" s="12">
        <f>OJ$22 * IF(AND(OI$5=1,OG$20=1), OT76, OR76)</f>
        <v>0</v>
      </c>
      <c r="OK76" s="12">
        <f>OK$22 * IF(AND(OJ$5=1,OG$20=1), OT76, OR76)</f>
        <v>0</v>
      </c>
      <c r="OL76" s="12">
        <f>OL$22 * IF(AND(OK$5=1,OG$20=1), OT76, OR76)</f>
        <v>0</v>
      </c>
      <c r="OM76" s="12">
        <f>OM$22 * IF(AND(OL$5=1,OG$20=1), OT76, OR76)</f>
        <v>0</v>
      </c>
      <c r="ON76" s="12">
        <f>ON$22 * IF(AND(OM$5=1,OG$20=1), OT76, OR76)</f>
        <v>0</v>
      </c>
      <c r="OO76" s="12">
        <f>OO$22 * IF(AND(ON$5=1,OG$20=1), OT76, OR76)</f>
        <v>0</v>
      </c>
      <c r="OQ76" t="s">
        <v>1303</v>
      </c>
      <c r="OR76">
        <f>_xlfn.XLOOKUP(OQ76,'KPI Impacts'!$B$2:$H$2,'KPI Impacts'!$B76:$H76)</f>
        <v>0</v>
      </c>
      <c r="OS76" s="9" t="s">
        <v>1303</v>
      </c>
      <c r="OT76">
        <f>_xlfn.XLOOKUP(OS76,'KPI Impacts'!$B$2:$H$2,'KPI Impacts'!$B76:$H76)</f>
        <v>0</v>
      </c>
    </row>
    <row r="77" spans="1:410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Y77" s="12"/>
      <c r="Z77" s="12"/>
      <c r="AA77" s="12"/>
      <c r="AB77" s="12"/>
      <c r="AC77" s="12"/>
      <c r="AD77" s="12"/>
      <c r="AE77" s="12"/>
      <c r="AF77" s="12"/>
      <c r="AG77" s="12"/>
      <c r="AQ77" s="12"/>
      <c r="AR77" s="12"/>
      <c r="AS77" s="12"/>
      <c r="AT77" s="12"/>
      <c r="AU77" s="12"/>
      <c r="AV77" s="12"/>
      <c r="AW77" s="12"/>
      <c r="AX77" s="12"/>
      <c r="AY77" s="12"/>
      <c r="BI77" s="12"/>
      <c r="BJ77" s="12"/>
      <c r="BK77" s="12"/>
      <c r="BL77" s="12"/>
      <c r="BM77" s="12"/>
      <c r="BN77" s="12"/>
      <c r="BO77" s="12"/>
      <c r="BP77" s="12"/>
      <c r="BQ77" s="12"/>
      <c r="BS77" s="16"/>
      <c r="BU77" s="35"/>
      <c r="BY77" s="12"/>
      <c r="BZ77" s="12"/>
      <c r="CA77" s="12"/>
      <c r="CB77" s="12"/>
      <c r="CC77" s="12"/>
      <c r="CD77" s="12"/>
      <c r="CE77" s="12"/>
      <c r="CF77" s="12"/>
      <c r="CG77" s="12"/>
      <c r="CI77" s="16"/>
      <c r="CK77" s="35"/>
      <c r="CO77" s="12"/>
      <c r="CP77" s="12"/>
      <c r="CQ77" s="12"/>
      <c r="CR77" s="12"/>
      <c r="CS77" s="12"/>
      <c r="CT77" s="12"/>
      <c r="CU77" s="12"/>
      <c r="CV77" s="12"/>
      <c r="CW77" s="12"/>
      <c r="CY77" s="16"/>
      <c r="DA77" s="35"/>
      <c r="DE77" s="12"/>
      <c r="DF77" s="12"/>
      <c r="DG77" s="12"/>
      <c r="DH77" s="12"/>
      <c r="DI77" s="12"/>
      <c r="DJ77" s="12"/>
      <c r="DK77" s="12"/>
      <c r="DL77" s="12"/>
      <c r="DM77" s="12"/>
      <c r="DO77" s="16"/>
      <c r="DQ77" s="35"/>
      <c r="DU77" s="12"/>
      <c r="DV77" s="12"/>
      <c r="DW77" s="12"/>
      <c r="DX77" s="12"/>
      <c r="DY77" s="12"/>
      <c r="DZ77" s="12"/>
      <c r="EA77" s="12"/>
      <c r="EB77" s="12"/>
      <c r="EC77" s="12"/>
      <c r="EE77" s="16"/>
      <c r="EG77" s="35"/>
      <c r="EK77" s="12"/>
      <c r="EL77" s="12"/>
      <c r="EM77" s="12"/>
      <c r="EN77" s="12"/>
      <c r="EO77" s="12"/>
      <c r="EP77" s="12"/>
      <c r="EQ77" s="12"/>
      <c r="ER77" s="12"/>
      <c r="ES77" s="12"/>
      <c r="EU77" s="16"/>
      <c r="EW77" s="35"/>
      <c r="FA77" s="12"/>
      <c r="FB77" s="12"/>
      <c r="FC77" s="12"/>
      <c r="FD77" s="12"/>
      <c r="FE77" s="12"/>
      <c r="FF77" s="12"/>
      <c r="FG77" s="12"/>
      <c r="FH77" s="12"/>
      <c r="FI77" s="12"/>
      <c r="FK77" s="16"/>
      <c r="FM77" s="16"/>
      <c r="FQ77" s="12"/>
      <c r="FR77" s="12"/>
      <c r="FS77" s="12"/>
      <c r="FT77" s="12"/>
      <c r="FU77" s="12"/>
      <c r="FV77" s="12"/>
      <c r="FW77" s="12"/>
      <c r="FX77" s="12"/>
      <c r="FY77" s="12"/>
      <c r="GA77" s="16"/>
      <c r="GC77" s="9"/>
      <c r="GG77" s="12"/>
      <c r="GH77" s="12"/>
      <c r="GI77" s="12"/>
      <c r="GJ77" s="12"/>
      <c r="GK77" s="12"/>
      <c r="GL77" s="12"/>
      <c r="GM77" s="12"/>
      <c r="GN77" s="12"/>
      <c r="GO77" s="12"/>
      <c r="GQ77" s="16"/>
      <c r="GS77" s="9"/>
      <c r="GW77" s="12"/>
      <c r="GX77" s="12"/>
      <c r="GY77" s="12"/>
      <c r="GZ77" s="12"/>
      <c r="HA77" s="12"/>
      <c r="HB77" s="12"/>
      <c r="HC77" s="12"/>
      <c r="HD77" s="12"/>
      <c r="HE77" s="12"/>
      <c r="HG77" s="16"/>
      <c r="HI77" s="9"/>
      <c r="HM77" s="12"/>
      <c r="HN77" s="12"/>
      <c r="HO77" s="12"/>
      <c r="HP77" s="12"/>
      <c r="HQ77" s="12"/>
      <c r="HR77" s="12"/>
      <c r="HS77" s="12"/>
      <c r="HT77" s="12"/>
      <c r="HU77" s="12"/>
      <c r="HW77" s="16"/>
      <c r="HY77" s="9"/>
      <c r="IC77" s="12"/>
      <c r="ID77" s="12"/>
      <c r="IE77" s="12"/>
      <c r="IF77" s="12"/>
      <c r="IG77" s="12"/>
      <c r="IH77" s="12"/>
      <c r="II77" s="12"/>
      <c r="IJ77" s="12"/>
      <c r="IK77" s="12"/>
      <c r="IM77" s="16"/>
      <c r="IO77" s="9"/>
      <c r="IS77" s="12"/>
      <c r="IT77" s="12"/>
      <c r="IU77" s="12"/>
      <c r="IV77" s="12"/>
      <c r="IW77" s="12"/>
      <c r="IX77" s="12"/>
      <c r="IY77" s="12"/>
      <c r="IZ77" s="12"/>
      <c r="JA77" s="12"/>
      <c r="JE77" s="9"/>
      <c r="JI77" s="12"/>
      <c r="JJ77" s="12"/>
      <c r="JK77" s="12"/>
      <c r="JL77" s="12"/>
      <c r="JM77" s="12"/>
      <c r="JN77" s="12"/>
      <c r="JO77" s="12"/>
      <c r="JP77" s="12"/>
      <c r="JQ77" s="12"/>
      <c r="JU77" s="9"/>
      <c r="JY77" s="12"/>
      <c r="JZ77" s="12"/>
      <c r="KA77" s="12"/>
      <c r="KB77" s="12"/>
      <c r="KC77" s="12"/>
      <c r="KD77" s="12"/>
      <c r="KE77" s="12"/>
      <c r="KF77" s="12"/>
      <c r="KG77" s="12"/>
      <c r="KK77" s="9"/>
      <c r="KO77" s="12"/>
      <c r="KP77" s="12"/>
      <c r="KQ77" s="12"/>
      <c r="KR77" s="12"/>
      <c r="KS77" s="12"/>
      <c r="KT77" s="12"/>
      <c r="KU77" s="12"/>
      <c r="KV77" s="12"/>
      <c r="KW77" s="12"/>
      <c r="LA77" s="9"/>
      <c r="LE77" s="12"/>
      <c r="LF77" s="12"/>
      <c r="LG77" s="12"/>
      <c r="LH77" s="12"/>
      <c r="LI77" s="12"/>
      <c r="LJ77" s="12"/>
      <c r="LK77" s="12"/>
      <c r="LL77" s="12"/>
      <c r="LM77" s="12"/>
      <c r="LQ77" s="9"/>
      <c r="LU77" s="12"/>
      <c r="LV77" s="12"/>
      <c r="LW77" s="12"/>
      <c r="LX77" s="12"/>
      <c r="LY77" s="12"/>
      <c r="LZ77" s="12"/>
      <c r="MA77" s="12"/>
      <c r="MB77" s="12"/>
      <c r="MC77" s="12"/>
      <c r="MG77" s="9"/>
      <c r="MK77" s="12"/>
      <c r="ML77" s="12"/>
      <c r="MM77" s="12"/>
      <c r="MN77" s="12"/>
      <c r="MO77" s="12"/>
      <c r="MP77" s="12"/>
      <c r="MQ77" s="12"/>
      <c r="MR77" s="12"/>
      <c r="MS77" s="12"/>
      <c r="MW77" s="9"/>
      <c r="NA77" s="12"/>
      <c r="NB77" s="12"/>
      <c r="NC77" s="12"/>
      <c r="ND77" s="12"/>
      <c r="NE77" s="12"/>
      <c r="NF77" s="12"/>
      <c r="NG77" s="12"/>
      <c r="NH77" s="12"/>
      <c r="NI77" s="12"/>
      <c r="NM77" s="9"/>
      <c r="NQ77" s="12"/>
      <c r="NR77" s="12"/>
      <c r="NS77" s="12"/>
      <c r="NT77" s="12"/>
      <c r="NU77" s="12"/>
      <c r="NV77" s="12"/>
      <c r="NW77" s="12"/>
      <c r="NX77" s="12"/>
      <c r="NY77" s="12"/>
      <c r="OC77" s="9"/>
      <c r="OG77" s="12"/>
      <c r="OH77" s="12"/>
      <c r="OI77" s="12"/>
      <c r="OJ77" s="12"/>
      <c r="OK77" s="12"/>
      <c r="OL77" s="12"/>
      <c r="OM77" s="12"/>
      <c r="ON77" s="12"/>
      <c r="OO77" s="12"/>
      <c r="OS77" s="9"/>
    </row>
    <row r="78" spans="1:410" hidden="1" x14ac:dyDescent="0.2">
      <c r="B78" s="12"/>
      <c r="C78" s="6"/>
      <c r="D78" s="6"/>
      <c r="E78" s="6"/>
      <c r="F78" s="6"/>
      <c r="G78" s="6"/>
      <c r="H78" s="6"/>
      <c r="I78" s="6"/>
      <c r="J78" s="6"/>
      <c r="Y78" s="12"/>
      <c r="Z78" s="12"/>
      <c r="AA78" s="12"/>
      <c r="AB78" s="12"/>
      <c r="AC78" s="12"/>
      <c r="AD78" s="12"/>
      <c r="AE78" s="12"/>
      <c r="AF78" s="12"/>
      <c r="AG78" s="12"/>
      <c r="AQ78" s="12"/>
      <c r="AR78" s="12"/>
      <c r="AS78" s="12"/>
      <c r="AT78" s="12"/>
      <c r="AU78" s="12"/>
      <c r="AV78" s="12"/>
      <c r="AW78" s="12"/>
      <c r="AX78" s="12"/>
      <c r="AY78" s="12"/>
      <c r="BI78" s="12"/>
      <c r="BJ78" s="12"/>
      <c r="BK78" s="12"/>
      <c r="BL78" s="12"/>
      <c r="BM78" s="12"/>
      <c r="BN78" s="12"/>
      <c r="BO78" s="12"/>
      <c r="BP78" s="12"/>
      <c r="BQ78" s="12"/>
      <c r="BS78" s="16"/>
      <c r="BU78" s="35"/>
      <c r="BY78" s="12"/>
      <c r="BZ78" s="12"/>
      <c r="CA78" s="12"/>
      <c r="CB78" s="12"/>
      <c r="CC78" s="12"/>
      <c r="CD78" s="12"/>
      <c r="CE78" s="12"/>
      <c r="CF78" s="12"/>
      <c r="CG78" s="12"/>
      <c r="CI78" s="16"/>
      <c r="CK78" s="35"/>
      <c r="CO78" s="12"/>
      <c r="CP78" s="12"/>
      <c r="CQ78" s="12"/>
      <c r="CR78" s="12"/>
      <c r="CS78" s="12"/>
      <c r="CT78" s="12"/>
      <c r="CU78" s="12"/>
      <c r="CV78" s="12"/>
      <c r="CW78" s="12"/>
      <c r="CY78" s="16"/>
      <c r="DA78" s="35"/>
      <c r="DE78" s="12"/>
      <c r="DF78" s="12"/>
      <c r="DG78" s="12"/>
      <c r="DH78" s="12"/>
      <c r="DI78" s="12"/>
      <c r="DJ78" s="12"/>
      <c r="DK78" s="12"/>
      <c r="DL78" s="12"/>
      <c r="DM78" s="12"/>
      <c r="DO78" s="16"/>
      <c r="DQ78" s="35"/>
      <c r="DU78" s="12"/>
      <c r="DV78" s="12"/>
      <c r="DW78" s="12"/>
      <c r="DX78" s="12"/>
      <c r="DY78" s="12"/>
      <c r="DZ78" s="12"/>
      <c r="EA78" s="12"/>
      <c r="EB78" s="12"/>
      <c r="EC78" s="12"/>
      <c r="EE78" s="16"/>
      <c r="EG78" s="35"/>
      <c r="EK78" s="12"/>
      <c r="EL78" s="12"/>
      <c r="EM78" s="12"/>
      <c r="EN78" s="12"/>
      <c r="EO78" s="12"/>
      <c r="EP78" s="12"/>
      <c r="EQ78" s="12"/>
      <c r="ER78" s="12"/>
      <c r="ES78" s="12"/>
      <c r="EU78" s="16"/>
      <c r="EW78" s="35"/>
      <c r="FA78" s="12"/>
      <c r="FB78" s="12"/>
      <c r="FC78" s="12"/>
      <c r="FD78" s="12"/>
      <c r="FE78" s="12"/>
      <c r="FF78" s="12"/>
      <c r="FG78" s="12"/>
      <c r="FH78" s="12"/>
      <c r="FI78" s="12"/>
      <c r="FK78" s="16"/>
      <c r="FM78" s="16"/>
      <c r="FQ78" s="12"/>
      <c r="FR78" s="12"/>
      <c r="FS78" s="12"/>
      <c r="FT78" s="12"/>
      <c r="FU78" s="12"/>
      <c r="FV78" s="12"/>
      <c r="FW78" s="12"/>
      <c r="FX78" s="12"/>
      <c r="FY78" s="12"/>
      <c r="GA78" s="16"/>
      <c r="GC78" s="9"/>
      <c r="GG78" s="12"/>
      <c r="GH78" s="12"/>
      <c r="GI78" s="12"/>
      <c r="GJ78" s="12"/>
      <c r="GK78" s="12"/>
      <c r="GL78" s="12"/>
      <c r="GM78" s="12"/>
      <c r="GN78" s="12"/>
      <c r="GO78" s="12"/>
      <c r="GQ78" s="16"/>
      <c r="GS78" s="9"/>
      <c r="GW78" s="12"/>
      <c r="GX78" s="12"/>
      <c r="GY78" s="12"/>
      <c r="GZ78" s="12"/>
      <c r="HA78" s="12"/>
      <c r="HB78" s="12"/>
      <c r="HC78" s="12"/>
      <c r="HD78" s="12"/>
      <c r="HE78" s="12"/>
      <c r="HG78" s="16"/>
      <c r="HI78" s="9"/>
      <c r="HM78" s="12"/>
      <c r="HN78" s="12"/>
      <c r="HO78" s="12"/>
      <c r="HP78" s="12"/>
      <c r="HQ78" s="12"/>
      <c r="HR78" s="12"/>
      <c r="HS78" s="12"/>
      <c r="HT78" s="12"/>
      <c r="HU78" s="12"/>
      <c r="HW78" s="16"/>
      <c r="HY78" s="9"/>
      <c r="IC78" s="12"/>
      <c r="ID78" s="12"/>
      <c r="IE78" s="12"/>
      <c r="IF78" s="12"/>
      <c r="IG78" s="12"/>
      <c r="IH78" s="12"/>
      <c r="II78" s="12"/>
      <c r="IJ78" s="12"/>
      <c r="IK78" s="12"/>
      <c r="IM78" s="16"/>
      <c r="IO78" s="9"/>
      <c r="IS78" s="12"/>
      <c r="IT78" s="12"/>
      <c r="IU78" s="12"/>
      <c r="IV78" s="12"/>
      <c r="IW78" s="12"/>
      <c r="IX78" s="12"/>
      <c r="IY78" s="12"/>
      <c r="IZ78" s="12"/>
      <c r="JA78" s="12"/>
      <c r="JE78" s="9"/>
      <c r="JI78" s="12"/>
      <c r="JJ78" s="12"/>
      <c r="JK78" s="12"/>
      <c r="JL78" s="12"/>
      <c r="JM78" s="12"/>
      <c r="JN78" s="12"/>
      <c r="JO78" s="12"/>
      <c r="JP78" s="12"/>
      <c r="JQ78" s="12"/>
      <c r="JU78" s="9"/>
      <c r="JY78" s="12"/>
      <c r="JZ78" s="12"/>
      <c r="KA78" s="12"/>
      <c r="KB78" s="12"/>
      <c r="KC78" s="12"/>
      <c r="KD78" s="12"/>
      <c r="KE78" s="12"/>
      <c r="KF78" s="12"/>
      <c r="KG78" s="12"/>
      <c r="KK78" s="9"/>
      <c r="KO78" s="12"/>
      <c r="KP78" s="12"/>
      <c r="KQ78" s="12"/>
      <c r="KR78" s="12"/>
      <c r="KS78" s="12"/>
      <c r="KT78" s="12"/>
      <c r="KU78" s="12"/>
      <c r="KV78" s="12"/>
      <c r="KW78" s="12"/>
      <c r="LA78" s="9"/>
      <c r="LE78" s="12"/>
      <c r="LF78" s="12"/>
      <c r="LG78" s="12"/>
      <c r="LH78" s="12"/>
      <c r="LI78" s="12"/>
      <c r="LJ78" s="12"/>
      <c r="LK78" s="12"/>
      <c r="LL78" s="12"/>
      <c r="LM78" s="12"/>
      <c r="LQ78" s="9"/>
      <c r="LU78" s="12"/>
      <c r="LV78" s="12"/>
      <c r="LW78" s="12"/>
      <c r="LX78" s="12"/>
      <c r="LY78" s="12"/>
      <c r="LZ78" s="12"/>
      <c r="MA78" s="12"/>
      <c r="MB78" s="12"/>
      <c r="MC78" s="12"/>
      <c r="MG78" s="9"/>
      <c r="MK78" s="12"/>
      <c r="ML78" s="12"/>
      <c r="MM78" s="12"/>
      <c r="MN78" s="12"/>
      <c r="MO78" s="12"/>
      <c r="MP78" s="12"/>
      <c r="MQ78" s="12"/>
      <c r="MR78" s="12"/>
      <c r="MS78" s="12"/>
      <c r="MW78" s="9"/>
      <c r="NA78" s="12"/>
      <c r="NB78" s="12"/>
      <c r="NC78" s="12"/>
      <c r="ND78" s="12"/>
      <c r="NE78" s="12"/>
      <c r="NF78" s="12"/>
      <c r="NG78" s="12"/>
      <c r="NH78" s="12"/>
      <c r="NI78" s="12"/>
      <c r="NM78" s="9"/>
      <c r="NQ78" s="12"/>
      <c r="NR78" s="12"/>
      <c r="NS78" s="12"/>
      <c r="NT78" s="12"/>
      <c r="NU78" s="12"/>
      <c r="NV78" s="12"/>
      <c r="NW78" s="12"/>
      <c r="NX78" s="12"/>
      <c r="NY78" s="12"/>
      <c r="OC78" s="9"/>
      <c r="OG78" s="12"/>
      <c r="OH78" s="12"/>
      <c r="OI78" s="12"/>
      <c r="OJ78" s="12"/>
      <c r="OK78" s="12"/>
      <c r="OL78" s="12"/>
      <c r="OM78" s="12"/>
      <c r="ON78" s="12"/>
      <c r="OO78" s="12"/>
      <c r="OS78" s="9"/>
    </row>
    <row r="79" spans="1:410" x14ac:dyDescent="0.2">
      <c r="Y79" s="12"/>
      <c r="Z79" s="12"/>
      <c r="AA79" s="12"/>
      <c r="AB79" s="12"/>
      <c r="AC79" s="12"/>
      <c r="AD79" s="12"/>
      <c r="AE79" s="12"/>
      <c r="AF79" s="12"/>
      <c r="AG79" s="12"/>
      <c r="AQ79" s="12"/>
      <c r="AR79" s="12"/>
      <c r="AS79" s="12"/>
      <c r="AT79" s="12"/>
      <c r="AU79" s="12"/>
      <c r="AV79" s="12"/>
      <c r="AW79" s="12"/>
      <c r="AX79" s="12"/>
      <c r="AY79" s="12"/>
      <c r="BI79" s="12"/>
      <c r="BJ79" s="12"/>
      <c r="BK79" s="12"/>
      <c r="BL79" s="12"/>
      <c r="BM79" s="12"/>
      <c r="BN79" s="12"/>
      <c r="BO79" s="12"/>
      <c r="BP79" s="12"/>
      <c r="BQ79" s="12"/>
      <c r="BS79" s="16"/>
      <c r="BU79" s="35"/>
      <c r="BY79" s="12"/>
      <c r="BZ79" s="12"/>
      <c r="CA79" s="12"/>
      <c r="CB79" s="12"/>
      <c r="CC79" s="12"/>
      <c r="CD79" s="12"/>
      <c r="CE79" s="12"/>
      <c r="CF79" s="12"/>
      <c r="CG79" s="12"/>
      <c r="CI79" s="16"/>
      <c r="CK79" s="35"/>
      <c r="CO79" s="12"/>
      <c r="CP79" s="12"/>
      <c r="CQ79" s="12"/>
      <c r="CR79" s="12"/>
      <c r="CS79" s="12"/>
      <c r="CT79" s="12"/>
      <c r="CU79" s="12"/>
      <c r="CV79" s="12"/>
      <c r="CW79" s="12"/>
      <c r="CY79" s="16"/>
      <c r="DA79" s="35"/>
      <c r="DE79" s="12"/>
      <c r="DF79" s="12"/>
      <c r="DG79" s="12"/>
      <c r="DH79" s="12"/>
      <c r="DI79" s="12"/>
      <c r="DJ79" s="12"/>
      <c r="DK79" s="12"/>
      <c r="DL79" s="12"/>
      <c r="DM79" s="12"/>
      <c r="DO79" s="16"/>
      <c r="DQ79" s="35"/>
      <c r="DU79" s="12"/>
      <c r="DV79" s="12"/>
      <c r="DW79" s="12"/>
      <c r="DX79" s="12"/>
      <c r="DY79" s="12"/>
      <c r="DZ79" s="12"/>
      <c r="EA79" s="12"/>
      <c r="EB79" s="12"/>
      <c r="EC79" s="12"/>
      <c r="EE79" s="16"/>
      <c r="EG79" s="35"/>
      <c r="EK79" s="12"/>
      <c r="EL79" s="12"/>
      <c r="EM79" s="12"/>
      <c r="EN79" s="12"/>
      <c r="EO79" s="12"/>
      <c r="EP79" s="12"/>
      <c r="EQ79" s="12"/>
      <c r="ER79" s="12"/>
      <c r="ES79" s="12"/>
      <c r="EU79" s="16"/>
      <c r="EW79" s="35"/>
      <c r="FA79" s="12"/>
      <c r="FB79" s="12"/>
      <c r="FC79" s="12"/>
      <c r="FD79" s="12"/>
      <c r="FE79" s="12"/>
      <c r="FF79" s="12"/>
      <c r="FG79" s="12"/>
      <c r="FH79" s="12"/>
      <c r="FI79" s="12"/>
      <c r="FK79" s="16"/>
      <c r="FM79" s="16"/>
      <c r="FQ79" s="12"/>
      <c r="FR79" s="12"/>
      <c r="FS79" s="12"/>
      <c r="FT79" s="12"/>
      <c r="FU79" s="12"/>
      <c r="FV79" s="12"/>
      <c r="FW79" s="12"/>
      <c r="FX79" s="12"/>
      <c r="FY79" s="12"/>
      <c r="GA79" s="16"/>
      <c r="GC79" s="9"/>
      <c r="GG79" s="12"/>
      <c r="GH79" s="12"/>
      <c r="GI79" s="12"/>
      <c r="GJ79" s="12"/>
      <c r="GK79" s="12"/>
      <c r="GL79" s="12"/>
      <c r="GM79" s="12"/>
      <c r="GN79" s="12"/>
      <c r="GO79" s="12"/>
      <c r="GQ79" s="16"/>
      <c r="GS79" s="9"/>
      <c r="GW79" s="12"/>
      <c r="GX79" s="12"/>
      <c r="GY79" s="12"/>
      <c r="GZ79" s="12"/>
      <c r="HA79" s="12"/>
      <c r="HB79" s="12"/>
      <c r="HC79" s="12"/>
      <c r="HD79" s="12"/>
      <c r="HE79" s="12"/>
      <c r="HG79" s="16"/>
      <c r="HI79" s="9"/>
      <c r="HM79" s="12"/>
      <c r="HN79" s="12"/>
      <c r="HO79" s="12"/>
      <c r="HP79" s="12"/>
      <c r="HQ79" s="12"/>
      <c r="HR79" s="12"/>
      <c r="HS79" s="12"/>
      <c r="HT79" s="12"/>
      <c r="HU79" s="12"/>
      <c r="HW79" s="16"/>
      <c r="HY79" s="9"/>
      <c r="IC79" s="12"/>
      <c r="ID79" s="12"/>
      <c r="IE79" s="12"/>
      <c r="IF79" s="12"/>
      <c r="IG79" s="12"/>
      <c r="IH79" s="12"/>
      <c r="II79" s="12"/>
      <c r="IJ79" s="12"/>
      <c r="IK79" s="12"/>
      <c r="IM79" s="16"/>
      <c r="IO79" s="9"/>
      <c r="IS79" s="12"/>
      <c r="IT79" s="12"/>
      <c r="IU79" s="12"/>
      <c r="IV79" s="12"/>
      <c r="IW79" s="12"/>
      <c r="IX79" s="12"/>
      <c r="IY79" s="12"/>
      <c r="IZ79" s="12"/>
      <c r="JA79" s="12"/>
      <c r="JE79" s="9"/>
      <c r="JI79" s="12"/>
      <c r="JJ79" s="12"/>
      <c r="JK79" s="12"/>
      <c r="JL79" s="12"/>
      <c r="JM79" s="12"/>
      <c r="JN79" s="12"/>
      <c r="JO79" s="12"/>
      <c r="JP79" s="12"/>
      <c r="JQ79" s="12"/>
      <c r="JU79" s="9"/>
      <c r="JY79" s="12"/>
      <c r="JZ79" s="12"/>
      <c r="KA79" s="12"/>
      <c r="KB79" s="12"/>
      <c r="KC79" s="12"/>
      <c r="KD79" s="12"/>
      <c r="KE79" s="12"/>
      <c r="KF79" s="12"/>
      <c r="KG79" s="12"/>
      <c r="KK79" s="9"/>
      <c r="KO79" s="12"/>
      <c r="KP79" s="12"/>
      <c r="KQ79" s="12"/>
      <c r="KR79" s="12"/>
      <c r="KS79" s="12"/>
      <c r="KT79" s="12"/>
      <c r="KU79" s="12"/>
      <c r="KV79" s="12"/>
      <c r="KW79" s="12"/>
      <c r="LA79" s="9"/>
      <c r="LE79" s="12"/>
      <c r="LF79" s="12"/>
      <c r="LG79" s="12"/>
      <c r="LH79" s="12"/>
      <c r="LI79" s="12"/>
      <c r="LJ79" s="12"/>
      <c r="LK79" s="12"/>
      <c r="LL79" s="12"/>
      <c r="LM79" s="12"/>
      <c r="LQ79" s="9"/>
      <c r="LU79" s="12"/>
      <c r="LV79" s="12"/>
      <c r="LW79" s="12"/>
      <c r="LX79" s="12"/>
      <c r="LY79" s="12"/>
      <c r="LZ79" s="12"/>
      <c r="MA79" s="12"/>
      <c r="MB79" s="12"/>
      <c r="MC79" s="12"/>
      <c r="MG79" s="9"/>
      <c r="MK79" s="12"/>
      <c r="ML79" s="12"/>
      <c r="MM79" s="12"/>
      <c r="MN79" s="12"/>
      <c r="MO79" s="12"/>
      <c r="MP79" s="12"/>
      <c r="MQ79" s="12"/>
      <c r="MR79" s="12"/>
      <c r="MS79" s="12"/>
      <c r="MW79" s="9"/>
      <c r="NA79" s="12"/>
      <c r="NB79" s="12"/>
      <c r="NC79" s="12"/>
      <c r="ND79" s="12"/>
      <c r="NE79" s="12"/>
      <c r="NF79" s="12"/>
      <c r="NG79" s="12"/>
      <c r="NH79" s="12"/>
      <c r="NI79" s="12"/>
      <c r="NM79" s="9"/>
      <c r="NQ79" s="12"/>
      <c r="NR79" s="12"/>
      <c r="NS79" s="12"/>
      <c r="NT79" s="12"/>
      <c r="NU79" s="12"/>
      <c r="NV79" s="12"/>
      <c r="NW79" s="12"/>
      <c r="NX79" s="12"/>
      <c r="NY79" s="12"/>
      <c r="OC79" s="9"/>
      <c r="OG79" s="12"/>
      <c r="OH79" s="12"/>
      <c r="OI79" s="12"/>
      <c r="OJ79" s="12"/>
      <c r="OK79" s="12"/>
      <c r="OL79" s="12"/>
      <c r="OM79" s="12"/>
      <c r="ON79" s="12"/>
      <c r="OO79" s="12"/>
      <c r="OS79" s="9"/>
    </row>
    <row r="80" spans="1:410" x14ac:dyDescent="0.2">
      <c r="X80" s="5"/>
      <c r="Y80" s="12"/>
      <c r="Z80" s="12"/>
      <c r="AA80" s="12"/>
      <c r="AB80" s="12"/>
      <c r="AC80" s="12"/>
      <c r="AD80" s="12"/>
      <c r="AE80" s="12"/>
      <c r="AF80" s="12"/>
      <c r="AG80" s="12"/>
      <c r="AP80" s="5"/>
      <c r="AQ80" s="12"/>
      <c r="AR80" s="12"/>
      <c r="AS80" s="12"/>
      <c r="AT80" s="12"/>
      <c r="AU80" s="12"/>
      <c r="AV80" s="12"/>
      <c r="AW80" s="12"/>
      <c r="AX80" s="12"/>
      <c r="AY80" s="12"/>
      <c r="BI80" s="12"/>
      <c r="BJ80" s="12"/>
      <c r="BK80" s="12"/>
      <c r="BL80" s="12"/>
      <c r="BM80" s="12"/>
      <c r="BN80" s="12"/>
      <c r="BO80" s="12"/>
      <c r="BP80" s="12"/>
      <c r="BQ80" s="12"/>
      <c r="BS80" s="16"/>
      <c r="BU80" s="35"/>
      <c r="BY80" s="12"/>
      <c r="BZ80" s="12"/>
      <c r="CA80" s="12"/>
      <c r="CB80" s="12"/>
      <c r="CC80" s="12"/>
      <c r="CD80" s="12"/>
      <c r="CE80" s="12"/>
      <c r="CF80" s="12"/>
      <c r="CG80" s="12"/>
      <c r="CI80" s="16"/>
      <c r="CK80" s="35"/>
      <c r="CO80" s="12"/>
      <c r="CP80" s="12"/>
      <c r="CQ80" s="12"/>
      <c r="CR80" s="12"/>
      <c r="CS80" s="12"/>
      <c r="CT80" s="12"/>
      <c r="CU80" s="12"/>
      <c r="CV80" s="12"/>
      <c r="CW80" s="12"/>
      <c r="CY80" s="16"/>
      <c r="DA80" s="35"/>
      <c r="DE80" s="12"/>
      <c r="DF80" s="12"/>
      <c r="DG80" s="12"/>
      <c r="DH80" s="12"/>
      <c r="DI80" s="12"/>
      <c r="DJ80" s="12"/>
      <c r="DK80" s="12"/>
      <c r="DL80" s="12"/>
      <c r="DM80" s="12"/>
      <c r="DO80" s="16"/>
      <c r="DQ80" s="35"/>
      <c r="DU80" s="12"/>
      <c r="DV80" s="12"/>
      <c r="DW80" s="12"/>
      <c r="DX80" s="12"/>
      <c r="DY80" s="12"/>
      <c r="DZ80" s="12"/>
      <c r="EA80" s="12"/>
      <c r="EB80" s="12"/>
      <c r="EC80" s="12"/>
      <c r="EE80" s="16"/>
      <c r="EG80" s="35"/>
      <c r="EK80" s="12"/>
      <c r="EL80" s="12"/>
      <c r="EM80" s="12"/>
      <c r="EN80" s="12"/>
      <c r="EO80" s="12"/>
      <c r="EP80" s="12"/>
      <c r="EQ80" s="12"/>
      <c r="ER80" s="12"/>
      <c r="ES80" s="12"/>
      <c r="EU80" s="16"/>
      <c r="EW80" s="35"/>
      <c r="FA80" s="12"/>
      <c r="FB80" s="12"/>
      <c r="FC80" s="12"/>
      <c r="FD80" s="12"/>
      <c r="FE80" s="12"/>
      <c r="FF80" s="12"/>
      <c r="FG80" s="12"/>
      <c r="FH80" s="12"/>
      <c r="FI80" s="12"/>
      <c r="FK80" s="16"/>
      <c r="FM80" s="16"/>
      <c r="FQ80" s="12"/>
      <c r="FR80" s="12"/>
      <c r="FS80" s="12"/>
      <c r="FT80" s="12"/>
      <c r="FU80" s="12"/>
      <c r="FV80" s="12"/>
      <c r="FW80" s="12"/>
      <c r="FX80" s="12"/>
      <c r="FY80" s="12"/>
      <c r="GA80" s="16"/>
      <c r="GC80" s="9"/>
      <c r="GG80" s="12"/>
      <c r="GH80" s="12"/>
      <c r="GI80" s="12"/>
      <c r="GJ80" s="12"/>
      <c r="GK80" s="12"/>
      <c r="GL80" s="12"/>
      <c r="GM80" s="12"/>
      <c r="GN80" s="12"/>
      <c r="GO80" s="12"/>
      <c r="GQ80" s="16"/>
      <c r="GS80" s="9"/>
      <c r="GW80" s="12"/>
      <c r="GX80" s="12"/>
      <c r="GY80" s="12"/>
      <c r="GZ80" s="12"/>
      <c r="HA80" s="12"/>
      <c r="HB80" s="12"/>
      <c r="HC80" s="12"/>
      <c r="HD80" s="12"/>
      <c r="HE80" s="12"/>
      <c r="HG80" s="16"/>
      <c r="HI80" s="9"/>
      <c r="HM80" s="12"/>
      <c r="HN80" s="12"/>
      <c r="HO80" s="12"/>
      <c r="HP80" s="12"/>
      <c r="HQ80" s="12"/>
      <c r="HR80" s="12"/>
      <c r="HS80" s="12"/>
      <c r="HT80" s="12"/>
      <c r="HU80" s="12"/>
      <c r="HW80" s="16"/>
      <c r="HY80" s="9"/>
      <c r="IC80" s="12"/>
      <c r="ID80" s="12"/>
      <c r="IE80" s="12"/>
      <c r="IF80" s="12"/>
      <c r="IG80" s="12"/>
      <c r="IH80" s="12"/>
      <c r="II80" s="12"/>
      <c r="IJ80" s="12"/>
      <c r="IK80" s="12"/>
      <c r="IM80" s="16"/>
      <c r="IO80" s="9"/>
      <c r="IS80" s="12"/>
      <c r="IT80" s="12"/>
      <c r="IU80" s="12"/>
      <c r="IV80" s="12"/>
      <c r="IW80" s="12"/>
      <c r="IX80" s="12"/>
      <c r="IY80" s="12"/>
      <c r="IZ80" s="12"/>
      <c r="JA80" s="12"/>
      <c r="JE80" s="9"/>
      <c r="JI80" s="12"/>
      <c r="JJ80" s="12"/>
      <c r="JK80" s="12"/>
      <c r="JL80" s="12"/>
      <c r="JM80" s="12"/>
      <c r="JN80" s="12"/>
      <c r="JO80" s="12"/>
      <c r="JP80" s="12"/>
      <c r="JQ80" s="12"/>
      <c r="JU80" s="9"/>
      <c r="JY80" s="12"/>
      <c r="JZ80" s="12"/>
      <c r="KA80" s="12"/>
      <c r="KB80" s="12"/>
      <c r="KC80" s="12"/>
      <c r="KD80" s="12"/>
      <c r="KE80" s="12"/>
      <c r="KF80" s="12"/>
      <c r="KG80" s="12"/>
      <c r="KK80" s="9"/>
      <c r="KO80" s="12"/>
      <c r="KP80" s="12"/>
      <c r="KQ80" s="12"/>
      <c r="KR80" s="12"/>
      <c r="KS80" s="12"/>
      <c r="KT80" s="12"/>
      <c r="KU80" s="12"/>
      <c r="KV80" s="12"/>
      <c r="KW80" s="12"/>
      <c r="LA80" s="9"/>
      <c r="LE80" s="12"/>
      <c r="LF80" s="12"/>
      <c r="LG80" s="12"/>
      <c r="LH80" s="12"/>
      <c r="LI80" s="12"/>
      <c r="LJ80" s="12"/>
      <c r="LK80" s="12"/>
      <c r="LL80" s="12"/>
      <c r="LM80" s="12"/>
      <c r="LQ80" s="9"/>
      <c r="LU80" s="12"/>
      <c r="LV80" s="12"/>
      <c r="LW80" s="12"/>
      <c r="LX80" s="12"/>
      <c r="LY80" s="12"/>
      <c r="LZ80" s="12"/>
      <c r="MA80" s="12"/>
      <c r="MB80" s="12"/>
      <c r="MC80" s="12"/>
      <c r="MG80" s="9"/>
      <c r="MK80" s="12"/>
      <c r="ML80" s="12"/>
      <c r="MM80" s="12"/>
      <c r="MN80" s="12"/>
      <c r="MO80" s="12"/>
      <c r="MP80" s="12"/>
      <c r="MQ80" s="12"/>
      <c r="MR80" s="12"/>
      <c r="MS80" s="12"/>
      <c r="MW80" s="9"/>
      <c r="NA80" s="12"/>
      <c r="NB80" s="12"/>
      <c r="NC80" s="12"/>
      <c r="ND80" s="12"/>
      <c r="NE80" s="12"/>
      <c r="NF80" s="12"/>
      <c r="NG80" s="12"/>
      <c r="NH80" s="12"/>
      <c r="NI80" s="12"/>
      <c r="NM80" s="9"/>
      <c r="NQ80" s="12"/>
      <c r="NR80" s="12"/>
      <c r="NS80" s="12"/>
      <c r="NT80" s="12"/>
      <c r="NU80" s="12"/>
      <c r="NV80" s="12"/>
      <c r="NW80" s="12"/>
      <c r="NX80" s="12"/>
      <c r="NY80" s="12"/>
      <c r="OC80" s="9"/>
      <c r="OG80" s="12"/>
      <c r="OH80" s="12"/>
      <c r="OI80" s="12"/>
      <c r="OJ80" s="12"/>
      <c r="OK80" s="12"/>
      <c r="OL80" s="12"/>
      <c r="OM80" s="12"/>
      <c r="ON80" s="12"/>
      <c r="OO80" s="12"/>
      <c r="OS80" s="9"/>
    </row>
    <row r="81" spans="1:410" x14ac:dyDescent="0.2">
      <c r="A81" s="5" t="s">
        <v>51</v>
      </c>
      <c r="B81" s="12"/>
      <c r="X81" s="5"/>
      <c r="Y81" s="12"/>
      <c r="Z81" s="12"/>
      <c r="AA81" s="12"/>
      <c r="AB81" s="12"/>
      <c r="AC81" s="12"/>
      <c r="AD81" s="12"/>
      <c r="AE81" s="12"/>
      <c r="AF81" s="12"/>
      <c r="AG81" s="12"/>
      <c r="AP81" s="5"/>
      <c r="AQ81" s="12"/>
      <c r="AR81" s="12"/>
      <c r="AS81" s="12"/>
      <c r="AT81" s="12"/>
      <c r="AU81" s="12"/>
      <c r="AV81" s="12"/>
      <c r="AW81" s="12"/>
      <c r="AX81" s="12"/>
      <c r="AY81" s="12"/>
      <c r="BH81" s="5"/>
      <c r="BI81" s="12"/>
      <c r="BJ81" s="12"/>
      <c r="BK81" s="12"/>
      <c r="BL81" s="12"/>
      <c r="BM81" s="12"/>
      <c r="BN81" s="12"/>
      <c r="BO81" s="12"/>
      <c r="BP81" s="12"/>
      <c r="BQ81" s="12"/>
      <c r="BS81" s="16"/>
      <c r="BU81" s="35"/>
      <c r="BX81" s="5"/>
      <c r="BY81" s="12"/>
      <c r="BZ81" s="12"/>
      <c r="CA81" s="12"/>
      <c r="CB81" s="12"/>
      <c r="CC81" s="12"/>
      <c r="CD81" s="12"/>
      <c r="CE81" s="12"/>
      <c r="CF81" s="12"/>
      <c r="CG81" s="12"/>
      <c r="CI81" s="16"/>
      <c r="CK81" s="35"/>
      <c r="CN81" s="5"/>
      <c r="CO81" s="12"/>
      <c r="CP81" s="12"/>
      <c r="CQ81" s="12"/>
      <c r="CR81" s="12"/>
      <c r="CS81" s="12"/>
      <c r="CT81" s="12"/>
      <c r="CU81" s="12"/>
      <c r="CV81" s="12"/>
      <c r="CW81" s="12"/>
      <c r="CY81" s="16"/>
      <c r="DA81" s="35"/>
      <c r="DD81" s="5"/>
      <c r="DE81" s="12"/>
      <c r="DF81" s="12"/>
      <c r="DG81" s="12"/>
      <c r="DH81" s="12"/>
      <c r="DI81" s="12"/>
      <c r="DJ81" s="12"/>
      <c r="DK81" s="12"/>
      <c r="DL81" s="12"/>
      <c r="DM81" s="12"/>
      <c r="DO81" s="16"/>
      <c r="DQ81" s="35"/>
      <c r="DT81" s="5"/>
      <c r="DU81" s="12"/>
      <c r="DV81" s="12"/>
      <c r="DW81" s="12"/>
      <c r="DX81" s="12"/>
      <c r="DY81" s="12"/>
      <c r="DZ81" s="12"/>
      <c r="EA81" s="12"/>
      <c r="EB81" s="12"/>
      <c r="EC81" s="12"/>
      <c r="EE81" s="16"/>
      <c r="EG81" s="35"/>
      <c r="EJ81" s="5"/>
      <c r="EK81" s="12"/>
      <c r="EL81" s="12"/>
      <c r="EM81" s="12"/>
      <c r="EN81" s="12"/>
      <c r="EO81" s="12"/>
      <c r="EP81" s="12"/>
      <c r="EQ81" s="12"/>
      <c r="ER81" s="12"/>
      <c r="ES81" s="12"/>
      <c r="EU81" s="16"/>
      <c r="EW81" s="35"/>
      <c r="EZ81" s="5"/>
      <c r="FA81" s="12"/>
      <c r="FB81" s="12"/>
      <c r="FC81" s="12"/>
      <c r="FD81" s="12"/>
      <c r="FE81" s="12"/>
      <c r="FF81" s="12"/>
      <c r="FG81" s="12"/>
      <c r="FH81" s="12"/>
      <c r="FI81" s="12"/>
      <c r="FK81" s="16"/>
      <c r="FM81" s="16"/>
      <c r="FP81" s="5"/>
      <c r="FQ81" s="12"/>
      <c r="FR81" s="12"/>
      <c r="FS81" s="12"/>
      <c r="FT81" s="12"/>
      <c r="FU81" s="12"/>
      <c r="FV81" s="12"/>
      <c r="FW81" s="12"/>
      <c r="FX81" s="12"/>
      <c r="FY81" s="12"/>
      <c r="GA81" s="16"/>
      <c r="GC81" s="9"/>
      <c r="GF81" s="5"/>
      <c r="GG81" s="12"/>
      <c r="GH81" s="12"/>
      <c r="GI81" s="12"/>
      <c r="GJ81" s="12"/>
      <c r="GK81" s="12"/>
      <c r="GL81" s="12"/>
      <c r="GM81" s="12"/>
      <c r="GN81" s="12"/>
      <c r="GO81" s="12"/>
      <c r="GQ81" s="16"/>
      <c r="GS81" s="9"/>
      <c r="GW81" s="12"/>
      <c r="GX81" s="12"/>
      <c r="GY81" s="12"/>
      <c r="GZ81" s="12"/>
      <c r="HA81" s="12"/>
      <c r="HB81" s="12"/>
      <c r="HC81" s="12"/>
      <c r="HD81" s="12"/>
      <c r="HE81" s="12"/>
      <c r="HG81" s="16"/>
      <c r="HI81" s="9"/>
      <c r="HM81" s="12"/>
      <c r="HN81" s="12"/>
      <c r="HO81" s="12"/>
      <c r="HP81" s="12"/>
      <c r="HQ81" s="12"/>
      <c r="HR81" s="12"/>
      <c r="HS81" s="12"/>
      <c r="HT81" s="12"/>
      <c r="HU81" s="12"/>
      <c r="HW81" s="16"/>
      <c r="HY81" s="9"/>
      <c r="IC81" s="12"/>
      <c r="ID81" s="12"/>
      <c r="IE81" s="12"/>
      <c r="IF81" s="12"/>
      <c r="IG81" s="12"/>
      <c r="IH81" s="12"/>
      <c r="II81" s="12"/>
      <c r="IJ81" s="12"/>
      <c r="IK81" s="12"/>
      <c r="IM81" s="16"/>
      <c r="IO81" s="9"/>
      <c r="IS81" s="12"/>
      <c r="IT81" s="12"/>
      <c r="IU81" s="12"/>
      <c r="IV81" s="12"/>
      <c r="IW81" s="12"/>
      <c r="IX81" s="12"/>
      <c r="IY81" s="12"/>
      <c r="IZ81" s="12"/>
      <c r="JA81" s="12"/>
      <c r="JE81" s="9"/>
      <c r="JI81" s="12"/>
      <c r="JJ81" s="12"/>
      <c r="JK81" s="12"/>
      <c r="JL81" s="12"/>
      <c r="JM81" s="12"/>
      <c r="JN81" s="12"/>
      <c r="JO81" s="12"/>
      <c r="JP81" s="12"/>
      <c r="JQ81" s="12"/>
      <c r="JU81" s="9"/>
      <c r="JY81" s="12"/>
      <c r="JZ81" s="12"/>
      <c r="KA81" s="12"/>
      <c r="KB81" s="12"/>
      <c r="KC81" s="12"/>
      <c r="KD81" s="12"/>
      <c r="KE81" s="12"/>
      <c r="KF81" s="12"/>
      <c r="KG81" s="12"/>
      <c r="KK81" s="9"/>
      <c r="KO81" s="12"/>
      <c r="KP81" s="12"/>
      <c r="KQ81" s="12"/>
      <c r="KR81" s="12"/>
      <c r="KS81" s="12"/>
      <c r="KT81" s="12"/>
      <c r="KU81" s="12"/>
      <c r="KV81" s="12"/>
      <c r="KW81" s="12"/>
      <c r="LA81" s="9"/>
      <c r="LE81" s="12"/>
      <c r="LF81" s="12"/>
      <c r="LG81" s="12"/>
      <c r="LH81" s="12"/>
      <c r="LI81" s="12"/>
      <c r="LJ81" s="12"/>
      <c r="LK81" s="12"/>
      <c r="LL81" s="12"/>
      <c r="LM81" s="12"/>
      <c r="LQ81" s="9"/>
      <c r="LU81" s="12"/>
      <c r="LV81" s="12"/>
      <c r="LW81" s="12"/>
      <c r="LX81" s="12"/>
      <c r="LY81" s="12"/>
      <c r="LZ81" s="12"/>
      <c r="MA81" s="12"/>
      <c r="MB81" s="12"/>
      <c r="MC81" s="12"/>
      <c r="MG81" s="9"/>
      <c r="MK81" s="12"/>
      <c r="ML81" s="12"/>
      <c r="MM81" s="12"/>
      <c r="MN81" s="12"/>
      <c r="MO81" s="12"/>
      <c r="MP81" s="12"/>
      <c r="MQ81" s="12"/>
      <c r="MR81" s="12"/>
      <c r="MS81" s="12"/>
      <c r="MW81" s="9"/>
      <c r="NA81" s="12"/>
      <c r="NB81" s="12"/>
      <c r="NC81" s="12"/>
      <c r="ND81" s="12"/>
      <c r="NE81" s="12"/>
      <c r="NF81" s="12"/>
      <c r="NG81" s="12"/>
      <c r="NH81" s="12"/>
      <c r="NI81" s="12"/>
      <c r="NM81" s="9"/>
      <c r="NQ81" s="12"/>
      <c r="NR81" s="12"/>
      <c r="NS81" s="12"/>
      <c r="NT81" s="12"/>
      <c r="NU81" s="12"/>
      <c r="NV81" s="12"/>
      <c r="NW81" s="12"/>
      <c r="NX81" s="12"/>
      <c r="NY81" s="12"/>
      <c r="OC81" s="9"/>
      <c r="OG81" s="12"/>
      <c r="OH81" s="12"/>
      <c r="OI81" s="12"/>
      <c r="OJ81" s="12"/>
      <c r="OK81" s="12"/>
      <c r="OL81" s="12"/>
      <c r="OM81" s="12"/>
      <c r="ON81" s="12"/>
      <c r="OO81" s="12"/>
      <c r="OS81" s="9"/>
    </row>
    <row r="82" spans="1:410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X82" s="5"/>
      <c r="Y82" s="12"/>
      <c r="Z82" s="12"/>
      <c r="AA82" s="12"/>
      <c r="AB82" s="12"/>
      <c r="AC82" s="12"/>
      <c r="AD82" s="12"/>
      <c r="AE82" s="12"/>
      <c r="AF82" s="12"/>
      <c r="AG82" s="12"/>
      <c r="AP82" s="5"/>
      <c r="AQ82" s="12"/>
      <c r="AR82" s="12"/>
      <c r="AS82" s="12"/>
      <c r="AT82" s="12"/>
      <c r="AU82" s="12"/>
      <c r="AV82" s="12"/>
      <c r="AW82" s="12"/>
      <c r="AX82" s="12"/>
      <c r="AY82" s="12"/>
      <c r="BH82" s="5"/>
      <c r="BI82" s="12"/>
      <c r="BJ82" s="12"/>
      <c r="BK82" s="12"/>
      <c r="BL82" s="12"/>
      <c r="BM82" s="12"/>
      <c r="BN82" s="12"/>
      <c r="BO82" s="12"/>
      <c r="BP82" s="12"/>
      <c r="BQ82" s="12"/>
      <c r="BS82" s="16"/>
      <c r="BU82" s="35"/>
      <c r="BX82" s="5"/>
      <c r="BY82" s="12"/>
      <c r="BZ82" s="12"/>
      <c r="CA82" s="12"/>
      <c r="CB82" s="12"/>
      <c r="CC82" s="12"/>
      <c r="CD82" s="12"/>
      <c r="CE82" s="12"/>
      <c r="CF82" s="12"/>
      <c r="CG82" s="12"/>
      <c r="CI82" s="16"/>
      <c r="CK82" s="35"/>
      <c r="CN82" s="5"/>
      <c r="CO82" s="12"/>
      <c r="CP82" s="12"/>
      <c r="CQ82" s="12"/>
      <c r="CR82" s="12"/>
      <c r="CS82" s="12"/>
      <c r="CT82" s="12"/>
      <c r="CU82" s="12"/>
      <c r="CV82" s="12"/>
      <c r="CW82" s="12"/>
      <c r="CY82" s="16"/>
      <c r="DA82" s="35"/>
      <c r="DD82" s="5"/>
      <c r="DE82" s="12"/>
      <c r="DF82" s="12"/>
      <c r="DG82" s="12"/>
      <c r="DH82" s="12"/>
      <c r="DI82" s="12"/>
      <c r="DJ82" s="12"/>
      <c r="DK82" s="12"/>
      <c r="DL82" s="12"/>
      <c r="DM82" s="12"/>
      <c r="DO82" s="16"/>
      <c r="DQ82" s="35"/>
      <c r="DT82" s="5"/>
      <c r="DU82" s="12"/>
      <c r="DV82" s="12"/>
      <c r="DW82" s="12"/>
      <c r="DX82" s="12"/>
      <c r="DY82" s="12"/>
      <c r="DZ82" s="12"/>
      <c r="EA82" s="12"/>
      <c r="EB82" s="12"/>
      <c r="EC82" s="12"/>
      <c r="EE82" s="16"/>
      <c r="EG82" s="35"/>
      <c r="EJ82" s="5"/>
      <c r="EK82" s="12"/>
      <c r="EL82" s="12"/>
      <c r="EM82" s="12"/>
      <c r="EN82" s="12"/>
      <c r="EO82" s="12"/>
      <c r="EP82" s="12"/>
      <c r="EQ82" s="12"/>
      <c r="ER82" s="12"/>
      <c r="ES82" s="12"/>
      <c r="EU82" s="16"/>
      <c r="EW82" s="35"/>
      <c r="EZ82" s="5"/>
      <c r="FA82" s="12"/>
      <c r="FB82" s="12"/>
      <c r="FC82" s="12"/>
      <c r="FD82" s="12"/>
      <c r="FE82" s="12"/>
      <c r="FF82" s="12"/>
      <c r="FG82" s="12"/>
      <c r="FH82" s="12"/>
      <c r="FI82" s="12"/>
      <c r="FK82" s="16"/>
      <c r="FM82" s="16"/>
      <c r="FP82" s="5"/>
      <c r="FQ82" s="12"/>
      <c r="FR82" s="12"/>
      <c r="FS82" s="12"/>
      <c r="FT82" s="12"/>
      <c r="FU82" s="12"/>
      <c r="FV82" s="12"/>
      <c r="FW82" s="12"/>
      <c r="FX82" s="12"/>
      <c r="FY82" s="12"/>
      <c r="GA82" s="16"/>
      <c r="GC82" s="9"/>
      <c r="GF82" s="5"/>
      <c r="GG82" s="12"/>
      <c r="GH82" s="12"/>
      <c r="GI82" s="12"/>
      <c r="GJ82" s="12"/>
      <c r="GK82" s="12"/>
      <c r="GL82" s="12"/>
      <c r="GM82" s="12"/>
      <c r="GN82" s="12"/>
      <c r="GO82" s="12"/>
      <c r="GQ82" s="16"/>
      <c r="GS82" s="9"/>
      <c r="GW82" s="12"/>
      <c r="GX82" s="12"/>
      <c r="GY82" s="12"/>
      <c r="GZ82" s="12"/>
      <c r="HA82" s="12"/>
      <c r="HB82" s="12"/>
      <c r="HC82" s="12"/>
      <c r="HD82" s="12"/>
      <c r="HE82" s="12"/>
      <c r="HG82" s="16"/>
      <c r="HI82" s="9"/>
      <c r="HM82" s="12"/>
      <c r="HN82" s="12"/>
      <c r="HO82" s="12"/>
      <c r="HP82" s="12"/>
      <c r="HQ82" s="12"/>
      <c r="HR82" s="12"/>
      <c r="HS82" s="12"/>
      <c r="HT82" s="12"/>
      <c r="HU82" s="12"/>
      <c r="HW82" s="16"/>
      <c r="HY82" s="9"/>
      <c r="IC82" s="12"/>
      <c r="ID82" s="12"/>
      <c r="IE82" s="12"/>
      <c r="IF82" s="12"/>
      <c r="IG82" s="12"/>
      <c r="IH82" s="12"/>
      <c r="II82" s="12"/>
      <c r="IJ82" s="12"/>
      <c r="IK82" s="12"/>
      <c r="IM82" s="16"/>
      <c r="IO82" s="9"/>
      <c r="IS82" s="12"/>
      <c r="IT82" s="12"/>
      <c r="IU82" s="12"/>
      <c r="IV82" s="12"/>
      <c r="IW82" s="12"/>
      <c r="IX82" s="12"/>
      <c r="IY82" s="12"/>
      <c r="IZ82" s="12"/>
      <c r="JA82" s="12"/>
      <c r="JE82" s="9"/>
      <c r="JI82" s="12"/>
      <c r="JJ82" s="12"/>
      <c r="JK82" s="12"/>
      <c r="JL82" s="12"/>
      <c r="JM82" s="12"/>
      <c r="JN82" s="12"/>
      <c r="JO82" s="12"/>
      <c r="JP82" s="12"/>
      <c r="JQ82" s="12"/>
      <c r="JU82" s="9"/>
      <c r="JY82" s="12"/>
      <c r="JZ82" s="12"/>
      <c r="KA82" s="12"/>
      <c r="KB82" s="12"/>
      <c r="KC82" s="12"/>
      <c r="KD82" s="12"/>
      <c r="KE82" s="12"/>
      <c r="KF82" s="12"/>
      <c r="KG82" s="12"/>
      <c r="KK82" s="9"/>
      <c r="KO82" s="12"/>
      <c r="KP82" s="12"/>
      <c r="KQ82" s="12"/>
      <c r="KR82" s="12"/>
      <c r="KS82" s="12"/>
      <c r="KT82" s="12"/>
      <c r="KU82" s="12"/>
      <c r="KV82" s="12"/>
      <c r="KW82" s="12"/>
      <c r="LA82" s="9"/>
      <c r="LE82" s="12"/>
      <c r="LF82" s="12"/>
      <c r="LG82" s="12"/>
      <c r="LH82" s="12"/>
      <c r="LI82" s="12"/>
      <c r="LJ82" s="12"/>
      <c r="LK82" s="12"/>
      <c r="LL82" s="12"/>
      <c r="LM82" s="12"/>
      <c r="LQ82" s="9"/>
      <c r="LU82" s="12"/>
      <c r="LV82" s="12"/>
      <c r="LW82" s="12"/>
      <c r="LX82" s="12"/>
      <c r="LY82" s="12"/>
      <c r="LZ82" s="12"/>
      <c r="MA82" s="12"/>
      <c r="MB82" s="12"/>
      <c r="MC82" s="12"/>
      <c r="MG82" s="9"/>
      <c r="MK82" s="12"/>
      <c r="ML82" s="12"/>
      <c r="MM82" s="12"/>
      <c r="MN82" s="12"/>
      <c r="MO82" s="12"/>
      <c r="MP82" s="12"/>
      <c r="MQ82" s="12"/>
      <c r="MR82" s="12"/>
      <c r="MS82" s="12"/>
      <c r="MW82" s="9"/>
      <c r="NA82" s="12"/>
      <c r="NB82" s="12"/>
      <c r="NC82" s="12"/>
      <c r="ND82" s="12"/>
      <c r="NE82" s="12"/>
      <c r="NF82" s="12"/>
      <c r="NG82" s="12"/>
      <c r="NH82" s="12"/>
      <c r="NI82" s="12"/>
      <c r="NM82" s="9"/>
      <c r="NQ82" s="12"/>
      <c r="NR82" s="12"/>
      <c r="NS82" s="12"/>
      <c r="NT82" s="12"/>
      <c r="NU82" s="12"/>
      <c r="NV82" s="12"/>
      <c r="NW82" s="12"/>
      <c r="NX82" s="12"/>
      <c r="NY82" s="12"/>
      <c r="OC82" s="9"/>
      <c r="OG82" s="12"/>
      <c r="OH82" s="12"/>
      <c r="OI82" s="12"/>
      <c r="OJ82" s="12"/>
      <c r="OK82" s="12"/>
      <c r="OL82" s="12"/>
      <c r="OM82" s="12"/>
      <c r="ON82" s="12"/>
      <c r="OO82" s="12"/>
      <c r="OS82" s="9"/>
    </row>
    <row r="83" spans="1:410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X83" s="17"/>
      <c r="Y83" s="12"/>
      <c r="Z83" s="12"/>
      <c r="AA83" s="12"/>
      <c r="AB83" s="12"/>
      <c r="AC83" s="12"/>
      <c r="AD83" s="12"/>
      <c r="AE83" s="12"/>
      <c r="AF83" s="12"/>
      <c r="AG83" s="12"/>
      <c r="AP83" s="17"/>
      <c r="AQ83" s="12"/>
      <c r="AR83" s="12"/>
      <c r="AS83" s="12"/>
      <c r="AT83" s="12"/>
      <c r="AU83" s="12"/>
      <c r="AV83" s="12"/>
      <c r="AW83" s="12"/>
      <c r="AX83" s="12"/>
      <c r="AY83" s="12"/>
      <c r="BH83" s="5"/>
      <c r="BI83" s="12"/>
      <c r="BJ83" s="12"/>
      <c r="BK83" s="12"/>
      <c r="BL83" s="12"/>
      <c r="BM83" s="12"/>
      <c r="BN83" s="12"/>
      <c r="BO83" s="12"/>
      <c r="BP83" s="12"/>
      <c r="BQ83" s="12"/>
      <c r="BS83" s="16"/>
      <c r="BU83" s="35"/>
      <c r="BX83" s="5"/>
      <c r="BY83" s="12"/>
      <c r="BZ83" s="12"/>
      <c r="CA83" s="12"/>
      <c r="CB83" s="12"/>
      <c r="CC83" s="12"/>
      <c r="CD83" s="12"/>
      <c r="CE83" s="12"/>
      <c r="CF83" s="12"/>
      <c r="CG83" s="12"/>
      <c r="CI83" s="16"/>
      <c r="CK83" s="35"/>
      <c r="CN83" s="5"/>
      <c r="CO83" s="12"/>
      <c r="CP83" s="12"/>
      <c r="CQ83" s="12"/>
      <c r="CR83" s="12"/>
      <c r="CS83" s="12"/>
      <c r="CT83" s="12"/>
      <c r="CU83" s="12"/>
      <c r="CV83" s="12"/>
      <c r="CW83" s="12"/>
      <c r="CY83" s="16"/>
      <c r="DA83" s="35"/>
      <c r="DD83" s="5"/>
      <c r="DE83" s="12"/>
      <c r="DF83" s="12"/>
      <c r="DG83" s="12"/>
      <c r="DH83" s="12"/>
      <c r="DI83" s="12"/>
      <c r="DJ83" s="12"/>
      <c r="DK83" s="12"/>
      <c r="DL83" s="12"/>
      <c r="DM83" s="12"/>
      <c r="DO83" s="16"/>
      <c r="DQ83" s="35"/>
      <c r="DT83" s="5"/>
      <c r="DU83" s="12"/>
      <c r="DV83" s="12"/>
      <c r="DW83" s="12"/>
      <c r="DX83" s="12"/>
      <c r="DY83" s="12"/>
      <c r="DZ83" s="12"/>
      <c r="EA83" s="12"/>
      <c r="EB83" s="12"/>
      <c r="EC83" s="12"/>
      <c r="EE83" s="16"/>
      <c r="EG83" s="35"/>
      <c r="EJ83" s="5"/>
      <c r="EK83" s="12"/>
      <c r="EL83" s="12"/>
      <c r="EM83" s="12"/>
      <c r="EN83" s="12"/>
      <c r="EO83" s="12"/>
      <c r="EP83" s="12"/>
      <c r="EQ83" s="12"/>
      <c r="ER83" s="12"/>
      <c r="ES83" s="12"/>
      <c r="EU83" s="16"/>
      <c r="EW83" s="35"/>
      <c r="EZ83" s="5"/>
      <c r="FA83" s="12"/>
      <c r="FB83" s="12"/>
      <c r="FC83" s="12"/>
      <c r="FD83" s="12"/>
      <c r="FE83" s="12"/>
      <c r="FF83" s="12"/>
      <c r="FG83" s="12"/>
      <c r="FH83" s="12"/>
      <c r="FI83" s="12"/>
      <c r="FK83" s="16"/>
      <c r="FM83" s="16"/>
      <c r="FP83" s="5"/>
      <c r="FQ83" s="12"/>
      <c r="FR83" s="12"/>
      <c r="FS83" s="12"/>
      <c r="FT83" s="12"/>
      <c r="FU83" s="12"/>
      <c r="FV83" s="12"/>
      <c r="FW83" s="12"/>
      <c r="FX83" s="12"/>
      <c r="FY83" s="12"/>
      <c r="GA83" s="16"/>
      <c r="GC83" s="9"/>
      <c r="GF83" s="5"/>
      <c r="GG83" s="12"/>
      <c r="GH83" s="12"/>
      <c r="GI83" s="12"/>
      <c r="GJ83" s="12"/>
      <c r="GK83" s="12"/>
      <c r="GL83" s="12"/>
      <c r="GM83" s="12"/>
      <c r="GN83" s="12"/>
      <c r="GO83" s="12"/>
      <c r="GQ83" s="16"/>
      <c r="GS83" s="9"/>
      <c r="GW83" s="12"/>
      <c r="GX83" s="12"/>
      <c r="GY83" s="12"/>
      <c r="GZ83" s="12"/>
      <c r="HA83" s="12"/>
      <c r="HB83" s="12"/>
      <c r="HC83" s="12"/>
      <c r="HD83" s="12"/>
      <c r="HE83" s="12"/>
      <c r="HG83" s="16"/>
      <c r="HI83" s="9"/>
      <c r="HM83" s="12"/>
      <c r="HN83" s="12"/>
      <c r="HO83" s="12"/>
      <c r="HP83" s="12"/>
      <c r="HQ83" s="12"/>
      <c r="HR83" s="12"/>
      <c r="HS83" s="12"/>
      <c r="HT83" s="12"/>
      <c r="HU83" s="12"/>
      <c r="HW83" s="16"/>
      <c r="HY83" s="9"/>
      <c r="IC83" s="12"/>
      <c r="ID83" s="12"/>
      <c r="IE83" s="12"/>
      <c r="IF83" s="12"/>
      <c r="IG83" s="12"/>
      <c r="IH83" s="12"/>
      <c r="II83" s="12"/>
      <c r="IJ83" s="12"/>
      <c r="IK83" s="12"/>
      <c r="IM83" s="16"/>
      <c r="IO83" s="9"/>
      <c r="IS83" s="12"/>
      <c r="IT83" s="12"/>
      <c r="IU83" s="12"/>
      <c r="IV83" s="12"/>
      <c r="IW83" s="12"/>
      <c r="IX83" s="12"/>
      <c r="IY83" s="12"/>
      <c r="IZ83" s="12"/>
      <c r="JA83" s="12"/>
      <c r="JE83" s="9"/>
      <c r="JI83" s="12"/>
      <c r="JJ83" s="12"/>
      <c r="JK83" s="12"/>
      <c r="JL83" s="12"/>
      <c r="JM83" s="12"/>
      <c r="JN83" s="12"/>
      <c r="JO83" s="12"/>
      <c r="JP83" s="12"/>
      <c r="JQ83" s="12"/>
      <c r="JU83" s="9"/>
      <c r="JY83" s="12"/>
      <c r="JZ83" s="12"/>
      <c r="KA83" s="12"/>
      <c r="KB83" s="12"/>
      <c r="KC83" s="12"/>
      <c r="KD83" s="12"/>
      <c r="KE83" s="12"/>
      <c r="KF83" s="12"/>
      <c r="KG83" s="12"/>
      <c r="KK83" s="9"/>
      <c r="KO83" s="12"/>
      <c r="KP83" s="12"/>
      <c r="KQ83" s="12"/>
      <c r="KR83" s="12"/>
      <c r="KS83" s="12"/>
      <c r="KT83" s="12"/>
      <c r="KU83" s="12"/>
      <c r="KV83" s="12"/>
      <c r="KW83" s="12"/>
      <c r="LA83" s="9"/>
      <c r="LE83" s="12"/>
      <c r="LF83" s="12"/>
      <c r="LG83" s="12"/>
      <c r="LH83" s="12"/>
      <c r="LI83" s="12"/>
      <c r="LJ83" s="12"/>
      <c r="LK83" s="12"/>
      <c r="LL83" s="12"/>
      <c r="LM83" s="12"/>
      <c r="LQ83" s="9"/>
      <c r="LU83" s="12"/>
      <c r="LV83" s="12"/>
      <c r="LW83" s="12"/>
      <c r="LX83" s="12"/>
      <c r="LY83" s="12"/>
      <c r="LZ83" s="12"/>
      <c r="MA83" s="12"/>
      <c r="MB83" s="12"/>
      <c r="MC83" s="12"/>
      <c r="MG83" s="9"/>
      <c r="MK83" s="12"/>
      <c r="ML83" s="12"/>
      <c r="MM83" s="12"/>
      <c r="MN83" s="12"/>
      <c r="MO83" s="12"/>
      <c r="MP83" s="12"/>
      <c r="MQ83" s="12"/>
      <c r="MR83" s="12"/>
      <c r="MS83" s="12"/>
      <c r="MW83" s="9"/>
      <c r="NA83" s="12"/>
      <c r="NB83" s="12"/>
      <c r="NC83" s="12"/>
      <c r="ND83" s="12"/>
      <c r="NE83" s="12"/>
      <c r="NF83" s="12"/>
      <c r="NG83" s="12"/>
      <c r="NH83" s="12"/>
      <c r="NI83" s="12"/>
      <c r="NM83" s="9"/>
      <c r="NQ83" s="12"/>
      <c r="NR83" s="12"/>
      <c r="NS83" s="12"/>
      <c r="NT83" s="12"/>
      <c r="NU83" s="12"/>
      <c r="NV83" s="12"/>
      <c r="NW83" s="12"/>
      <c r="NX83" s="12"/>
      <c r="NY83" s="12"/>
      <c r="OC83" s="9"/>
      <c r="OG83" s="12"/>
      <c r="OH83" s="12"/>
      <c r="OI83" s="12"/>
      <c r="OJ83" s="12"/>
      <c r="OK83" s="12"/>
      <c r="OL83" s="12"/>
      <c r="OM83" s="12"/>
      <c r="ON83" s="12"/>
      <c r="OO83" s="12"/>
      <c r="OS83" s="9"/>
    </row>
    <row r="84" spans="1:410" x14ac:dyDescent="0.2">
      <c r="A84" s="17" t="s">
        <v>1709</v>
      </c>
      <c r="B84" s="12">
        <f t="shared" ref="B84:H86" si="527">M84+Y84+AQ84+BI84+BY84+CO84+DE84+DU84+EK84+FA84+FQ84+GG84+GW84+HM84+IC84+IS84+JI84+JY84+KO84+LE84+LU84+MK84+NA84+NQ84+OG84</f>
        <v>0</v>
      </c>
      <c r="C84" s="12">
        <f t="shared" si="527"/>
        <v>0</v>
      </c>
      <c r="D84" s="12">
        <f t="shared" si="527"/>
        <v>0</v>
      </c>
      <c r="E84" s="12">
        <f t="shared" si="527"/>
        <v>0</v>
      </c>
      <c r="F84" s="12">
        <f t="shared" si="527"/>
        <v>0</v>
      </c>
      <c r="G84" s="12">
        <f t="shared" si="527"/>
        <v>0</v>
      </c>
      <c r="H84" s="12">
        <f t="shared" si="527"/>
        <v>0</v>
      </c>
      <c r="I84" s="12">
        <f t="shared" ref="I84" si="528">AF84+AX84+BP84+CF84+CV84+DL84+EB84+ER84+FH84+FX84+GN84+HD84+HT84+IJ84+IZ84+JP84+KF84+KV84+LL84+MB84+MR84+NH84+NX84+ON84</f>
        <v>0</v>
      </c>
      <c r="J84" s="12">
        <f>AG84+AY84+BQ84+CG84+CW84+DM84+EC84+ES84+FI84+FY84+GO84+HE84+HU84+IK84+JA84+JQ84+KG84+KW84+LM84+MC84+MS84+NI84+NY84+OO84</f>
        <v>0</v>
      </c>
      <c r="M84">
        <f>M$5*V84</f>
        <v>0</v>
      </c>
      <c r="N84">
        <f>N$5*V84</f>
        <v>0</v>
      </c>
      <c r="O84">
        <f>O$5*V84</f>
        <v>0</v>
      </c>
      <c r="P84">
        <f>P$5*V84</f>
        <v>0</v>
      </c>
      <c r="Q84">
        <f>Q$5*V84</f>
        <v>0</v>
      </c>
      <c r="R84">
        <f>R$5*V84</f>
        <v>0</v>
      </c>
      <c r="S84">
        <f>S$5*V84</f>
        <v>0</v>
      </c>
      <c r="U84" t="s">
        <v>1303</v>
      </c>
      <c r="V84">
        <f>_xlfn.XLOOKUP(U84,'KPI Impacts'!$B$2:$H$2,'KPI Impacts'!$B84:$H84)</f>
        <v>0</v>
      </c>
      <c r="X84" s="17"/>
      <c r="Y84" s="12" cm="1">
        <f t="array" ref="Y84">_xlfn.SWITCH(Y$4, 0,0, 1, AJ84,2,AL84,3,AN84,0)</f>
        <v>0</v>
      </c>
      <c r="Z84" s="12" cm="1">
        <f t="array" ref="Z84">_xlfn.SWITCH(Z$4, 0,0, 1, AJ84,2,AL84,3,AN84,0)+Y84</f>
        <v>0</v>
      </c>
      <c r="AA84" s="12" cm="1">
        <f t="array" ref="AA84">_xlfn.SWITCH(AA$4, 0,0, 1, AJ84,2,AL84,3,AN84,0)+Z84</f>
        <v>0</v>
      </c>
      <c r="AB84" s="12" cm="1">
        <f t="array" ref="AB84">_xlfn.SWITCH(AB$4, 0,0, 1, AJ84,2,AL84,3,AN84,0)+AA84</f>
        <v>0</v>
      </c>
      <c r="AC84" s="12" cm="1">
        <f t="array" ref="AC84">_xlfn.SWITCH(AC$4, 0,0, 1, AJ84,2,AL84,3,AN84,0)+AB84</f>
        <v>0</v>
      </c>
      <c r="AD84" s="12" cm="1">
        <f t="array" ref="AD84">_xlfn.SWITCH(AD$4, 0,0, 1, AJ84,2,AL84,3,AN84,0)+AC84</f>
        <v>0</v>
      </c>
      <c r="AE84" s="12" cm="1">
        <f t="array" ref="AE84">_xlfn.SWITCH(AE$4, 0,0, 1, AJ84,2,AL84,3,AN84,0)+AD84</f>
        <v>0</v>
      </c>
      <c r="AF84" s="12" cm="1">
        <f t="array" ref="AF84">_xlfn.SWITCH(AF$4, 0,0, 1, AJ84,2,AL84,3,AN84,0)+AE84</f>
        <v>0</v>
      </c>
      <c r="AG84" s="12" cm="1">
        <f t="array" ref="AG84">_xlfn.SWITCH(AG$4, 0,0, 1, AJ84,2,AL84,3,AN84,0)+AF84</f>
        <v>0</v>
      </c>
      <c r="AI84" t="s">
        <v>1303</v>
      </c>
      <c r="AJ84">
        <f>_xlfn.XLOOKUP(AI84,'KPI Impacts'!$K$2:$Q$2,'KPI Impacts'!$K84:$Q84)</f>
        <v>0</v>
      </c>
      <c r="AK84" t="s">
        <v>1303</v>
      </c>
      <c r="AL84">
        <f>_xlfn.XLOOKUP(AK84,'KPI Impacts'!$K$2:$Q$2,'KPI Impacts'!$K84:$Q84)</f>
        <v>0</v>
      </c>
      <c r="AM84" t="s">
        <v>1303</v>
      </c>
      <c r="AN84">
        <f>_xlfn.XLOOKUP(AM84,'KPI Impacts'!$K$2:$Q$2,'KPI Impacts'!$K84:$Q84)</f>
        <v>0</v>
      </c>
      <c r="AP84" s="17"/>
      <c r="AQ84" s="12" cm="1">
        <f t="array" ref="AQ84">_xlfn.SWITCH(AQ$4, 0,0, 1, BB84,2,BD84,3,BF84,0)</f>
        <v>0</v>
      </c>
      <c r="AR84" s="12" cm="1">
        <f t="array" ref="AR84">_xlfn.SWITCH(AR$4, 0,0, 1, BB84,2,BD84,3,BF84,0)+AQ84</f>
        <v>0</v>
      </c>
      <c r="AS84" s="12" cm="1">
        <f t="array" ref="AS84">_xlfn.SWITCH(AS$4, 0,0, 1, BB84,2,BD84,3,BF84,0)+AR84</f>
        <v>0</v>
      </c>
      <c r="AT84" s="12" cm="1">
        <f t="array" ref="AT84">_xlfn.SWITCH(AT$4, 0,0, 1, BB84,2,BD84,3,BF84,0)+AS84</f>
        <v>0</v>
      </c>
      <c r="AU84" s="12" cm="1">
        <f t="array" ref="AU84">_xlfn.SWITCH(AU$4, 0,0, 1, BB84,2,BD84,3,BF84,0)+AT84</f>
        <v>0</v>
      </c>
      <c r="AV84" s="12" cm="1">
        <f t="array" ref="AV84">_xlfn.SWITCH(AV$4, 0,0, 1, BB84,2,BD84,3,BF84,0)+AU84</f>
        <v>0</v>
      </c>
      <c r="AW84" s="12" cm="1">
        <f t="array" ref="AW84">_xlfn.SWITCH(AW$4, 0,0, 1, BB84,2,BD84,3,BF84,0)+AV84</f>
        <v>0</v>
      </c>
      <c r="AX84" s="12" cm="1">
        <f t="array" ref="AX84">_xlfn.SWITCH(AX$4, 0,0, 1, BB84,2,BD84,3,BF84,0)+AW84</f>
        <v>0</v>
      </c>
      <c r="AY84" s="12" cm="1">
        <f t="array" ref="AY84">_xlfn.SWITCH(AY$4, 0,0, 1, BB84,2,BD84,3,BF84,0)+AX84</f>
        <v>0</v>
      </c>
      <c r="BA84" t="s">
        <v>1303</v>
      </c>
      <c r="BB84">
        <f>_xlfn.XLOOKUP(BA84,'KPI Impacts'!$K$2:$Q$2,'KPI Impacts'!$K84:$Q84)</f>
        <v>0</v>
      </c>
      <c r="BC84" t="s">
        <v>1303</v>
      </c>
      <c r="BD84">
        <f>_xlfn.XLOOKUP(BC84,'KPI Impacts'!$K$2:$Q$2,'KPI Impacts'!$K84:$Q84)</f>
        <v>0</v>
      </c>
      <c r="BE84" t="s">
        <v>1303</v>
      </c>
      <c r="BF84">
        <f>_xlfn.XLOOKUP(BE84,'KPI Impacts'!$K$2:$Q$2,'KPI Impacts'!$K84:$Q84)</f>
        <v>0</v>
      </c>
      <c r="BH84" s="17"/>
      <c r="BI84" s="12">
        <f>BI$22*BT84</f>
        <v>0</v>
      </c>
      <c r="BJ84" s="12">
        <f>BJ$22 * IF(AND(BI$5=1,BI$20=1), BV84, BT84)</f>
        <v>0</v>
      </c>
      <c r="BK84" s="12">
        <f>BK$22 * IF(AND(BJ$5=1,BI$20=1), BV84, BT84)</f>
        <v>0</v>
      </c>
      <c r="BL84" s="12">
        <f>BL$22 * IF(AND(BK$5=1,BI$20=1), BV84, BT84)</f>
        <v>0</v>
      </c>
      <c r="BM84" s="12">
        <f>BM$22 * IF(AND(BL$5=1,BI$20=1), BV84, BT84)</f>
        <v>0</v>
      </c>
      <c r="BN84" s="12">
        <f>BN$22 * IF(AND(BM$5=1,BI$20=1), BV84, BT84)</f>
        <v>0</v>
      </c>
      <c r="BO84" s="12">
        <f>BO$22 * IF(AND(BN$5=1,BI$20=1), BV84, BT84)</f>
        <v>0</v>
      </c>
      <c r="BP84" s="12">
        <f>BP$22 * IF(AND(BO$5=1,BI$20=1), BV84, BT84)</f>
        <v>0</v>
      </c>
      <c r="BQ84" s="12">
        <f>BQ$22 * IF(AND(BP$5=1,BI$20=1), BV84, BT84)</f>
        <v>0</v>
      </c>
      <c r="BS84" s="16" t="s">
        <v>1303</v>
      </c>
      <c r="BT84">
        <f>_xlfn.XLOOKUP(BS84,'KPI Impacts'!$B$2:$H$2,'KPI Impacts'!$B84:$H84)</f>
        <v>0</v>
      </c>
      <c r="BU84" s="35" t="s">
        <v>1303</v>
      </c>
      <c r="BV84">
        <f>_xlfn.XLOOKUP(BU84,'KPI Impacts'!$B$2:$H$2,'KPI Impacts'!$B84:$H84)</f>
        <v>0</v>
      </c>
      <c r="BX84" s="17"/>
      <c r="BY84" s="12">
        <f>BY$22*CJ84</f>
        <v>0</v>
      </c>
      <c r="BZ84" s="12">
        <f>BZ$22 * IF(AND(BY$5=1,BY$20=1), CL84, CJ84)</f>
        <v>0</v>
      </c>
      <c r="CA84" s="12">
        <f>CA$22 * IF(AND(BZ$5=1,BY$20=1), CL84, CJ84)</f>
        <v>0</v>
      </c>
      <c r="CB84" s="12">
        <f>CB$22 * IF(AND(CA$5=1,BY$20=1), CL84, CJ84)</f>
        <v>0</v>
      </c>
      <c r="CC84" s="12">
        <f>CC$22 * IF(AND(CB$5=1,BY$20=1), CL84, CJ84)</f>
        <v>0</v>
      </c>
      <c r="CD84" s="12">
        <f>CD$22 * IF(AND(CC$5=1,BY$20=1), CL84, CJ84)</f>
        <v>0</v>
      </c>
      <c r="CE84" s="12">
        <f>CE$22 * IF(AND(CD$5=1,BY$20=1), CL84, CJ84)</f>
        <v>0</v>
      </c>
      <c r="CF84" s="12">
        <f>CF$22 * IF(AND(CE$5=1,BY$20=1), CL84, CJ84)</f>
        <v>0</v>
      </c>
      <c r="CG84" s="12">
        <f>CG$22 * IF(AND(CF$5=1,BY$20=1), CL84, CJ84)</f>
        <v>0</v>
      </c>
      <c r="CI84" s="16" t="s">
        <v>1303</v>
      </c>
      <c r="CJ84">
        <f>_xlfn.XLOOKUP(CI84,'KPI Impacts'!$B$2:$H$2,'KPI Impacts'!$B84:$H84)</f>
        <v>0</v>
      </c>
      <c r="CK84" s="35" t="s">
        <v>1303</v>
      </c>
      <c r="CL84">
        <f>_xlfn.XLOOKUP(CK84,'KPI Impacts'!$B$2:$H$2,'KPI Impacts'!$B84:$H84)</f>
        <v>0</v>
      </c>
      <c r="CN84" s="17"/>
      <c r="CO84" s="12">
        <f>CO$22*CZ84</f>
        <v>0</v>
      </c>
      <c r="CP84" s="12">
        <f>CP$22 * IF(AND(CO$5=1,CO$20=1), DB84, CZ84)</f>
        <v>0</v>
      </c>
      <c r="CQ84" s="12">
        <f>CQ$22 * IF(AND(CP$5=1,CO$20=1), DB84, CZ84)</f>
        <v>0</v>
      </c>
      <c r="CR84" s="12">
        <f>CR$22 * IF(AND(CQ$5=1,CO$20=1), DB84, CZ84)</f>
        <v>0</v>
      </c>
      <c r="CS84" s="12">
        <f>CS$22 * IF(AND(CR$5=1,CO$20=1), DB84, CZ84)</f>
        <v>0</v>
      </c>
      <c r="CT84" s="12">
        <f>CT$22 * IF(AND(CS$5=1,CO$20=1), DB84, CZ84)</f>
        <v>0</v>
      </c>
      <c r="CU84" s="12">
        <f>CU$22 * IF(AND(CT$5=1,CO$20=1), DB84, CZ84)</f>
        <v>0</v>
      </c>
      <c r="CV84" s="12">
        <f>CV$22 * IF(AND(CU$5=1,CO$20=1), DB84, CZ84)</f>
        <v>0</v>
      </c>
      <c r="CW84" s="12">
        <f>CW$22 * IF(AND(CV$5=1,CO$20=1), DB84, CZ84)</f>
        <v>0</v>
      </c>
      <c r="CY84" s="16" t="s">
        <v>1303</v>
      </c>
      <c r="CZ84">
        <f>_xlfn.XLOOKUP(CY84,'KPI Impacts'!$B$2:$H$2,'KPI Impacts'!$B84:$H84)</f>
        <v>0</v>
      </c>
      <c r="DA84" s="35" t="s">
        <v>1303</v>
      </c>
      <c r="DB84">
        <f>_xlfn.XLOOKUP(DA84,'KPI Impacts'!$B$2:$H$2,'KPI Impacts'!$B84:$H84)</f>
        <v>0</v>
      </c>
      <c r="DD84" s="17"/>
      <c r="DE84" s="12">
        <f>DE$22*DP84</f>
        <v>0</v>
      </c>
      <c r="DF84" s="12">
        <f>DF$22 * IF(AND(DE$5=1,DE$20=1), DR84, DP84)</f>
        <v>0</v>
      </c>
      <c r="DG84" s="12">
        <f>DG$22 * IF(AND(DF$5=1,DE$20=1), DR84, DP84)</f>
        <v>0</v>
      </c>
      <c r="DH84" s="12">
        <f>DH$22 * IF(AND(DG$5=1,DE$20=1), DR84, DP84)</f>
        <v>0</v>
      </c>
      <c r="DI84" s="12">
        <f>DI$22 * IF(AND(DH$5=1,DE$20=1), DR84, DP84)</f>
        <v>0</v>
      </c>
      <c r="DJ84" s="12">
        <f>DJ$22 * IF(AND(DI$5=1,DE$20=1), DR84, DP84)</f>
        <v>0</v>
      </c>
      <c r="DK84" s="12">
        <f>DK$22 * IF(AND(DJ$5=1,DE$20=1), DR84, DP84)</f>
        <v>0</v>
      </c>
      <c r="DL84" s="12">
        <f>DL$22 * IF(AND(DK$5=1,DE$20=1), DR84, DP84)</f>
        <v>0</v>
      </c>
      <c r="DM84" s="12">
        <f>DM$22 * IF(AND(DL$5=1,DE$20=1), DR84, DP84)</f>
        <v>0</v>
      </c>
      <c r="DO84" s="16" t="s">
        <v>1303</v>
      </c>
      <c r="DP84">
        <f>_xlfn.XLOOKUP(DO84,'KPI Impacts'!$B$2:$H$2,'KPI Impacts'!$B84:$H84)</f>
        <v>0</v>
      </c>
      <c r="DQ84" s="35" t="s">
        <v>1303</v>
      </c>
      <c r="DR84">
        <f>_xlfn.XLOOKUP(DQ84,'KPI Impacts'!$B$2:$H$2,'KPI Impacts'!$B84:$H84)</f>
        <v>0</v>
      </c>
      <c r="DT84" s="17"/>
      <c r="DU84" s="12">
        <f>DU$22*EF84</f>
        <v>0</v>
      </c>
      <c r="DV84" s="12">
        <f>DV$22 * IF(AND(DU$5=1,DU$20=1), EH84, EF84)</f>
        <v>0</v>
      </c>
      <c r="DW84" s="12">
        <f>DW$22 * IF(AND(DV$5=1,DU$20=1), EH84, EF84)</f>
        <v>0</v>
      </c>
      <c r="DX84" s="12">
        <f>DX$22 * IF(AND(DW$5=1,DU$20=1), EH84, EF84)</f>
        <v>0</v>
      </c>
      <c r="DY84" s="12">
        <f>DY$22 * IF(AND(DX$5=1,DU$20=1), EH84, EF84)</f>
        <v>0</v>
      </c>
      <c r="DZ84" s="12">
        <f>DZ$22 * IF(AND(DY$5=1,DU$20=1), EH84, EF84)</f>
        <v>0</v>
      </c>
      <c r="EA84" s="12">
        <f>EA$22 * IF(AND(DZ$5=1,DU$20=1), EH84, EF84)</f>
        <v>0</v>
      </c>
      <c r="EB84" s="12">
        <f>EB$22 * IF(AND(EA$5=1,DU$20=1), EH84, EF84)</f>
        <v>0</v>
      </c>
      <c r="EC84" s="12">
        <f>EC$22 * IF(AND(EB$5=1,DU$20=1), EH84, EF84)</f>
        <v>0</v>
      </c>
      <c r="EE84" s="16" t="s">
        <v>1303</v>
      </c>
      <c r="EF84">
        <f>_xlfn.XLOOKUP(EE84,'KPI Impacts'!$B$2:$H$2,'KPI Impacts'!$B84:$H84)</f>
        <v>0</v>
      </c>
      <c r="EG84" s="35" t="s">
        <v>1303</v>
      </c>
      <c r="EH84">
        <f>_xlfn.XLOOKUP(EG84,'KPI Impacts'!$B$2:$H$2,'KPI Impacts'!$B84:$H84)</f>
        <v>0</v>
      </c>
      <c r="EJ84" s="17"/>
      <c r="EK84" s="12">
        <f>EK$22*EV84</f>
        <v>0</v>
      </c>
      <c r="EL84" s="12">
        <f>EL$22 * IF(AND(EK$5=1,EK$20=1), EX84, EV84)</f>
        <v>0</v>
      </c>
      <c r="EM84" s="12">
        <f>EM$22 * IF(AND(EL$5=1,EK$20=1), EX84, EV84)</f>
        <v>0</v>
      </c>
      <c r="EN84" s="12">
        <f>EN$22 * IF(AND(EM$5=1,EK$20=1), EX84, EV84)</f>
        <v>0</v>
      </c>
      <c r="EO84" s="12">
        <f>EO$22 * IF(AND(EN$5=1,EK$20=1), EX84, EV84)</f>
        <v>0</v>
      </c>
      <c r="EP84" s="12">
        <f>EP$22 * IF(AND(EO$5=1,EK$20=1), EX84, EV84)</f>
        <v>0</v>
      </c>
      <c r="EQ84" s="12">
        <f>EQ$22 * IF(AND(EP$5=1,EK$20=1), EX84, EV84)</f>
        <v>0</v>
      </c>
      <c r="ER84" s="12">
        <f>ER$22 * IF(AND(EQ$5=1,EK$20=1), EX84, EV84)</f>
        <v>0</v>
      </c>
      <c r="ES84" s="12">
        <f>ES$22 * IF(AND(ER$5=1,EK$20=1), EX84, EV84)</f>
        <v>0</v>
      </c>
      <c r="EU84" s="16" t="s">
        <v>1303</v>
      </c>
      <c r="EV84">
        <f>_xlfn.XLOOKUP(EU84,'KPI Impacts'!$B$2:$H$2,'KPI Impacts'!$B84:$H84)</f>
        <v>0</v>
      </c>
      <c r="EW84" s="35" t="s">
        <v>1303</v>
      </c>
      <c r="EX84">
        <f>_xlfn.XLOOKUP(EW84,'KPI Impacts'!$B$2:$H$2,'KPI Impacts'!$B84:$H84)</f>
        <v>0</v>
      </c>
      <c r="EZ84" s="17"/>
      <c r="FA84" s="12">
        <f>FA$22*FL84</f>
        <v>0</v>
      </c>
      <c r="FB84" s="12">
        <f>FB$22 * IF(AND(FA$5=1,FA$20=1), FN84, FL84)</f>
        <v>0</v>
      </c>
      <c r="FC84" s="12">
        <f>FC$22 * IF(AND(FB$5=1,FA$20=1), FN84, FL84)</f>
        <v>0</v>
      </c>
      <c r="FD84" s="12">
        <f>FD$22 * IF(AND(FC$5=1,FA$20=1), FN84, FL84)</f>
        <v>0</v>
      </c>
      <c r="FE84" s="12">
        <f>FE$22 * IF(AND(FD$5=1,FA$20=1), FN84, FL84)</f>
        <v>0</v>
      </c>
      <c r="FF84" s="12">
        <f>FF$22 * IF(AND(FE$5=1,FA$20=1), FN84, FL84)</f>
        <v>0</v>
      </c>
      <c r="FG84" s="12">
        <f>FG$22 * IF(AND(FF$5=1,FA$20=1), FN84, FL84)</f>
        <v>0</v>
      </c>
      <c r="FH84" s="12">
        <f>FH$22 * IF(AND(FG$5=1,FA$20=1), FN84, FL84)</f>
        <v>0</v>
      </c>
      <c r="FI84" s="12">
        <f>FI$22 * IF(AND(FH$5=1,FA$20=1), FN84, FL84)</f>
        <v>0</v>
      </c>
      <c r="FK84" s="16" t="s">
        <v>1303</v>
      </c>
      <c r="FL84">
        <f>_xlfn.XLOOKUP(FK84,'KPI Impacts'!$B$2:$H$2,'KPI Impacts'!$B84:$H84)</f>
        <v>0</v>
      </c>
      <c r="FM84" s="16" t="s">
        <v>1303</v>
      </c>
      <c r="FN84">
        <f>_xlfn.XLOOKUP(FM84,'KPI Impacts'!$B$2:$H$2,'KPI Impacts'!$B84:$H84)</f>
        <v>0</v>
      </c>
      <c r="FP84" s="17"/>
      <c r="FQ84" s="12">
        <f>FQ$22*GB84</f>
        <v>0</v>
      </c>
      <c r="FR84" s="12">
        <f>FR$22 * IF(AND(FQ$5=1,FQ$20=1), GD84, GB84)</f>
        <v>0</v>
      </c>
      <c r="FS84" s="12">
        <f>FS$22 * IF(AND(FR$5=1,FQ$20=1), GD84, GB84)</f>
        <v>0</v>
      </c>
      <c r="FT84" s="12">
        <f>FT$22 * IF(AND(FS$5=1,FQ$20=1), GD84, GB84)</f>
        <v>0</v>
      </c>
      <c r="FU84" s="12">
        <f>FU$22 * IF(AND(FT$5=1,FQ$20=1), GD84, GB84)</f>
        <v>0</v>
      </c>
      <c r="FV84" s="12">
        <f>FV$22 * IF(AND(FU$5=1,FQ$20=1), GD84, GB84)</f>
        <v>0</v>
      </c>
      <c r="FW84" s="12">
        <f>FW$22 * IF(AND(FV$5=1,FQ$20=1), GD84, GB84)</f>
        <v>0</v>
      </c>
      <c r="FX84" s="12">
        <f>FX$22 * IF(AND(FW$5=1,FQ$20=1), GD84, GB84)</f>
        <v>0</v>
      </c>
      <c r="FY84" s="12">
        <f>FY$22 * IF(AND(FX$5=1,FQ$20=1), GD84, GB84)</f>
        <v>0</v>
      </c>
      <c r="GA84" s="16" t="s">
        <v>1303</v>
      </c>
      <c r="GB84">
        <f>_xlfn.XLOOKUP(GA84,'KPI Impacts'!$B$2:$H$2,'KPI Impacts'!$B84:$H84)</f>
        <v>0</v>
      </c>
      <c r="GC84" s="9" t="s">
        <v>1303</v>
      </c>
      <c r="GD84">
        <f>_xlfn.XLOOKUP(GC84,'KPI Impacts'!$B$2:$H$2,'KPI Impacts'!$B84:$H84)</f>
        <v>0</v>
      </c>
      <c r="GF84" s="17"/>
      <c r="GG84" s="12">
        <f>GG$22*GR84</f>
        <v>0</v>
      </c>
      <c r="GH84" s="12">
        <f>GH$22 * IF(AND(GG$5=1,GG$20=1), GT84, GR84)</f>
        <v>0</v>
      </c>
      <c r="GI84" s="12">
        <f>GI$22 * IF(AND(GH$5=1,GG$20=1), GT84, GR84)</f>
        <v>0</v>
      </c>
      <c r="GJ84" s="12">
        <f>GJ$22 * IF(AND(GI$5=1,GG$20=1), GT84, GR84)</f>
        <v>0</v>
      </c>
      <c r="GK84" s="12">
        <f>GK$22 * IF(AND(GJ$5=1,GG$20=1), GT84, GR84)</f>
        <v>0</v>
      </c>
      <c r="GL84" s="12">
        <f>GL$22 * IF(AND(GK$5=1,GG$20=1), GT84, GR84)</f>
        <v>0</v>
      </c>
      <c r="GM84" s="12">
        <f>GM$22 * IF(AND(GL$5=1,GG$20=1), GT84, GR84)</f>
        <v>0</v>
      </c>
      <c r="GN84" s="12">
        <f>GN$22 * IF(AND(GM$5=1,GG$20=1), GT84, GR84)</f>
        <v>0</v>
      </c>
      <c r="GO84" s="12">
        <f>GO$22 * IF(AND(GN$5=1,GG$20=1), GT84, GR84)</f>
        <v>0</v>
      </c>
      <c r="GQ84" s="16" t="s">
        <v>1303</v>
      </c>
      <c r="GR84">
        <f>_xlfn.XLOOKUP(GQ84,'KPI Impacts'!$B$2:$H$2,'KPI Impacts'!$B84:$H84)</f>
        <v>0</v>
      </c>
      <c r="GS84" s="9" t="s">
        <v>1303</v>
      </c>
      <c r="GT84">
        <f>_xlfn.XLOOKUP(GS84,'KPI Impacts'!$B$2:$H$2,'KPI Impacts'!$B84:$H84)</f>
        <v>0</v>
      </c>
      <c r="GW84" s="12">
        <f>GW$22*HH84</f>
        <v>0</v>
      </c>
      <c r="GX84" s="12">
        <f>GX$22 * IF(AND(GW$5=1,GW$20=1), HJ84, HH84)</f>
        <v>0</v>
      </c>
      <c r="GY84" s="12">
        <f>GY$22 * IF(AND(GX$5=1,GW$20=1), HJ84, HH84)</f>
        <v>0</v>
      </c>
      <c r="GZ84" s="12">
        <f>GZ$22 * IF(AND(GY$5=1,GW$20=1), HJ84, HH84)</f>
        <v>0</v>
      </c>
      <c r="HA84" s="12">
        <f>HA$22 * IF(AND(GZ$5=1,GW$20=1), HJ84, HH84)</f>
        <v>0</v>
      </c>
      <c r="HB84" s="12">
        <f>HB$22 * IF(AND(HA$5=1,GW$20=1), HJ84, HH84)</f>
        <v>0</v>
      </c>
      <c r="HC84" s="12">
        <f>HC$22 * IF(AND(HB$5=1,GW$20=1), HJ84, HH84)</f>
        <v>0</v>
      </c>
      <c r="HD84" s="12">
        <f>HD$22 * IF(AND(HC$5=1,GW$20=1), HJ84, HH84)</f>
        <v>0</v>
      </c>
      <c r="HE84" s="12">
        <f>HE$22 * IF(AND(HD$5=1,GW$20=1), HJ84, HH84)</f>
        <v>0</v>
      </c>
      <c r="HG84" s="16" t="s">
        <v>1303</v>
      </c>
      <c r="HH84">
        <f>_xlfn.XLOOKUP(HG84,'KPI Impacts'!$B$2:$H$2,'KPI Impacts'!$B84:$H84)</f>
        <v>0</v>
      </c>
      <c r="HI84" s="9" t="s">
        <v>1303</v>
      </c>
      <c r="HJ84">
        <f>_xlfn.XLOOKUP(HI84,'KPI Impacts'!$B$2:$H$2,'KPI Impacts'!$B84:$H84)</f>
        <v>0</v>
      </c>
      <c r="HM84" s="12">
        <f>HM$22*HX84</f>
        <v>0</v>
      </c>
      <c r="HN84" s="12">
        <f>HN$22 * IF(AND(HM$5=1,HM$20=1), HZ84, HX84)</f>
        <v>0</v>
      </c>
      <c r="HO84" s="12">
        <f>HO$22 * IF(AND(HN$5=1,HM$20=1), HZ84, HX84)</f>
        <v>0</v>
      </c>
      <c r="HP84" s="12">
        <f>HP$22 * IF(AND(HO$5=1,HM$20=1), HZ84, HX84)</f>
        <v>0</v>
      </c>
      <c r="HQ84" s="12">
        <f>HQ$22 * IF(AND(HP$5=1,HM$20=1), HZ84, HX84)</f>
        <v>0</v>
      </c>
      <c r="HR84" s="12">
        <f>HR$22 * IF(AND(HQ$5=1,HM$20=1), HZ84, HX84)</f>
        <v>0</v>
      </c>
      <c r="HS84" s="12">
        <f>HS$22 * IF(AND(HR$5=1,HM$20=1), HZ84, HX84)</f>
        <v>0</v>
      </c>
      <c r="HT84" s="12">
        <f>HT$22 * IF(AND(HS$5=1,HM$20=1), HZ84, HX84)</f>
        <v>0</v>
      </c>
      <c r="HU84" s="12">
        <f>HU$22 * IF(AND(HT$5=1,HM$20=1), HZ84, HX84)</f>
        <v>0</v>
      </c>
      <c r="HW84" s="16" t="s">
        <v>1303</v>
      </c>
      <c r="HX84">
        <f>_xlfn.XLOOKUP(HW84,'KPI Impacts'!$B$2:$H$2,'KPI Impacts'!$B84:$H84)</f>
        <v>0</v>
      </c>
      <c r="HY84" s="9" t="s">
        <v>1303</v>
      </c>
      <c r="HZ84">
        <f>_xlfn.XLOOKUP(HY84,'KPI Impacts'!$B$2:$H$2,'KPI Impacts'!$B84:$H84)</f>
        <v>0</v>
      </c>
      <c r="IC84" s="12">
        <f>IC$22*IN84</f>
        <v>0</v>
      </c>
      <c r="ID84" s="12">
        <f>ID$22 * IF(AND(IC$5=1,IC$20=1), IP84, IN84)</f>
        <v>0</v>
      </c>
      <c r="IE84" s="12">
        <f>IE$22 * IF(AND(ID$5=1,IC$20=1), IP84, IN84)</f>
        <v>0</v>
      </c>
      <c r="IF84" s="12">
        <f>IF$22 * IF(AND(IE$5=1,IC$20=1), IP84, IN84)</f>
        <v>0</v>
      </c>
      <c r="IG84" s="12">
        <f>IG$22 * IF(AND(IF$5=1,IC$20=1), IP84, IN84)</f>
        <v>0</v>
      </c>
      <c r="IH84" s="12">
        <f>IH$22 * IF(AND(IG$5=1,IC$20=1), IP84, IN84)</f>
        <v>0</v>
      </c>
      <c r="II84" s="12">
        <f>II$22 * IF(AND(IH$5=1,IC$20=1), IP84, IN84)</f>
        <v>0</v>
      </c>
      <c r="IJ84" s="12">
        <f>IJ$22 * IF(AND(II$5=1,IC$20=1), IP84, IN84)</f>
        <v>0</v>
      </c>
      <c r="IK84" s="12">
        <f>IK$22 * IF(AND(IJ$5=1,IC$20=1), IP84, IN84)</f>
        <v>0</v>
      </c>
      <c r="IM84" s="16" t="s">
        <v>1303</v>
      </c>
      <c r="IN84">
        <f>_xlfn.XLOOKUP(IM84,'KPI Impacts'!$B$2:$H$2,'KPI Impacts'!$B84:$H84)</f>
        <v>0</v>
      </c>
      <c r="IO84" s="9" t="s">
        <v>1303</v>
      </c>
      <c r="IP84">
        <f>_xlfn.XLOOKUP(IO84,'KPI Impacts'!$B$2:$H$2,'KPI Impacts'!$B84:$H84)</f>
        <v>0</v>
      </c>
      <c r="IS84" s="12">
        <f>IS$22*JD84</f>
        <v>0</v>
      </c>
      <c r="IT84" s="12">
        <f>IT$22 * IF(AND(IS$5=1,IS$20=1), JF84, JD84)</f>
        <v>0</v>
      </c>
      <c r="IU84" s="12">
        <f>IU$22 * IF(AND(IT$5=1,IS$20=1), JF84, JD84)</f>
        <v>0</v>
      </c>
      <c r="IV84" s="12">
        <f>IV$22 * IF(AND(IU$5=1,IS$20=1), JF84, JD84)</f>
        <v>0</v>
      </c>
      <c r="IW84" s="12">
        <f>IW$22 * IF(AND(IV$5=1,IS$20=1), JF84, JD84)</f>
        <v>0</v>
      </c>
      <c r="IX84" s="12">
        <f>IX$22 * IF(AND(IW$5=1,IS$20=1), JF84, JD84)</f>
        <v>0</v>
      </c>
      <c r="IY84" s="12">
        <f>IY$22 * IF(AND(IX$5=1,IS$20=1), JF84, JD84)</f>
        <v>0</v>
      </c>
      <c r="IZ84" s="12">
        <f>IZ$22 * IF(AND(IY$5=1,IS$20=1), JF84, JD84)</f>
        <v>0</v>
      </c>
      <c r="JA84" s="12">
        <f>JA$22 * IF(AND(IZ$5=1,IS$20=1), JF84, JD84)</f>
        <v>0</v>
      </c>
      <c r="JC84" t="s">
        <v>1303</v>
      </c>
      <c r="JD84">
        <f>_xlfn.XLOOKUP(JC84,'KPI Impacts'!$B$2:$H$2,'KPI Impacts'!$B84:$H84)</f>
        <v>0</v>
      </c>
      <c r="JE84" s="9" t="s">
        <v>1303</v>
      </c>
      <c r="JF84">
        <f>_xlfn.XLOOKUP(JE84,'KPI Impacts'!$B$2:$H$2,'KPI Impacts'!$B84:$H84)</f>
        <v>0</v>
      </c>
      <c r="JI84" s="12">
        <f>JI$22*JT84</f>
        <v>0</v>
      </c>
      <c r="JJ84" s="12">
        <f>JJ$22 * IF(AND(JI$5=1,JI$20=1), JV84, JT84)</f>
        <v>0</v>
      </c>
      <c r="JK84" s="12">
        <f>JK$22 * IF(AND(JJ$5=1,JI$20=1), JV84, JT84)</f>
        <v>0</v>
      </c>
      <c r="JL84" s="12">
        <f>JL$22 * IF(AND(JK$5=1,JI$20=1), JV84, JT84)</f>
        <v>0</v>
      </c>
      <c r="JM84" s="12">
        <f>JM$22 * IF(AND(JL$5=1,JI$20=1), JV84, JT84)</f>
        <v>0</v>
      </c>
      <c r="JN84" s="12">
        <f>JN$22 * IF(AND(JM$5=1,JI$20=1), JV84, JT84)</f>
        <v>0</v>
      </c>
      <c r="JO84" s="12">
        <f>JO$22 * IF(AND(JN$5=1,JI$20=1), JV84, JT84)</f>
        <v>0</v>
      </c>
      <c r="JP84" s="12">
        <f>JP$22 * IF(AND(JO$5=1,JI$20=1), JV84, JT84)</f>
        <v>0</v>
      </c>
      <c r="JQ84" s="12">
        <f>JQ$22 * IF(AND(JP$5=1,JI$20=1), JV84, JT84)</f>
        <v>0</v>
      </c>
      <c r="JS84" t="s">
        <v>1303</v>
      </c>
      <c r="JT84">
        <f>_xlfn.XLOOKUP(JS84,'KPI Impacts'!$B$2:$H$2,'KPI Impacts'!$B84:$H84)</f>
        <v>0</v>
      </c>
      <c r="JU84" s="9" t="s">
        <v>1303</v>
      </c>
      <c r="JV84">
        <f>_xlfn.XLOOKUP(JU84,'KPI Impacts'!$B$2:$H$2,'KPI Impacts'!$B84:$H84)</f>
        <v>0</v>
      </c>
      <c r="JY84" s="12">
        <f>JY$22*KJ84</f>
        <v>0</v>
      </c>
      <c r="JZ84" s="12">
        <f>JZ$22 * IF(AND(JY$5=1,JY$20=1), KL84, KJ84)</f>
        <v>0</v>
      </c>
      <c r="KA84" s="12">
        <f>KA$22 * IF(AND(JZ$5=1,JY$20=1), KL84, KJ84)</f>
        <v>0</v>
      </c>
      <c r="KB84" s="12">
        <f>KB$22 * IF(AND(KA$5=1,JY$20=1), KL84, KJ84)</f>
        <v>0</v>
      </c>
      <c r="KC84" s="12">
        <f>KC$22 * IF(AND(KB$5=1,JY$20=1), KL84, KJ84)</f>
        <v>0</v>
      </c>
      <c r="KD84" s="12">
        <f>KD$22 * IF(AND(KC$5=1,JY$20=1), KL84, KJ84)</f>
        <v>0</v>
      </c>
      <c r="KE84" s="12">
        <f>KE$22 * IF(AND(KD$5=1,JY$20=1), KL84, KJ84)</f>
        <v>0</v>
      </c>
      <c r="KF84" s="12">
        <f>KF$22 * IF(AND(KE$5=1,JY$20=1), KL84, KJ84)</f>
        <v>0</v>
      </c>
      <c r="KG84" s="12">
        <f>KG$22 * IF(AND(KF$5=1,JY$20=1), KL84, KJ84)</f>
        <v>0</v>
      </c>
      <c r="KI84" t="s">
        <v>1303</v>
      </c>
      <c r="KJ84">
        <f>_xlfn.XLOOKUP(KI84,'KPI Impacts'!$B$2:$H$2,'KPI Impacts'!$B84:$H84)</f>
        <v>0</v>
      </c>
      <c r="KK84" s="9" t="s">
        <v>1303</v>
      </c>
      <c r="KL84">
        <f>_xlfn.XLOOKUP(KK84,'KPI Impacts'!$B$2:$H$2,'KPI Impacts'!$B84:$H84)</f>
        <v>0</v>
      </c>
      <c r="KO84" s="12">
        <f>KO$22*KZ84</f>
        <v>0</v>
      </c>
      <c r="KP84" s="12">
        <f>KP$22 * IF(AND(KO$5=1,KO$20=1), LB84, KZ84)</f>
        <v>0</v>
      </c>
      <c r="KQ84" s="12">
        <f>KQ$22 * IF(AND(KP$5=1,KO$20=1), LB84, KZ84)</f>
        <v>0</v>
      </c>
      <c r="KR84" s="12">
        <f>KR$22 * IF(AND(KQ$5=1,KO$20=1), LB84, KZ84)</f>
        <v>0</v>
      </c>
      <c r="KS84" s="12">
        <f>KS$22 * IF(AND(KR$5=1,KO$20=1), LB84, KZ84)</f>
        <v>0</v>
      </c>
      <c r="KT84" s="12">
        <f>KT$22 * IF(AND(KS$5=1,KO$20=1), LB84, KZ84)</f>
        <v>0</v>
      </c>
      <c r="KU84" s="12">
        <f>KU$22 * IF(AND(KT$5=1,KO$20=1), LB84, KZ84)</f>
        <v>0</v>
      </c>
      <c r="KV84" s="12">
        <f>KV$22 * IF(AND(KU$5=1,KO$20=1), LB84, KZ84)</f>
        <v>0</v>
      </c>
      <c r="KW84" s="12">
        <f>KW$22 * IF(AND(KV$5=1,KO$20=1), LB84, KZ84)</f>
        <v>0</v>
      </c>
      <c r="KY84" t="s">
        <v>1303</v>
      </c>
      <c r="KZ84">
        <f>_xlfn.XLOOKUP(KY84,'KPI Impacts'!$B$2:$H$2,'KPI Impacts'!$B84:$H84)</f>
        <v>0</v>
      </c>
      <c r="LA84" s="9" t="s">
        <v>1303</v>
      </c>
      <c r="LB84">
        <f>_xlfn.XLOOKUP(LA84,'KPI Impacts'!$B$2:$H$2,'KPI Impacts'!$B84:$H84)</f>
        <v>0</v>
      </c>
      <c r="LE84" s="12">
        <f>LE$22*LP84</f>
        <v>0</v>
      </c>
      <c r="LF84" s="12">
        <f>LF$22 * IF(AND(LE$5=1,LE$20=1), LR84, LP84)</f>
        <v>0</v>
      </c>
      <c r="LG84" s="12">
        <f>LG$22 * IF(AND(LF$5=1,LE$20=1), LR84, LP84)</f>
        <v>0</v>
      </c>
      <c r="LH84" s="12">
        <f>LH$22 * IF(AND(LG$5=1,LE$20=1), LR84, LP84)</f>
        <v>0</v>
      </c>
      <c r="LI84" s="12">
        <f>LI$22 * IF(AND(LH$5=1,LE$20=1), LR84, LP84)</f>
        <v>0</v>
      </c>
      <c r="LJ84" s="12">
        <f>LJ$22 * IF(AND(LI$5=1,LE$20=1), LR84, LP84)</f>
        <v>0</v>
      </c>
      <c r="LK84" s="12">
        <f>LK$22 * IF(AND(LJ$5=1,LE$20=1), LR84, LP84)</f>
        <v>0</v>
      </c>
      <c r="LL84" s="12">
        <f>LL$22 * IF(AND(LK$5=1,LE$20=1), LR84, LP84)</f>
        <v>0</v>
      </c>
      <c r="LM84" s="12">
        <f>LM$22 * IF(AND(LL$5=1,LE$20=1), LR84, LP84)</f>
        <v>0</v>
      </c>
      <c r="LO84" t="s">
        <v>1303</v>
      </c>
      <c r="LP84">
        <f>_xlfn.XLOOKUP(LO84,'KPI Impacts'!$B$2:$H$2,'KPI Impacts'!$B84:$H84)</f>
        <v>0</v>
      </c>
      <c r="LQ84" s="9" t="s">
        <v>1303</v>
      </c>
      <c r="LR84">
        <f>_xlfn.XLOOKUP(LQ84,'KPI Impacts'!$B$2:$H$2,'KPI Impacts'!$B84:$H84)</f>
        <v>0</v>
      </c>
      <c r="LU84" s="12">
        <f>LU$22*MF84</f>
        <v>0</v>
      </c>
      <c r="LV84" s="12">
        <f>LV$22 * IF(AND(LU$5=1,LU$20=1), MH84, MF84)</f>
        <v>0</v>
      </c>
      <c r="LW84" s="12">
        <f>LW$22 * IF(AND(LV$5=1,LU$20=1), MH84, MF84)</f>
        <v>0</v>
      </c>
      <c r="LX84" s="12">
        <f>LX$22 * IF(AND(LW$5=1,LU$20=1), MH84, MF84)</f>
        <v>0</v>
      </c>
      <c r="LY84" s="12">
        <f>LY$22 * IF(AND(LX$5=1,LU$20=1), MH84, MF84)</f>
        <v>0</v>
      </c>
      <c r="LZ84" s="12">
        <f>LZ$22 * IF(AND(LY$5=1,LU$20=1), MH84, MF84)</f>
        <v>0</v>
      </c>
      <c r="MA84" s="12">
        <f>MA$22 * IF(AND(LZ$5=1,LU$20=1), MH84, MF84)</f>
        <v>0</v>
      </c>
      <c r="MB84" s="12">
        <f>MB$22 * IF(AND(MA$5=1,LU$20=1), MH84, MF84)</f>
        <v>0</v>
      </c>
      <c r="MC84" s="12">
        <f>MC$22 * IF(AND(MB$5=1,LU$20=1), MH84, MF84)</f>
        <v>0</v>
      </c>
      <c r="ME84" t="s">
        <v>1303</v>
      </c>
      <c r="MF84">
        <f>_xlfn.XLOOKUP(ME84,'KPI Impacts'!$B$2:$H$2,'KPI Impacts'!$B84:$H84)</f>
        <v>0</v>
      </c>
      <c r="MG84" s="9" t="s">
        <v>1303</v>
      </c>
      <c r="MH84">
        <f>_xlfn.XLOOKUP(MG84,'KPI Impacts'!$B$2:$H$2,'KPI Impacts'!$B84:$H84)</f>
        <v>0</v>
      </c>
      <c r="MK84" s="12">
        <f>MK$22*MV84</f>
        <v>0</v>
      </c>
      <c r="ML84" s="12">
        <f>ML$22 * IF(AND(MK$5=1,MK$20=1), MX84, MV84)</f>
        <v>0</v>
      </c>
      <c r="MM84" s="12">
        <f>MM$22 * IF(AND(ML$5=1,MK$20=1), MX84, MV84)</f>
        <v>0</v>
      </c>
      <c r="MN84" s="12">
        <f>MN$22 * IF(AND(MM$5=1,MK$20=1), MX84, MV84)</f>
        <v>0</v>
      </c>
      <c r="MO84" s="12">
        <f>MO$22 * IF(AND(MN$5=1,MK$20=1), MX84, MV84)</f>
        <v>0</v>
      </c>
      <c r="MP84" s="12">
        <f>MP$22 * IF(AND(MO$5=1,MK$20=1), MX84, MV84)</f>
        <v>0</v>
      </c>
      <c r="MQ84" s="12">
        <f>MQ$22 * IF(AND(MP$5=1,MK$20=1), MX84, MV84)</f>
        <v>0</v>
      </c>
      <c r="MR84" s="12">
        <f>MR$22 * IF(AND(MQ$5=1,MK$20=1), MX84, MV84)</f>
        <v>0</v>
      </c>
      <c r="MS84" s="12">
        <f>MS$22 * IF(AND(MR$5=1,MK$20=1), MX84, MV84)</f>
        <v>0</v>
      </c>
      <c r="MU84" t="s">
        <v>1303</v>
      </c>
      <c r="MV84">
        <f>_xlfn.XLOOKUP(MU84,'KPI Impacts'!$B$2:$H$2,'KPI Impacts'!$B84:$H84)</f>
        <v>0</v>
      </c>
      <c r="MW84" s="9" t="s">
        <v>1303</v>
      </c>
      <c r="MX84">
        <f>_xlfn.XLOOKUP(MW84,'KPI Impacts'!$B$2:$H$2,'KPI Impacts'!$B84:$H84)</f>
        <v>0</v>
      </c>
      <c r="NA84" s="12">
        <f>NA$22*NL84</f>
        <v>0</v>
      </c>
      <c r="NB84" s="12">
        <f>NB$22 * IF(AND(NA$5=1,NA$20=1), NN84, NL84)</f>
        <v>0</v>
      </c>
      <c r="NC84" s="12">
        <f>NC$22 * IF(AND(NB$5=1,NA$20=1), NN84, NL84)</f>
        <v>0</v>
      </c>
      <c r="ND84" s="12">
        <f>ND$22 * IF(AND(NC$5=1,NA$20=1), NN84, NL84)</f>
        <v>0</v>
      </c>
      <c r="NE84" s="12">
        <f>NE$22 * IF(AND(ND$5=1,NA$20=1), NN84, NL84)</f>
        <v>0</v>
      </c>
      <c r="NF84" s="12">
        <f>NF$22 * IF(AND(NE$5=1,NA$20=1), NN84, NL84)</f>
        <v>0</v>
      </c>
      <c r="NG84" s="12">
        <f>NG$22 * IF(AND(NF$5=1,NA$20=1), NN84, NL84)</f>
        <v>0</v>
      </c>
      <c r="NH84" s="12">
        <f>NH$22 * IF(AND(NG$5=1,NA$20=1), NN84, NL84)</f>
        <v>0</v>
      </c>
      <c r="NI84" s="12">
        <f>NI$22 * IF(AND(NH$5=1,NA$20=1), NN84, NL84)</f>
        <v>0</v>
      </c>
      <c r="NK84" t="s">
        <v>1303</v>
      </c>
      <c r="NL84">
        <f>_xlfn.XLOOKUP(NK84,'KPI Impacts'!$B$2:$H$2,'KPI Impacts'!$B84:$H84)</f>
        <v>0</v>
      </c>
      <c r="NM84" s="9" t="s">
        <v>1303</v>
      </c>
      <c r="NN84">
        <f>_xlfn.XLOOKUP(NM84,'KPI Impacts'!$B$2:$H$2,'KPI Impacts'!$B84:$H84)</f>
        <v>0</v>
      </c>
      <c r="NQ84" s="12">
        <f>NQ$22*OB84</f>
        <v>0</v>
      </c>
      <c r="NR84" s="12">
        <f>NR$22 * IF(AND(NQ$5=1,NQ$20=1), OD84, OB84)</f>
        <v>0</v>
      </c>
      <c r="NS84" s="12">
        <f>NS$22 * IF(AND(NR$5=1,NQ$20=1), OD84, OB84)</f>
        <v>0</v>
      </c>
      <c r="NT84" s="12">
        <f>NT$22 * IF(AND(NS$5=1,NQ$20=1), OD84, OB84)</f>
        <v>0</v>
      </c>
      <c r="NU84" s="12">
        <f>NU$22 * IF(AND(NT$5=1,NQ$20=1), OD84, OB84)</f>
        <v>0</v>
      </c>
      <c r="NV84" s="12">
        <f>NV$22 * IF(AND(NU$5=1,NQ$20=1), OD84, OB84)</f>
        <v>0</v>
      </c>
      <c r="NW84" s="12">
        <f>NW$22 * IF(AND(NV$5=1,NQ$20=1), OD84, OB84)</f>
        <v>0</v>
      </c>
      <c r="NX84" s="12">
        <f>NX$22 * IF(AND(NW$5=1,NQ$20=1), OD84, OB84)</f>
        <v>0</v>
      </c>
      <c r="NY84" s="12">
        <f>NY$22 * IF(AND(NX$5=1,NQ$20=1), OD84, OB84)</f>
        <v>0</v>
      </c>
      <c r="OA84" t="s">
        <v>1303</v>
      </c>
      <c r="OB84">
        <f>_xlfn.XLOOKUP(OA84,'KPI Impacts'!$B$2:$H$2,'KPI Impacts'!$B84:$H84)</f>
        <v>0</v>
      </c>
      <c r="OC84" s="9" t="s">
        <v>1303</v>
      </c>
      <c r="OD84">
        <f>_xlfn.XLOOKUP(OC84,'KPI Impacts'!$B$2:$H$2,'KPI Impacts'!$B84:$H84)</f>
        <v>0</v>
      </c>
      <c r="OG84" s="12">
        <f>OG$22*OR84</f>
        <v>0</v>
      </c>
      <c r="OH84" s="12">
        <f>OH$22 * IF(AND(OG$5=1,OG$20=1), OT84, OR84)</f>
        <v>0</v>
      </c>
      <c r="OI84" s="12">
        <f>OI$22 * IF(AND(OH$5=1,OG$20=1), OT84, OR84)</f>
        <v>0</v>
      </c>
      <c r="OJ84" s="12">
        <f>OJ$22 * IF(AND(OI$5=1,OG$20=1), OT84, OR84)</f>
        <v>0</v>
      </c>
      <c r="OK84" s="12">
        <f>OK$22 * IF(AND(OJ$5=1,OG$20=1), OT84, OR84)</f>
        <v>0</v>
      </c>
      <c r="OL84" s="12">
        <f>OL$22 * IF(AND(OK$5=1,OG$20=1), OT84, OR84)</f>
        <v>0</v>
      </c>
      <c r="OM84" s="12">
        <f>OM$22 * IF(AND(OL$5=1,OG$20=1), OT84, OR84)</f>
        <v>0</v>
      </c>
      <c r="ON84" s="12">
        <f>ON$22 * IF(AND(OM$5=1,OG$20=1), OT84, OR84)</f>
        <v>0</v>
      </c>
      <c r="OO84" s="12">
        <f>OO$22 * IF(AND(ON$5=1,OG$20=1), OT84, OR84)</f>
        <v>0</v>
      </c>
      <c r="OQ84" t="s">
        <v>1303</v>
      </c>
      <c r="OR84">
        <f>_xlfn.XLOOKUP(OQ84,'KPI Impacts'!$B$2:$H$2,'KPI Impacts'!$B84:$H84)</f>
        <v>0</v>
      </c>
      <c r="OS84" s="9" t="s">
        <v>1303</v>
      </c>
      <c r="OT84">
        <f>_xlfn.XLOOKUP(OS84,'KPI Impacts'!$B$2:$H$2,'KPI Impacts'!$B84:$H84)</f>
        <v>0</v>
      </c>
    </row>
    <row r="85" spans="1:410" x14ac:dyDescent="0.2">
      <c r="A85" s="9" t="s">
        <v>1314</v>
      </c>
      <c r="B85" s="12">
        <f t="shared" si="527"/>
        <v>0</v>
      </c>
      <c r="C85" s="12">
        <f t="shared" si="527"/>
        <v>0</v>
      </c>
      <c r="D85" s="12">
        <f t="shared" si="527"/>
        <v>0</v>
      </c>
      <c r="E85" s="12">
        <f t="shared" si="527"/>
        <v>0</v>
      </c>
      <c r="F85" s="12">
        <f t="shared" si="527"/>
        <v>0</v>
      </c>
      <c r="G85" s="12">
        <f t="shared" si="527"/>
        <v>0</v>
      </c>
      <c r="H85" s="12">
        <f t="shared" si="527"/>
        <v>0</v>
      </c>
      <c r="I85" s="12">
        <f t="shared" ref="I85:J86" si="529">AF85+AX85+BP85+CF85+CV85+DL85+EB85+ER85+FH85+FX85+GN85+HD85+HT85+IJ85+IZ85+JP85+KF85+KV85+LL85+MB85+MR85+NH85+NX85+ON85</f>
        <v>0</v>
      </c>
      <c r="J85" s="12">
        <f t="shared" si="529"/>
        <v>0</v>
      </c>
      <c r="M85">
        <f>M$5*V85</f>
        <v>0</v>
      </c>
      <c r="N85">
        <f>N$5*V85</f>
        <v>0</v>
      </c>
      <c r="O85">
        <f>O$5*V85</f>
        <v>0</v>
      </c>
      <c r="P85">
        <f>P$5*V85</f>
        <v>0</v>
      </c>
      <c r="Q85">
        <f>Q$5*V85</f>
        <v>0</v>
      </c>
      <c r="R85">
        <f>R$5*V85</f>
        <v>0</v>
      </c>
      <c r="S85">
        <f>S$5*V85</f>
        <v>0</v>
      </c>
      <c r="U85" t="s">
        <v>1303</v>
      </c>
      <c r="V85">
        <f>_xlfn.XLOOKUP(U85,'KPI Impacts'!$B$2:$H$2,'KPI Impacts'!$B85:$H85)</f>
        <v>0</v>
      </c>
      <c r="X85" s="17"/>
      <c r="Y85" s="12" cm="1">
        <f t="array" ref="Y85">_xlfn.SWITCH(Y$4, 0,0, 1, AJ85,2,AL85,3,AN85,0)</f>
        <v>0</v>
      </c>
      <c r="Z85" s="12" cm="1">
        <f t="array" ref="Z85">_xlfn.SWITCH(Z$4, 0,0, 1, AJ85,2,AL85,3,AN85,0)+Y85</f>
        <v>0</v>
      </c>
      <c r="AA85" s="12" cm="1">
        <f t="array" ref="AA85">_xlfn.SWITCH(AA$4, 0,0, 1, AJ85,2,AL85,3,AN85,0)+Z85</f>
        <v>0</v>
      </c>
      <c r="AB85" s="12" cm="1">
        <f t="array" ref="AB85">_xlfn.SWITCH(AB$4, 0,0, 1, AJ85,2,AL85,3,AN85,0)+AA85</f>
        <v>0</v>
      </c>
      <c r="AC85" s="12" cm="1">
        <f t="array" ref="AC85">_xlfn.SWITCH(AC$4, 0,0, 1, AJ85,2,AL85,3,AN85,0)+AB85</f>
        <v>0</v>
      </c>
      <c r="AD85" s="12" cm="1">
        <f t="array" ref="AD85">_xlfn.SWITCH(AD$4, 0,0, 1, AJ85,2,AL85,3,AN85,0)+AC85</f>
        <v>0</v>
      </c>
      <c r="AE85" s="12" cm="1">
        <f t="array" ref="AE85">_xlfn.SWITCH(AE$4, 0,0, 1, AJ85,2,AL85,3,AN85,0)+AD85</f>
        <v>0</v>
      </c>
      <c r="AF85" s="12" cm="1">
        <f t="array" ref="AF85">_xlfn.SWITCH(AF$4, 0,0, 1, AJ85,2,AL85,3,AN85,0)+AE85</f>
        <v>0</v>
      </c>
      <c r="AG85" s="12" cm="1">
        <f t="array" ref="AG85">_xlfn.SWITCH(AG$4, 0,0, 1, AJ85,2,AL85,3,AN85,0)+AF85</f>
        <v>0</v>
      </c>
      <c r="AI85" t="s">
        <v>1303</v>
      </c>
      <c r="AJ85">
        <f>_xlfn.XLOOKUP(AI85,'KPI Impacts'!$K$2:$Q$2,'KPI Impacts'!$K85:$Q85)</f>
        <v>0</v>
      </c>
      <c r="AK85" t="s">
        <v>1303</v>
      </c>
      <c r="AL85">
        <f>_xlfn.XLOOKUP(AK85,'KPI Impacts'!$K$2:$Q$2,'KPI Impacts'!$K85:$Q85)</f>
        <v>0</v>
      </c>
      <c r="AM85" t="s">
        <v>1303</v>
      </c>
      <c r="AN85">
        <f>_xlfn.XLOOKUP(AM85,'KPI Impacts'!$K$2:$Q$2,'KPI Impacts'!$K85:$Q85)</f>
        <v>0</v>
      </c>
      <c r="AP85" s="17"/>
      <c r="AQ85" s="12" cm="1">
        <f t="array" ref="AQ85">_xlfn.SWITCH(AQ$4, 0,0, 1, BB85,2,BD85,3,BF85,0)</f>
        <v>0</v>
      </c>
      <c r="AR85" s="12" cm="1">
        <f t="array" ref="AR85">_xlfn.SWITCH(AR$4, 0,0, 1, BB85,2,BD85,3,BF85,0)+AQ85</f>
        <v>0</v>
      </c>
      <c r="AS85" s="12" cm="1">
        <f t="array" ref="AS85">_xlfn.SWITCH(AS$4, 0,0, 1, BB85,2,BD85,3,BF85,0)+AR85</f>
        <v>0</v>
      </c>
      <c r="AT85" s="12" cm="1">
        <f t="array" ref="AT85">_xlfn.SWITCH(AT$4, 0,0, 1, BB85,2,BD85,3,BF85,0)+AS85</f>
        <v>0</v>
      </c>
      <c r="AU85" s="12" cm="1">
        <f t="array" ref="AU85">_xlfn.SWITCH(AU$4, 0,0, 1, BB85,2,BD85,3,BF85,0)+AT85</f>
        <v>0</v>
      </c>
      <c r="AV85" s="12" cm="1">
        <f t="array" ref="AV85">_xlfn.SWITCH(AV$4, 0,0, 1, BB85,2,BD85,3,BF85,0)+AU85</f>
        <v>0</v>
      </c>
      <c r="AW85" s="12" cm="1">
        <f t="array" ref="AW85">_xlfn.SWITCH(AW$4, 0,0, 1, BB85,2,BD85,3,BF85,0)+AV85</f>
        <v>0</v>
      </c>
      <c r="AX85" s="12" cm="1">
        <f t="array" ref="AX85">_xlfn.SWITCH(AX$4, 0,0, 1, BB85,2,BD85,3,BF85,0)+AW85</f>
        <v>0</v>
      </c>
      <c r="AY85" s="12" cm="1">
        <f t="array" ref="AY85">_xlfn.SWITCH(AY$4, 0,0, 1, BB85,2,BD85,3,BF85,0)+AX85</f>
        <v>0</v>
      </c>
      <c r="BA85" t="s">
        <v>1303</v>
      </c>
      <c r="BB85">
        <f>_xlfn.XLOOKUP(BA85,'KPI Impacts'!$K$2:$Q$2,'KPI Impacts'!$K85:$Q85)</f>
        <v>0</v>
      </c>
      <c r="BC85" t="s">
        <v>1303</v>
      </c>
      <c r="BD85">
        <f>_xlfn.XLOOKUP(BC85,'KPI Impacts'!$K$2:$Q$2,'KPI Impacts'!$K85:$Q85)</f>
        <v>0</v>
      </c>
      <c r="BE85" t="s">
        <v>1303</v>
      </c>
      <c r="BF85">
        <f>_xlfn.XLOOKUP(BE85,'KPI Impacts'!$K$2:$Q$2,'KPI Impacts'!$K85:$Q85)</f>
        <v>0</v>
      </c>
      <c r="BH85" s="17"/>
      <c r="BI85" s="12">
        <f>BI$22*BT85</f>
        <v>0</v>
      </c>
      <c r="BJ85" s="12">
        <f>BJ$22 * IF(AND(BI$5=1,BI$20=1), BV85, BT85)</f>
        <v>0</v>
      </c>
      <c r="BK85" s="12">
        <f>BK$22 * IF(AND(BJ$5=1,BI$20=1), BV85, BT85)</f>
        <v>0</v>
      </c>
      <c r="BL85" s="12">
        <f>BL$22 * IF(AND(BK$5=1,BI$20=1), BV85, BT85)</f>
        <v>0</v>
      </c>
      <c r="BM85" s="12">
        <f>BM$22 * IF(AND(BL$5=1,BI$20=1), BV85, BT85)</f>
        <v>0</v>
      </c>
      <c r="BN85" s="12">
        <f>BN$22 * IF(AND(BM$5=1,BI$20=1), BV85, BT85)</f>
        <v>0</v>
      </c>
      <c r="BO85" s="12">
        <f>BO$22 * IF(AND(BN$5=1,BI$20=1), BV85, BT85)</f>
        <v>0</v>
      </c>
      <c r="BP85" s="12">
        <f>BP$22 * IF(AND(BO$5=1,BI$20=1), BV85, BT85)</f>
        <v>0</v>
      </c>
      <c r="BQ85" s="12">
        <f>BQ$22 * IF(AND(BP$5=1,BI$20=1), BV85, BT85)</f>
        <v>0</v>
      </c>
      <c r="BS85" s="16" t="s">
        <v>1303</v>
      </c>
      <c r="BT85">
        <f>_xlfn.XLOOKUP(BS85,'KPI Impacts'!$B$2:$H$2,'KPI Impacts'!$B85:$H85)</f>
        <v>0</v>
      </c>
      <c r="BU85" s="35" t="s">
        <v>1303</v>
      </c>
      <c r="BV85">
        <f>_xlfn.XLOOKUP(BU85,'KPI Impacts'!$B$2:$H$2,'KPI Impacts'!$B85:$H85)</f>
        <v>0</v>
      </c>
      <c r="BX85" s="17"/>
      <c r="BY85" s="12">
        <f>BY$22*CJ85</f>
        <v>0</v>
      </c>
      <c r="BZ85" s="12">
        <f>BZ$22 * IF(AND(BY$5=1,BY$20=1), CL85, CJ85)</f>
        <v>0</v>
      </c>
      <c r="CA85" s="12">
        <f>CA$22 * IF(AND(BZ$5=1,BY$20=1), CL85, CJ85)</f>
        <v>0</v>
      </c>
      <c r="CB85" s="12">
        <f>CB$22 * IF(AND(CA$5=1,BY$20=1), CL85, CJ85)</f>
        <v>0</v>
      </c>
      <c r="CC85" s="12">
        <f>CC$22 * IF(AND(CB$5=1,BY$20=1), CL85, CJ85)</f>
        <v>0</v>
      </c>
      <c r="CD85" s="12">
        <f>CD$22 * IF(AND(CC$5=1,BY$20=1), CL85, CJ85)</f>
        <v>0</v>
      </c>
      <c r="CE85" s="12">
        <f>CE$22 * IF(AND(CD$5=1,BY$20=1), CL85, CJ85)</f>
        <v>0</v>
      </c>
      <c r="CF85" s="12">
        <f>CF$22 * IF(AND(CE$5=1,BY$20=1), CL85, CJ85)</f>
        <v>0</v>
      </c>
      <c r="CG85" s="12">
        <f>CG$22 * IF(AND(CF$5=1,BY$20=1), CL85, CJ85)</f>
        <v>0</v>
      </c>
      <c r="CI85" s="16" t="s">
        <v>1303</v>
      </c>
      <c r="CJ85">
        <f>_xlfn.XLOOKUP(CI85,'KPI Impacts'!$B$2:$H$2,'KPI Impacts'!$B85:$H85)</f>
        <v>0</v>
      </c>
      <c r="CK85" s="35" t="s">
        <v>1303</v>
      </c>
      <c r="CL85">
        <f>_xlfn.XLOOKUP(CK85,'KPI Impacts'!$B$2:$H$2,'KPI Impacts'!$B85:$H85)</f>
        <v>0</v>
      </c>
      <c r="CN85" s="17"/>
      <c r="CO85" s="12">
        <f>CO$22*CZ85</f>
        <v>0</v>
      </c>
      <c r="CP85" s="12">
        <f>CP$22 * IF(AND(CO$5=1,CO$20=1), DB85, CZ85)</f>
        <v>0</v>
      </c>
      <c r="CQ85" s="12">
        <f>CQ$22 * IF(AND(CP$5=1,CO$20=1), DB85, CZ85)</f>
        <v>0</v>
      </c>
      <c r="CR85" s="12">
        <f>CR$22 * IF(AND(CQ$5=1,CO$20=1), DB85, CZ85)</f>
        <v>0</v>
      </c>
      <c r="CS85" s="12">
        <f>CS$22 * IF(AND(CR$5=1,CO$20=1), DB85, CZ85)</f>
        <v>0</v>
      </c>
      <c r="CT85" s="12">
        <f>CT$22 * IF(AND(CS$5=1,CO$20=1), DB85, CZ85)</f>
        <v>0</v>
      </c>
      <c r="CU85" s="12">
        <f>CU$22 * IF(AND(CT$5=1,CO$20=1), DB85, CZ85)</f>
        <v>0</v>
      </c>
      <c r="CV85" s="12">
        <f>CV$22 * IF(AND(CU$5=1,CO$20=1), DB85, CZ85)</f>
        <v>0</v>
      </c>
      <c r="CW85" s="12">
        <f>CW$22 * IF(AND(CV$5=1,CO$20=1), DB85, CZ85)</f>
        <v>0</v>
      </c>
      <c r="CY85" s="16" t="s">
        <v>1303</v>
      </c>
      <c r="CZ85">
        <f>_xlfn.XLOOKUP(CY85,'KPI Impacts'!$B$2:$H$2,'KPI Impacts'!$B85:$H85)</f>
        <v>0</v>
      </c>
      <c r="DA85" s="35" t="s">
        <v>1303</v>
      </c>
      <c r="DB85">
        <f>_xlfn.XLOOKUP(DA85,'KPI Impacts'!$B$2:$H$2,'KPI Impacts'!$B85:$H85)</f>
        <v>0</v>
      </c>
      <c r="DD85" s="17"/>
      <c r="DE85" s="12">
        <f>DE$22*DP85</f>
        <v>0</v>
      </c>
      <c r="DF85" s="12">
        <f>DF$22 * IF(AND(DE$5=1,DE$20=1), DR85, DP85)</f>
        <v>0</v>
      </c>
      <c r="DG85" s="12">
        <f>DG$22 * IF(AND(DF$5=1,DE$20=1), DR85, DP85)</f>
        <v>0</v>
      </c>
      <c r="DH85" s="12">
        <f>DH$22 * IF(AND(DG$5=1,DE$20=1), DR85, DP85)</f>
        <v>0</v>
      </c>
      <c r="DI85" s="12">
        <f>DI$22 * IF(AND(DH$5=1,DE$20=1), DR85, DP85)</f>
        <v>0</v>
      </c>
      <c r="DJ85" s="12">
        <f>DJ$22 * IF(AND(DI$5=1,DE$20=1), DR85, DP85)</f>
        <v>0</v>
      </c>
      <c r="DK85" s="12">
        <f>DK$22 * IF(AND(DJ$5=1,DE$20=1), DR85, DP85)</f>
        <v>0</v>
      </c>
      <c r="DL85" s="12">
        <f>DL$22 * IF(AND(DK$5=1,DE$20=1), DR85, DP85)</f>
        <v>0</v>
      </c>
      <c r="DM85" s="12">
        <f>DM$22 * IF(AND(DL$5=1,DE$20=1), DR85, DP85)</f>
        <v>0</v>
      </c>
      <c r="DO85" s="16" t="s">
        <v>1303</v>
      </c>
      <c r="DP85">
        <f>_xlfn.XLOOKUP(DO85,'KPI Impacts'!$B$2:$H$2,'KPI Impacts'!$B85:$H85)</f>
        <v>0</v>
      </c>
      <c r="DQ85" s="35" t="s">
        <v>1303</v>
      </c>
      <c r="DR85">
        <f>_xlfn.XLOOKUP(DQ85,'KPI Impacts'!$B$2:$H$2,'KPI Impacts'!$B85:$H85)</f>
        <v>0</v>
      </c>
      <c r="DT85" s="17"/>
      <c r="DU85" s="12">
        <f>DU$22*EF85</f>
        <v>0</v>
      </c>
      <c r="DV85" s="12">
        <f>DV$22 * IF(AND(DU$5=1,DU$20=1), EH85, EF85)</f>
        <v>0</v>
      </c>
      <c r="DW85" s="12">
        <f>DW$22 * IF(AND(DV$5=1,DU$20=1), EH85, EF85)</f>
        <v>0</v>
      </c>
      <c r="DX85" s="12">
        <f>DX$22 * IF(AND(DW$5=1,DU$20=1), EH85, EF85)</f>
        <v>0</v>
      </c>
      <c r="DY85" s="12">
        <f>DY$22 * IF(AND(DX$5=1,DU$20=1), EH85, EF85)</f>
        <v>0</v>
      </c>
      <c r="DZ85" s="12">
        <f>DZ$22 * IF(AND(DY$5=1,DU$20=1), EH85, EF85)</f>
        <v>0</v>
      </c>
      <c r="EA85" s="12">
        <f>EA$22 * IF(AND(DZ$5=1,DU$20=1), EH85, EF85)</f>
        <v>0</v>
      </c>
      <c r="EB85" s="12">
        <f>EB$22 * IF(AND(EA$5=1,DU$20=1), EH85, EF85)</f>
        <v>0</v>
      </c>
      <c r="EC85" s="12">
        <f>EC$22 * IF(AND(EB$5=1,DU$20=1), EH85, EF85)</f>
        <v>0</v>
      </c>
      <c r="EE85" s="16" t="s">
        <v>1303</v>
      </c>
      <c r="EF85">
        <f>_xlfn.XLOOKUP(EE85,'KPI Impacts'!$B$2:$H$2,'KPI Impacts'!$B85:$H85)</f>
        <v>0</v>
      </c>
      <c r="EG85" s="35" t="s">
        <v>1303</v>
      </c>
      <c r="EH85">
        <f>_xlfn.XLOOKUP(EG85,'KPI Impacts'!$B$2:$H$2,'KPI Impacts'!$B85:$H85)</f>
        <v>0</v>
      </c>
      <c r="EJ85" s="17"/>
      <c r="EK85" s="12">
        <f>EK$22*EV85</f>
        <v>0</v>
      </c>
      <c r="EL85" s="12">
        <f>EL$22 * IF(AND(EK$5=1,EK$20=1), EX85, EV85)</f>
        <v>0</v>
      </c>
      <c r="EM85" s="12">
        <f>EM$22 * IF(AND(EL$5=1,EK$20=1), EX85, EV85)</f>
        <v>0</v>
      </c>
      <c r="EN85" s="12">
        <f>EN$22 * IF(AND(EM$5=1,EK$20=1), EX85, EV85)</f>
        <v>0</v>
      </c>
      <c r="EO85" s="12">
        <f>EO$22 * IF(AND(EN$5=1,EK$20=1), EX85, EV85)</f>
        <v>0</v>
      </c>
      <c r="EP85" s="12">
        <f>EP$22 * IF(AND(EO$5=1,EK$20=1), EX85, EV85)</f>
        <v>0</v>
      </c>
      <c r="EQ85" s="12">
        <f>EQ$22 * IF(AND(EP$5=1,EK$20=1), EX85, EV85)</f>
        <v>0</v>
      </c>
      <c r="ER85" s="12">
        <f>ER$22 * IF(AND(EQ$5=1,EK$20=1), EX85, EV85)</f>
        <v>0</v>
      </c>
      <c r="ES85" s="12">
        <f>ES$22 * IF(AND(ER$5=1,EK$20=1), EX85, EV85)</f>
        <v>0</v>
      </c>
      <c r="EU85" s="16" t="s">
        <v>1303</v>
      </c>
      <c r="EV85">
        <f>_xlfn.XLOOKUP(EU85,'KPI Impacts'!$B$2:$H$2,'KPI Impacts'!$B85:$H85)</f>
        <v>0</v>
      </c>
      <c r="EW85" s="35" t="s">
        <v>1303</v>
      </c>
      <c r="EX85">
        <f>_xlfn.XLOOKUP(EW85,'KPI Impacts'!$B$2:$H$2,'KPI Impacts'!$B85:$H85)</f>
        <v>0</v>
      </c>
      <c r="EZ85" s="17"/>
      <c r="FA85" s="12">
        <f>FA$22*FL85</f>
        <v>0</v>
      </c>
      <c r="FB85" s="12">
        <f>FB$22 * IF(AND(FA$5=1,FA$20=1), FN85, FL85)</f>
        <v>0</v>
      </c>
      <c r="FC85" s="12">
        <f>FC$22 * IF(AND(FB$5=1,FA$20=1), FN85, FL85)</f>
        <v>0</v>
      </c>
      <c r="FD85" s="12">
        <f>FD$22 * IF(AND(FC$5=1,FA$20=1), FN85, FL85)</f>
        <v>0</v>
      </c>
      <c r="FE85" s="12">
        <f>FE$22 * IF(AND(FD$5=1,FA$20=1), FN85, FL85)</f>
        <v>0</v>
      </c>
      <c r="FF85" s="12">
        <f>FF$22 * IF(AND(FE$5=1,FA$20=1), FN85, FL85)</f>
        <v>0</v>
      </c>
      <c r="FG85" s="12">
        <f>FG$22 * IF(AND(FF$5=1,FA$20=1), FN85, FL85)</f>
        <v>0</v>
      </c>
      <c r="FH85" s="12">
        <f>FH$22 * IF(AND(FG$5=1,FA$20=1), FN85, FL85)</f>
        <v>0</v>
      </c>
      <c r="FI85" s="12">
        <f>FI$22 * IF(AND(FH$5=1,FA$20=1), FN85, FL85)</f>
        <v>0</v>
      </c>
      <c r="FK85" s="16" t="s">
        <v>1303</v>
      </c>
      <c r="FL85">
        <f>_xlfn.XLOOKUP(FK85,'KPI Impacts'!$B$2:$H$2,'KPI Impacts'!$B85:$H85)</f>
        <v>0</v>
      </c>
      <c r="FM85" s="16" t="s">
        <v>1303</v>
      </c>
      <c r="FN85">
        <f>_xlfn.XLOOKUP(FM85,'KPI Impacts'!$B$2:$H$2,'KPI Impacts'!$B85:$H85)</f>
        <v>0</v>
      </c>
      <c r="FP85" s="17"/>
      <c r="FQ85" s="12">
        <f>FQ$22*GB85</f>
        <v>0</v>
      </c>
      <c r="FR85" s="12">
        <f>FR$22 * IF(AND(FQ$5=1,FQ$20=1), GD85, GB85)</f>
        <v>0</v>
      </c>
      <c r="FS85" s="12">
        <f>FS$22 * IF(AND(FR$5=1,FQ$20=1), GD85, GB85)</f>
        <v>0</v>
      </c>
      <c r="FT85" s="12">
        <f>FT$22 * IF(AND(FS$5=1,FQ$20=1), GD85, GB85)</f>
        <v>0</v>
      </c>
      <c r="FU85" s="12">
        <f>FU$22 * IF(AND(FT$5=1,FQ$20=1), GD85, GB85)</f>
        <v>0</v>
      </c>
      <c r="FV85" s="12">
        <f>FV$22 * IF(AND(FU$5=1,FQ$20=1), GD85, GB85)</f>
        <v>0</v>
      </c>
      <c r="FW85" s="12">
        <f>FW$22 * IF(AND(FV$5=1,FQ$20=1), GD85, GB85)</f>
        <v>0</v>
      </c>
      <c r="FX85" s="12">
        <f>FX$22 * IF(AND(FW$5=1,FQ$20=1), GD85, GB85)</f>
        <v>0</v>
      </c>
      <c r="FY85" s="12">
        <f>FY$22 * IF(AND(FX$5=1,FQ$20=1), GD85, GB85)</f>
        <v>0</v>
      </c>
      <c r="GA85" s="16" t="s">
        <v>1303</v>
      </c>
      <c r="GB85">
        <f>_xlfn.XLOOKUP(GA85,'KPI Impacts'!$B$2:$H$2,'KPI Impacts'!$B85:$H85)</f>
        <v>0</v>
      </c>
      <c r="GC85" s="9" t="s">
        <v>1303</v>
      </c>
      <c r="GD85">
        <f>_xlfn.XLOOKUP(GC85,'KPI Impacts'!$B$2:$H$2,'KPI Impacts'!$B85:$H85)</f>
        <v>0</v>
      </c>
      <c r="GF85" s="17"/>
      <c r="GG85" s="12">
        <f>GG$22*GR85</f>
        <v>0</v>
      </c>
      <c r="GH85" s="12">
        <f>GH$22 * IF(AND(GG$5=1,GG$20=1), GT85, GR85)</f>
        <v>0</v>
      </c>
      <c r="GI85" s="12">
        <f>GI$22 * IF(AND(GH$5=1,GG$20=1), GT85, GR85)</f>
        <v>0</v>
      </c>
      <c r="GJ85" s="12">
        <f>GJ$22 * IF(AND(GI$5=1,GG$20=1), GT85, GR85)</f>
        <v>0</v>
      </c>
      <c r="GK85" s="12">
        <f>GK$22 * IF(AND(GJ$5=1,GG$20=1), GT85, GR85)</f>
        <v>0</v>
      </c>
      <c r="GL85" s="12">
        <f>GL$22 * IF(AND(GK$5=1,GG$20=1), GT85, GR85)</f>
        <v>0</v>
      </c>
      <c r="GM85" s="12">
        <f>GM$22 * IF(AND(GL$5=1,GG$20=1), GT85, GR85)</f>
        <v>0</v>
      </c>
      <c r="GN85" s="12">
        <f>GN$22 * IF(AND(GM$5=1,GG$20=1), GT85, GR85)</f>
        <v>0</v>
      </c>
      <c r="GO85" s="12">
        <f>GO$22 * IF(AND(GN$5=1,GG$20=1), GT85, GR85)</f>
        <v>0</v>
      </c>
      <c r="GQ85" s="16" t="s">
        <v>1303</v>
      </c>
      <c r="GR85">
        <f>_xlfn.XLOOKUP(GQ85,'KPI Impacts'!$B$2:$H$2,'KPI Impacts'!$B85:$H85)</f>
        <v>0</v>
      </c>
      <c r="GS85" s="9" t="s">
        <v>1303</v>
      </c>
      <c r="GT85">
        <f>_xlfn.XLOOKUP(GS85,'KPI Impacts'!$B$2:$H$2,'KPI Impacts'!$B85:$H85)</f>
        <v>0</v>
      </c>
      <c r="GW85" s="12">
        <f>GW$22*HH85</f>
        <v>0</v>
      </c>
      <c r="GX85" s="12">
        <f>GX$22 * IF(AND(GW$5=1,GW$20=1), HJ85, HH85)</f>
        <v>0</v>
      </c>
      <c r="GY85" s="12">
        <f>GY$22 * IF(AND(GX$5=1,GW$20=1), HJ85, HH85)</f>
        <v>0</v>
      </c>
      <c r="GZ85" s="12">
        <f>GZ$22 * IF(AND(GY$5=1,GW$20=1), HJ85, HH85)</f>
        <v>0</v>
      </c>
      <c r="HA85" s="12">
        <f>HA$22 * IF(AND(GZ$5=1,GW$20=1), HJ85, HH85)</f>
        <v>0</v>
      </c>
      <c r="HB85" s="12">
        <f>HB$22 * IF(AND(HA$5=1,GW$20=1), HJ85, HH85)</f>
        <v>0</v>
      </c>
      <c r="HC85" s="12">
        <f>HC$22 * IF(AND(HB$5=1,GW$20=1), HJ85, HH85)</f>
        <v>0</v>
      </c>
      <c r="HD85" s="12">
        <f>HD$22 * IF(AND(HC$5=1,GW$20=1), HJ85, HH85)</f>
        <v>0</v>
      </c>
      <c r="HE85" s="12">
        <f>HE$22 * IF(AND(HD$5=1,GW$20=1), HJ85, HH85)</f>
        <v>0</v>
      </c>
      <c r="HG85" s="16" t="s">
        <v>1303</v>
      </c>
      <c r="HH85">
        <f>_xlfn.XLOOKUP(HG85,'KPI Impacts'!$B$2:$H$2,'KPI Impacts'!$B85:$H85)</f>
        <v>0</v>
      </c>
      <c r="HI85" s="9" t="s">
        <v>1303</v>
      </c>
      <c r="HJ85">
        <f>_xlfn.XLOOKUP(HI85,'KPI Impacts'!$B$2:$H$2,'KPI Impacts'!$B85:$H85)</f>
        <v>0</v>
      </c>
      <c r="HM85" s="12">
        <f>HM$22*HX85</f>
        <v>0</v>
      </c>
      <c r="HN85" s="12">
        <f>HN$22 * IF(AND(HM$5=1,HM$20=1), HZ85, HX85)</f>
        <v>0</v>
      </c>
      <c r="HO85" s="12">
        <f>HO$22 * IF(AND(HN$5=1,HM$20=1), HZ85, HX85)</f>
        <v>0</v>
      </c>
      <c r="HP85" s="12">
        <f>HP$22 * IF(AND(HO$5=1,HM$20=1), HZ85, HX85)</f>
        <v>0</v>
      </c>
      <c r="HQ85" s="12">
        <f>HQ$22 * IF(AND(HP$5=1,HM$20=1), HZ85, HX85)</f>
        <v>0</v>
      </c>
      <c r="HR85" s="12">
        <f>HR$22 * IF(AND(HQ$5=1,HM$20=1), HZ85, HX85)</f>
        <v>0</v>
      </c>
      <c r="HS85" s="12">
        <f>HS$22 * IF(AND(HR$5=1,HM$20=1), HZ85, HX85)</f>
        <v>0</v>
      </c>
      <c r="HT85" s="12">
        <f>HT$22 * IF(AND(HS$5=1,HM$20=1), HZ85, HX85)</f>
        <v>0</v>
      </c>
      <c r="HU85" s="12">
        <f>HU$22 * IF(AND(HT$5=1,HM$20=1), HZ85, HX85)</f>
        <v>0</v>
      </c>
      <c r="HW85" s="16" t="s">
        <v>1303</v>
      </c>
      <c r="HX85">
        <f>_xlfn.XLOOKUP(HW85,'KPI Impacts'!$B$2:$H$2,'KPI Impacts'!$B85:$H85)</f>
        <v>0</v>
      </c>
      <c r="HY85" s="9" t="s">
        <v>1303</v>
      </c>
      <c r="HZ85">
        <f>_xlfn.XLOOKUP(HY85,'KPI Impacts'!$B$2:$H$2,'KPI Impacts'!$B85:$H85)</f>
        <v>0</v>
      </c>
      <c r="IC85" s="12">
        <f>IC$22*IN85</f>
        <v>0</v>
      </c>
      <c r="ID85" s="12">
        <f>ID$22 * IF(AND(IC$5=1,IC$20=1), IP85, IN85)</f>
        <v>0</v>
      </c>
      <c r="IE85" s="12">
        <f>IE$22 * IF(AND(ID$5=1,IC$20=1), IP85, IN85)</f>
        <v>0</v>
      </c>
      <c r="IF85" s="12">
        <f>IF$22 * IF(AND(IE$5=1,IC$20=1), IP85, IN85)</f>
        <v>0</v>
      </c>
      <c r="IG85" s="12">
        <f>IG$22 * IF(AND(IF$5=1,IC$20=1), IP85, IN85)</f>
        <v>0</v>
      </c>
      <c r="IH85" s="12">
        <f>IH$22 * IF(AND(IG$5=1,IC$20=1), IP85, IN85)</f>
        <v>0</v>
      </c>
      <c r="II85" s="12">
        <f>II$22 * IF(AND(IH$5=1,IC$20=1), IP85, IN85)</f>
        <v>0</v>
      </c>
      <c r="IJ85" s="12">
        <f>IJ$22 * IF(AND(II$5=1,IC$20=1), IP85, IN85)</f>
        <v>0</v>
      </c>
      <c r="IK85" s="12">
        <f>IK$22 * IF(AND(IJ$5=1,IC$20=1), IP85, IN85)</f>
        <v>0</v>
      </c>
      <c r="IM85" s="16" t="s">
        <v>1303</v>
      </c>
      <c r="IN85">
        <f>_xlfn.XLOOKUP(IM85,'KPI Impacts'!$B$2:$H$2,'KPI Impacts'!$B85:$H85)</f>
        <v>0</v>
      </c>
      <c r="IO85" s="9" t="s">
        <v>1303</v>
      </c>
      <c r="IP85">
        <f>_xlfn.XLOOKUP(IO85,'KPI Impacts'!$B$2:$H$2,'KPI Impacts'!$B85:$H85)</f>
        <v>0</v>
      </c>
      <c r="IS85" s="12">
        <f>IS$22*JD85</f>
        <v>0</v>
      </c>
      <c r="IT85" s="12">
        <f>IT$22 * IF(AND(IS$5=1,IS$20=1), JF85, JD85)</f>
        <v>0</v>
      </c>
      <c r="IU85" s="12">
        <f>IU$22 * IF(AND(IT$5=1,IS$20=1), JF85, JD85)</f>
        <v>0</v>
      </c>
      <c r="IV85" s="12">
        <f>IV$22 * IF(AND(IU$5=1,IS$20=1), JF85, JD85)</f>
        <v>0</v>
      </c>
      <c r="IW85" s="12">
        <f>IW$22 * IF(AND(IV$5=1,IS$20=1), JF85, JD85)</f>
        <v>0</v>
      </c>
      <c r="IX85" s="12">
        <f>IX$22 * IF(AND(IW$5=1,IS$20=1), JF85, JD85)</f>
        <v>0</v>
      </c>
      <c r="IY85" s="12">
        <f>IY$22 * IF(AND(IX$5=1,IS$20=1), JF85, JD85)</f>
        <v>0</v>
      </c>
      <c r="IZ85" s="12">
        <f>IZ$22 * IF(AND(IY$5=1,IS$20=1), JF85, JD85)</f>
        <v>0</v>
      </c>
      <c r="JA85" s="12">
        <f>JA$22 * IF(AND(IZ$5=1,IS$20=1), JF85, JD85)</f>
        <v>0</v>
      </c>
      <c r="JC85" t="s">
        <v>1303</v>
      </c>
      <c r="JD85">
        <f>_xlfn.XLOOKUP(JC85,'KPI Impacts'!$B$2:$H$2,'KPI Impacts'!$B85:$H85)</f>
        <v>0</v>
      </c>
      <c r="JE85" s="9" t="s">
        <v>1303</v>
      </c>
      <c r="JF85">
        <f>_xlfn.XLOOKUP(JE85,'KPI Impacts'!$B$2:$H$2,'KPI Impacts'!$B85:$H85)</f>
        <v>0</v>
      </c>
      <c r="JI85" s="12">
        <f>JI$22*JT85</f>
        <v>0</v>
      </c>
      <c r="JJ85" s="12">
        <f>JJ$22 * IF(AND(JI$5=1,JI$20=1), JV85, JT85)</f>
        <v>0</v>
      </c>
      <c r="JK85" s="12">
        <f>JK$22 * IF(AND(JJ$5=1,JI$20=1), JV85, JT85)</f>
        <v>0</v>
      </c>
      <c r="JL85" s="12">
        <f>JL$22 * IF(AND(JK$5=1,JI$20=1), JV85, JT85)</f>
        <v>0</v>
      </c>
      <c r="JM85" s="12">
        <f>JM$22 * IF(AND(JL$5=1,JI$20=1), JV85, JT85)</f>
        <v>0</v>
      </c>
      <c r="JN85" s="12">
        <f>JN$22 * IF(AND(JM$5=1,JI$20=1), JV85, JT85)</f>
        <v>0</v>
      </c>
      <c r="JO85" s="12">
        <f>JO$22 * IF(AND(JN$5=1,JI$20=1), JV85, JT85)</f>
        <v>0</v>
      </c>
      <c r="JP85" s="12">
        <f>JP$22 * IF(AND(JO$5=1,JI$20=1), JV85, JT85)</f>
        <v>0</v>
      </c>
      <c r="JQ85" s="12">
        <f>JQ$22 * IF(AND(JP$5=1,JI$20=1), JV85, JT85)</f>
        <v>0</v>
      </c>
      <c r="JS85" t="s">
        <v>1303</v>
      </c>
      <c r="JT85">
        <f>_xlfn.XLOOKUP(JS85,'KPI Impacts'!$B$2:$H$2,'KPI Impacts'!$B85:$H85)</f>
        <v>0</v>
      </c>
      <c r="JU85" s="9" t="s">
        <v>1303</v>
      </c>
      <c r="JV85">
        <f>_xlfn.XLOOKUP(JU85,'KPI Impacts'!$B$2:$H$2,'KPI Impacts'!$B85:$H85)</f>
        <v>0</v>
      </c>
      <c r="JY85" s="12">
        <f>JY$22*KJ85</f>
        <v>0</v>
      </c>
      <c r="JZ85" s="12">
        <f>JZ$22 * IF(AND(JY$5=1,JY$20=1), KL85, KJ85)</f>
        <v>0</v>
      </c>
      <c r="KA85" s="12">
        <f>KA$22 * IF(AND(JZ$5=1,JY$20=1), KL85, KJ85)</f>
        <v>0</v>
      </c>
      <c r="KB85" s="12">
        <f>KB$22 * IF(AND(KA$5=1,JY$20=1), KL85, KJ85)</f>
        <v>0</v>
      </c>
      <c r="KC85" s="12">
        <f>KC$22 * IF(AND(KB$5=1,JY$20=1), KL85, KJ85)</f>
        <v>0</v>
      </c>
      <c r="KD85" s="12">
        <f>KD$22 * IF(AND(KC$5=1,JY$20=1), KL85, KJ85)</f>
        <v>0</v>
      </c>
      <c r="KE85" s="12">
        <f>KE$22 * IF(AND(KD$5=1,JY$20=1), KL85, KJ85)</f>
        <v>0</v>
      </c>
      <c r="KF85" s="12">
        <f>KF$22 * IF(AND(KE$5=1,JY$20=1), KL85, KJ85)</f>
        <v>0</v>
      </c>
      <c r="KG85" s="12">
        <f>KG$22 * IF(AND(KF$5=1,JY$20=1), KL85, KJ85)</f>
        <v>0</v>
      </c>
      <c r="KI85" t="s">
        <v>1303</v>
      </c>
      <c r="KJ85">
        <f>_xlfn.XLOOKUP(KI85,'KPI Impacts'!$B$2:$H$2,'KPI Impacts'!$B85:$H85)</f>
        <v>0</v>
      </c>
      <c r="KK85" s="9" t="s">
        <v>1303</v>
      </c>
      <c r="KL85">
        <f>_xlfn.XLOOKUP(KK85,'KPI Impacts'!$B$2:$H$2,'KPI Impacts'!$B85:$H85)</f>
        <v>0</v>
      </c>
      <c r="KO85" s="12">
        <f>KO$22*KZ85</f>
        <v>0</v>
      </c>
      <c r="KP85" s="12">
        <f>KP$22 * IF(AND(KO$5=1,KO$20=1), LB85, KZ85)</f>
        <v>0</v>
      </c>
      <c r="KQ85" s="12">
        <f>KQ$22 * IF(AND(KP$5=1,KO$20=1), LB85, KZ85)</f>
        <v>0</v>
      </c>
      <c r="KR85" s="12">
        <f>KR$22 * IF(AND(KQ$5=1,KO$20=1), LB85, KZ85)</f>
        <v>0</v>
      </c>
      <c r="KS85" s="12">
        <f>KS$22 * IF(AND(KR$5=1,KO$20=1), LB85, KZ85)</f>
        <v>0</v>
      </c>
      <c r="KT85" s="12">
        <f>KT$22 * IF(AND(KS$5=1,KO$20=1), LB85, KZ85)</f>
        <v>0</v>
      </c>
      <c r="KU85" s="12">
        <f>KU$22 * IF(AND(KT$5=1,KO$20=1), LB85, KZ85)</f>
        <v>0</v>
      </c>
      <c r="KV85" s="12">
        <f>KV$22 * IF(AND(KU$5=1,KO$20=1), LB85, KZ85)</f>
        <v>0</v>
      </c>
      <c r="KW85" s="12">
        <f>KW$22 * IF(AND(KV$5=1,KO$20=1), LB85, KZ85)</f>
        <v>0</v>
      </c>
      <c r="KY85" t="s">
        <v>1303</v>
      </c>
      <c r="KZ85">
        <f>_xlfn.XLOOKUP(KY85,'KPI Impacts'!$B$2:$H$2,'KPI Impacts'!$B85:$H85)</f>
        <v>0</v>
      </c>
      <c r="LA85" s="9" t="s">
        <v>1303</v>
      </c>
      <c r="LB85">
        <f>_xlfn.XLOOKUP(LA85,'KPI Impacts'!$B$2:$H$2,'KPI Impacts'!$B85:$H85)</f>
        <v>0</v>
      </c>
      <c r="LE85" s="12">
        <f>LE$22*LP85</f>
        <v>0</v>
      </c>
      <c r="LF85" s="12">
        <f>LF$22 * IF(AND(LE$5=1,LE$20=1), LR85, LP85)</f>
        <v>0</v>
      </c>
      <c r="LG85" s="12">
        <f>LG$22 * IF(AND(LF$5=1,LE$20=1), LR85, LP85)</f>
        <v>0</v>
      </c>
      <c r="LH85" s="12">
        <f>LH$22 * IF(AND(LG$5=1,LE$20=1), LR85, LP85)</f>
        <v>0</v>
      </c>
      <c r="LI85" s="12">
        <f>LI$22 * IF(AND(LH$5=1,LE$20=1), LR85, LP85)</f>
        <v>0</v>
      </c>
      <c r="LJ85" s="12">
        <f>LJ$22 * IF(AND(LI$5=1,LE$20=1), LR85, LP85)</f>
        <v>0</v>
      </c>
      <c r="LK85" s="12">
        <f>LK$22 * IF(AND(LJ$5=1,LE$20=1), LR85, LP85)</f>
        <v>0</v>
      </c>
      <c r="LL85" s="12">
        <f>LL$22 * IF(AND(LK$5=1,LE$20=1), LR85, LP85)</f>
        <v>0</v>
      </c>
      <c r="LM85" s="12">
        <f>LM$22 * IF(AND(LL$5=1,LE$20=1), LR85, LP85)</f>
        <v>0</v>
      </c>
      <c r="LO85" t="s">
        <v>1303</v>
      </c>
      <c r="LP85">
        <f>_xlfn.XLOOKUP(LO85,'KPI Impacts'!$B$2:$H$2,'KPI Impacts'!$B85:$H85)</f>
        <v>0</v>
      </c>
      <c r="LQ85" s="9" t="s">
        <v>1303</v>
      </c>
      <c r="LR85">
        <f>_xlfn.XLOOKUP(LQ85,'KPI Impacts'!$B$2:$H$2,'KPI Impacts'!$B85:$H85)</f>
        <v>0</v>
      </c>
      <c r="LU85" s="12">
        <f>LU$22*MF85</f>
        <v>0</v>
      </c>
      <c r="LV85" s="12">
        <f>LV$22 * IF(AND(LU$5=1,LU$20=1), MH85, MF85)</f>
        <v>0</v>
      </c>
      <c r="LW85" s="12">
        <f>LW$22 * IF(AND(LV$5=1,LU$20=1), MH85, MF85)</f>
        <v>0</v>
      </c>
      <c r="LX85" s="12">
        <f>LX$22 * IF(AND(LW$5=1,LU$20=1), MH85, MF85)</f>
        <v>0</v>
      </c>
      <c r="LY85" s="12">
        <f>LY$22 * IF(AND(LX$5=1,LU$20=1), MH85, MF85)</f>
        <v>0</v>
      </c>
      <c r="LZ85" s="12">
        <f>LZ$22 * IF(AND(LY$5=1,LU$20=1), MH85, MF85)</f>
        <v>0</v>
      </c>
      <c r="MA85" s="12">
        <f>MA$22 * IF(AND(LZ$5=1,LU$20=1), MH85, MF85)</f>
        <v>0</v>
      </c>
      <c r="MB85" s="12">
        <f>MB$22 * IF(AND(MA$5=1,LU$20=1), MH85, MF85)</f>
        <v>0</v>
      </c>
      <c r="MC85" s="12">
        <f>MC$22 * IF(AND(MB$5=1,LU$20=1), MH85, MF85)</f>
        <v>0</v>
      </c>
      <c r="ME85" t="s">
        <v>1303</v>
      </c>
      <c r="MF85">
        <f>_xlfn.XLOOKUP(ME85,'KPI Impacts'!$B$2:$H$2,'KPI Impacts'!$B85:$H85)</f>
        <v>0</v>
      </c>
      <c r="MG85" s="9" t="s">
        <v>1303</v>
      </c>
      <c r="MH85">
        <f>_xlfn.XLOOKUP(MG85,'KPI Impacts'!$B$2:$H$2,'KPI Impacts'!$B85:$H85)</f>
        <v>0</v>
      </c>
      <c r="MK85" s="12">
        <f>MK$22*MV85</f>
        <v>0</v>
      </c>
      <c r="ML85" s="12">
        <f>ML$22 * IF(AND(MK$5=1,MK$20=1), MX85, MV85)</f>
        <v>0</v>
      </c>
      <c r="MM85" s="12">
        <f>MM$22 * IF(AND(ML$5=1,MK$20=1), MX85, MV85)</f>
        <v>0</v>
      </c>
      <c r="MN85" s="12">
        <f>MN$22 * IF(AND(MM$5=1,MK$20=1), MX85, MV85)</f>
        <v>0</v>
      </c>
      <c r="MO85" s="12">
        <f>MO$22 * IF(AND(MN$5=1,MK$20=1), MX85, MV85)</f>
        <v>0</v>
      </c>
      <c r="MP85" s="12">
        <f>MP$22 * IF(AND(MO$5=1,MK$20=1), MX85, MV85)</f>
        <v>0</v>
      </c>
      <c r="MQ85" s="12">
        <f>MQ$22 * IF(AND(MP$5=1,MK$20=1), MX85, MV85)</f>
        <v>0</v>
      </c>
      <c r="MR85" s="12">
        <f>MR$22 * IF(AND(MQ$5=1,MK$20=1), MX85, MV85)</f>
        <v>0</v>
      </c>
      <c r="MS85" s="12">
        <f>MS$22 * IF(AND(MR$5=1,MK$20=1), MX85, MV85)</f>
        <v>0</v>
      </c>
      <c r="MU85" t="s">
        <v>1303</v>
      </c>
      <c r="MV85">
        <f>_xlfn.XLOOKUP(MU85,'KPI Impacts'!$B$2:$H$2,'KPI Impacts'!$B85:$H85)</f>
        <v>0</v>
      </c>
      <c r="MW85" s="9" t="s">
        <v>1303</v>
      </c>
      <c r="MX85">
        <f>_xlfn.XLOOKUP(MW85,'KPI Impacts'!$B$2:$H$2,'KPI Impacts'!$B85:$H85)</f>
        <v>0</v>
      </c>
      <c r="NA85" s="12">
        <f>NA$22*NL85</f>
        <v>0</v>
      </c>
      <c r="NB85" s="12">
        <f>NB$22 * IF(AND(NA$5=1,NA$20=1), NN85, NL85)</f>
        <v>0</v>
      </c>
      <c r="NC85" s="12">
        <f>NC$22 * IF(AND(NB$5=1,NA$20=1), NN85, NL85)</f>
        <v>0</v>
      </c>
      <c r="ND85" s="12">
        <f>ND$22 * IF(AND(NC$5=1,NA$20=1), NN85, NL85)</f>
        <v>0</v>
      </c>
      <c r="NE85" s="12">
        <f>NE$22 * IF(AND(ND$5=1,NA$20=1), NN85, NL85)</f>
        <v>0</v>
      </c>
      <c r="NF85" s="12">
        <f>NF$22 * IF(AND(NE$5=1,NA$20=1), NN85, NL85)</f>
        <v>0</v>
      </c>
      <c r="NG85" s="12">
        <f>NG$22 * IF(AND(NF$5=1,NA$20=1), NN85, NL85)</f>
        <v>0</v>
      </c>
      <c r="NH85" s="12">
        <f>NH$22 * IF(AND(NG$5=1,NA$20=1), NN85, NL85)</f>
        <v>0</v>
      </c>
      <c r="NI85" s="12">
        <f>NI$22 * IF(AND(NH$5=1,NA$20=1), NN85, NL85)</f>
        <v>0</v>
      </c>
      <c r="NK85" t="s">
        <v>1303</v>
      </c>
      <c r="NL85">
        <f>_xlfn.XLOOKUP(NK85,'KPI Impacts'!$B$2:$H$2,'KPI Impacts'!$B85:$H85)</f>
        <v>0</v>
      </c>
      <c r="NM85" s="9" t="s">
        <v>1303</v>
      </c>
      <c r="NN85">
        <f>_xlfn.XLOOKUP(NM85,'KPI Impacts'!$B$2:$H$2,'KPI Impacts'!$B85:$H85)</f>
        <v>0</v>
      </c>
      <c r="NQ85" s="12">
        <f>NQ$22*OB85</f>
        <v>0</v>
      </c>
      <c r="NR85" s="12">
        <f>NR$22 * IF(AND(NQ$5=1,NQ$20=1), OD85, OB85)</f>
        <v>0</v>
      </c>
      <c r="NS85" s="12">
        <f>NS$22 * IF(AND(NR$5=1,NQ$20=1), OD85, OB85)</f>
        <v>0</v>
      </c>
      <c r="NT85" s="12">
        <f>NT$22 * IF(AND(NS$5=1,NQ$20=1), OD85, OB85)</f>
        <v>0</v>
      </c>
      <c r="NU85" s="12">
        <f>NU$22 * IF(AND(NT$5=1,NQ$20=1), OD85, OB85)</f>
        <v>0</v>
      </c>
      <c r="NV85" s="12">
        <f>NV$22 * IF(AND(NU$5=1,NQ$20=1), OD85, OB85)</f>
        <v>0</v>
      </c>
      <c r="NW85" s="12">
        <f>NW$22 * IF(AND(NV$5=1,NQ$20=1), OD85, OB85)</f>
        <v>0</v>
      </c>
      <c r="NX85" s="12">
        <f>NX$22 * IF(AND(NW$5=1,NQ$20=1), OD85, OB85)</f>
        <v>0</v>
      </c>
      <c r="NY85" s="12">
        <f>NY$22 * IF(AND(NX$5=1,NQ$20=1), OD85, OB85)</f>
        <v>0</v>
      </c>
      <c r="OA85" t="s">
        <v>1303</v>
      </c>
      <c r="OB85">
        <f>_xlfn.XLOOKUP(OA85,'KPI Impacts'!$B$2:$H$2,'KPI Impacts'!$B85:$H85)</f>
        <v>0</v>
      </c>
      <c r="OC85" s="9" t="s">
        <v>1303</v>
      </c>
      <c r="OD85">
        <f>_xlfn.XLOOKUP(OC85,'KPI Impacts'!$B$2:$H$2,'KPI Impacts'!$B85:$H85)</f>
        <v>0</v>
      </c>
      <c r="OG85" s="12">
        <f>OG$22*OR85</f>
        <v>0</v>
      </c>
      <c r="OH85" s="12">
        <f>OH$22 * IF(AND(OG$5=1,OG$20=1), OT85, OR85)</f>
        <v>0</v>
      </c>
      <c r="OI85" s="12">
        <f>OI$22 * IF(AND(OH$5=1,OG$20=1), OT85, OR85)</f>
        <v>0</v>
      </c>
      <c r="OJ85" s="12">
        <f>OJ$22 * IF(AND(OI$5=1,OG$20=1), OT85, OR85)</f>
        <v>0</v>
      </c>
      <c r="OK85" s="12">
        <f>OK$22 * IF(AND(OJ$5=1,OG$20=1), OT85, OR85)</f>
        <v>0</v>
      </c>
      <c r="OL85" s="12">
        <f>OL$22 * IF(AND(OK$5=1,OG$20=1), OT85, OR85)</f>
        <v>0</v>
      </c>
      <c r="OM85" s="12">
        <f>OM$22 * IF(AND(OL$5=1,OG$20=1), OT85, OR85)</f>
        <v>0</v>
      </c>
      <c r="ON85" s="12">
        <f>ON$22 * IF(AND(OM$5=1,OG$20=1), OT85, OR85)</f>
        <v>0</v>
      </c>
      <c r="OO85" s="12">
        <f>OO$22 * IF(AND(ON$5=1,OG$20=1), OT85, OR85)</f>
        <v>0</v>
      </c>
      <c r="OQ85" t="s">
        <v>1303</v>
      </c>
      <c r="OR85">
        <f>_xlfn.XLOOKUP(OQ85,'KPI Impacts'!$B$2:$H$2,'KPI Impacts'!$B85:$H85)</f>
        <v>0</v>
      </c>
      <c r="OS85" s="9" t="s">
        <v>1303</v>
      </c>
      <c r="OT85">
        <f>_xlfn.XLOOKUP(OS85,'KPI Impacts'!$B$2:$H$2,'KPI Impacts'!$B85:$H85)</f>
        <v>0</v>
      </c>
    </row>
    <row r="86" spans="1:410" x14ac:dyDescent="0.2">
      <c r="A86" s="9" t="s">
        <v>1315</v>
      </c>
      <c r="B86" s="12">
        <f t="shared" si="527"/>
        <v>0</v>
      </c>
      <c r="C86" s="12">
        <f t="shared" si="527"/>
        <v>0</v>
      </c>
      <c r="D86" s="12">
        <f t="shared" si="527"/>
        <v>0</v>
      </c>
      <c r="E86" s="12">
        <f t="shared" si="527"/>
        <v>0</v>
      </c>
      <c r="F86" s="12">
        <f t="shared" si="527"/>
        <v>0</v>
      </c>
      <c r="G86" s="12">
        <f t="shared" si="527"/>
        <v>0</v>
      </c>
      <c r="H86" s="12">
        <f t="shared" si="527"/>
        <v>0</v>
      </c>
      <c r="I86" s="12">
        <f t="shared" si="529"/>
        <v>0</v>
      </c>
      <c r="J86" s="12">
        <f t="shared" si="529"/>
        <v>0</v>
      </c>
      <c r="M86">
        <f>M$5*V86</f>
        <v>0</v>
      </c>
      <c r="N86">
        <f>N$5*V86</f>
        <v>0</v>
      </c>
      <c r="O86">
        <f>O$5*V86</f>
        <v>0</v>
      </c>
      <c r="P86">
        <f>P$5*V86</f>
        <v>0</v>
      </c>
      <c r="Q86">
        <f>Q$5*V86</f>
        <v>0</v>
      </c>
      <c r="R86">
        <f>R$5*V86</f>
        <v>0</v>
      </c>
      <c r="S86">
        <f>S$5*V86</f>
        <v>0</v>
      </c>
      <c r="U86" t="s">
        <v>1303</v>
      </c>
      <c r="V86">
        <f>_xlfn.XLOOKUP(U86,'KPI Impacts'!$B$2:$H$2,'KPI Impacts'!$B86:$H86)</f>
        <v>0</v>
      </c>
      <c r="X86" s="17"/>
      <c r="Y86" s="12" cm="1">
        <f t="array" ref="Y86">_xlfn.SWITCH(Y$4, 0,0, 1, AJ86,2,AL86,3,AN86,0)</f>
        <v>0</v>
      </c>
      <c r="Z86" s="12" cm="1">
        <f t="array" ref="Z86">_xlfn.SWITCH(Z$4, 0,0, 1, AJ86,2,AL86,3,AN86,0)+Y86</f>
        <v>0</v>
      </c>
      <c r="AA86" s="12" cm="1">
        <f t="array" ref="AA86">_xlfn.SWITCH(AA$4, 0,0, 1, AJ86,2,AL86,3,AN86,0)+Z86</f>
        <v>0</v>
      </c>
      <c r="AB86" s="12" cm="1">
        <f t="array" ref="AB86">_xlfn.SWITCH(AB$4, 0,0, 1, AJ86,2,AL86,3,AN86,0)+AA86</f>
        <v>0</v>
      </c>
      <c r="AC86" s="12" cm="1">
        <f t="array" ref="AC86">_xlfn.SWITCH(AC$4, 0,0, 1, AJ86,2,AL86,3,AN86,0)+AB86</f>
        <v>0</v>
      </c>
      <c r="AD86" s="12" cm="1">
        <f t="array" ref="AD86">_xlfn.SWITCH(AD$4, 0,0, 1, AJ86,2,AL86,3,AN86,0)+AC86</f>
        <v>0</v>
      </c>
      <c r="AE86" s="12" cm="1">
        <f t="array" ref="AE86">_xlfn.SWITCH(AE$4, 0,0, 1, AJ86,2,AL86,3,AN86,0)+AD86</f>
        <v>0</v>
      </c>
      <c r="AF86" s="12" cm="1">
        <f t="array" ref="AF86">_xlfn.SWITCH(AF$4, 0,0, 1, AJ86,2,AL86,3,AN86,0)+AE86</f>
        <v>0</v>
      </c>
      <c r="AG86" s="12" cm="1">
        <f t="array" ref="AG86">_xlfn.SWITCH(AG$4, 0,0, 1, AJ86,2,AL86,3,AN86,0)+AF86</f>
        <v>0</v>
      </c>
      <c r="AI86" t="s">
        <v>1303</v>
      </c>
      <c r="AJ86">
        <f>_xlfn.XLOOKUP(AI86,'KPI Impacts'!$K$2:$Q$2,'KPI Impacts'!$K86:$Q86)</f>
        <v>0</v>
      </c>
      <c r="AK86" t="s">
        <v>1303</v>
      </c>
      <c r="AL86">
        <f>_xlfn.XLOOKUP(AK86,'KPI Impacts'!$K$2:$Q$2,'KPI Impacts'!$K86:$Q86)</f>
        <v>0</v>
      </c>
      <c r="AM86" t="s">
        <v>1303</v>
      </c>
      <c r="AN86">
        <f>_xlfn.XLOOKUP(AM86,'KPI Impacts'!$K$2:$Q$2,'KPI Impacts'!$K86:$Q86)</f>
        <v>0</v>
      </c>
      <c r="AP86" s="17"/>
      <c r="AQ86" s="12" cm="1">
        <f t="array" ref="AQ86">_xlfn.SWITCH(AQ$4, 0,0, 1, BB86,2,BD86,3,BF86,0)</f>
        <v>0</v>
      </c>
      <c r="AR86" s="12" cm="1">
        <f t="array" ref="AR86">_xlfn.SWITCH(AR$4, 0,0, 1, BB86,2,BD86,3,BF86,0)+AQ86</f>
        <v>0</v>
      </c>
      <c r="AS86" s="12" cm="1">
        <f t="array" ref="AS86">_xlfn.SWITCH(AS$4, 0,0, 1, BB86,2,BD86,3,BF86,0)+AR86</f>
        <v>0</v>
      </c>
      <c r="AT86" s="12" cm="1">
        <f t="array" ref="AT86">_xlfn.SWITCH(AT$4, 0,0, 1, BB86,2,BD86,3,BF86,0)+AS86</f>
        <v>0</v>
      </c>
      <c r="AU86" s="12" cm="1">
        <f t="array" ref="AU86">_xlfn.SWITCH(AU$4, 0,0, 1, BB86,2,BD86,3,BF86,0)+AT86</f>
        <v>0</v>
      </c>
      <c r="AV86" s="12" cm="1">
        <f t="array" ref="AV86">_xlfn.SWITCH(AV$4, 0,0, 1, BB86,2,BD86,3,BF86,0)+AU86</f>
        <v>0</v>
      </c>
      <c r="AW86" s="12" cm="1">
        <f t="array" ref="AW86">_xlfn.SWITCH(AW$4, 0,0, 1, BB86,2,BD86,3,BF86,0)+AV86</f>
        <v>0</v>
      </c>
      <c r="AX86" s="12" cm="1">
        <f t="array" ref="AX86">_xlfn.SWITCH(AX$4, 0,0, 1, BB86,2,BD86,3,BF86,0)+AW86</f>
        <v>0</v>
      </c>
      <c r="AY86" s="12" cm="1">
        <f t="array" ref="AY86">_xlfn.SWITCH(AY$4, 0,0, 1, BB86,2,BD86,3,BF86,0)+AX86</f>
        <v>0</v>
      </c>
      <c r="BA86" t="s">
        <v>1303</v>
      </c>
      <c r="BB86">
        <f>_xlfn.XLOOKUP(BA86,'KPI Impacts'!$K$2:$Q$2,'KPI Impacts'!$K86:$Q86)</f>
        <v>0</v>
      </c>
      <c r="BC86" t="s">
        <v>1303</v>
      </c>
      <c r="BD86">
        <f>_xlfn.XLOOKUP(BC86,'KPI Impacts'!$K$2:$Q$2,'KPI Impacts'!$K86:$Q86)</f>
        <v>0</v>
      </c>
      <c r="BE86" t="s">
        <v>1303</v>
      </c>
      <c r="BF86">
        <f>_xlfn.XLOOKUP(BE86,'KPI Impacts'!$K$2:$Q$2,'KPI Impacts'!$K86:$Q86)</f>
        <v>0</v>
      </c>
      <c r="BH86" s="17"/>
      <c r="BI86" s="12">
        <f>BI$22*BT86</f>
        <v>0</v>
      </c>
      <c r="BJ86" s="12">
        <f>BJ$22 * IF(AND(BI$5=1,BI$20=1), BV86, BT86)</f>
        <v>0</v>
      </c>
      <c r="BK86" s="12">
        <f>BK$22 * IF(AND(BJ$5=1,BI$20=1), BV86, BT86)</f>
        <v>0</v>
      </c>
      <c r="BL86" s="12">
        <f>BL$22 * IF(AND(BK$5=1,BI$20=1), BV86, BT86)</f>
        <v>0</v>
      </c>
      <c r="BM86" s="12">
        <f>BM$22 * IF(AND(BL$5=1,BI$20=1), BV86, BT86)</f>
        <v>0</v>
      </c>
      <c r="BN86" s="12">
        <f>BN$22 * IF(AND(BM$5=1,BI$20=1), BV86, BT86)</f>
        <v>0</v>
      </c>
      <c r="BO86" s="12">
        <f>BO$22 * IF(AND(BN$5=1,BI$20=1), BV86, BT86)</f>
        <v>0</v>
      </c>
      <c r="BP86" s="12">
        <f>BP$22 * IF(AND(BO$5=1,BI$20=1), BV86, BT86)</f>
        <v>0</v>
      </c>
      <c r="BQ86" s="12">
        <f>BQ$22 * IF(AND(BP$5=1,BI$20=1), BV86, BT86)</f>
        <v>0</v>
      </c>
      <c r="BS86" s="16" t="s">
        <v>1303</v>
      </c>
      <c r="BT86">
        <f>_xlfn.XLOOKUP(BS86,'KPI Impacts'!$B$2:$H$2,'KPI Impacts'!$B86:$H86)</f>
        <v>0</v>
      </c>
      <c r="BU86" s="35" t="s">
        <v>1303</v>
      </c>
      <c r="BV86">
        <f>_xlfn.XLOOKUP(BU86,'KPI Impacts'!$B$2:$H$2,'KPI Impacts'!$B86:$H86)</f>
        <v>0</v>
      </c>
      <c r="BX86" s="17"/>
      <c r="BY86" s="12">
        <f>BY$22*CJ86</f>
        <v>0</v>
      </c>
      <c r="BZ86" s="12">
        <f>BZ$22 * IF(AND(BY$5=1,BY$20=1), CL86, CJ86)</f>
        <v>0</v>
      </c>
      <c r="CA86" s="12">
        <f>CA$22 * IF(AND(BZ$5=1,BY$20=1), CL86, CJ86)</f>
        <v>0</v>
      </c>
      <c r="CB86" s="12">
        <f>CB$22 * IF(AND(CA$5=1,BY$20=1), CL86, CJ86)</f>
        <v>0</v>
      </c>
      <c r="CC86" s="12">
        <f>CC$22 * IF(AND(CB$5=1,BY$20=1), CL86, CJ86)</f>
        <v>0</v>
      </c>
      <c r="CD86" s="12">
        <f>CD$22 * IF(AND(CC$5=1,BY$20=1), CL86, CJ86)</f>
        <v>0</v>
      </c>
      <c r="CE86" s="12">
        <f>CE$22 * IF(AND(CD$5=1,BY$20=1), CL86, CJ86)</f>
        <v>0</v>
      </c>
      <c r="CF86" s="12">
        <f>CF$22 * IF(AND(CE$5=1,BY$20=1), CL86, CJ86)</f>
        <v>0</v>
      </c>
      <c r="CG86" s="12">
        <f>CG$22 * IF(AND(CF$5=1,BY$20=1), CL86, CJ86)</f>
        <v>0</v>
      </c>
      <c r="CI86" s="16" t="s">
        <v>1303</v>
      </c>
      <c r="CJ86">
        <f>_xlfn.XLOOKUP(CI86,'KPI Impacts'!$B$2:$H$2,'KPI Impacts'!$B86:$H86)</f>
        <v>0</v>
      </c>
      <c r="CK86" s="35" t="s">
        <v>1303</v>
      </c>
      <c r="CL86">
        <f>_xlfn.XLOOKUP(CK86,'KPI Impacts'!$B$2:$H$2,'KPI Impacts'!$B86:$H86)</f>
        <v>0</v>
      </c>
      <c r="CN86" s="17"/>
      <c r="CO86" s="12">
        <f>CO$22*CZ86</f>
        <v>0</v>
      </c>
      <c r="CP86" s="12">
        <f>CP$22 * IF(AND(CO$5=1,CO$20=1), DB86, CZ86)</f>
        <v>0</v>
      </c>
      <c r="CQ86" s="12">
        <f>CQ$22 * IF(AND(CP$5=1,CO$20=1), DB86, CZ86)</f>
        <v>0</v>
      </c>
      <c r="CR86" s="12">
        <f>CR$22 * IF(AND(CQ$5=1,CO$20=1), DB86, CZ86)</f>
        <v>0</v>
      </c>
      <c r="CS86" s="12">
        <f>CS$22 * IF(AND(CR$5=1,CO$20=1), DB86, CZ86)</f>
        <v>0</v>
      </c>
      <c r="CT86" s="12">
        <f>CT$22 * IF(AND(CS$5=1,CO$20=1), DB86, CZ86)</f>
        <v>0</v>
      </c>
      <c r="CU86" s="12">
        <f>CU$22 * IF(AND(CT$5=1,CO$20=1), DB86, CZ86)</f>
        <v>0</v>
      </c>
      <c r="CV86" s="12">
        <f>CV$22 * IF(AND(CU$5=1,CO$20=1), DB86, CZ86)</f>
        <v>0</v>
      </c>
      <c r="CW86" s="12">
        <f>CW$22 * IF(AND(CV$5=1,CO$20=1), DB86, CZ86)</f>
        <v>0</v>
      </c>
      <c r="CY86" s="16" t="s">
        <v>1303</v>
      </c>
      <c r="CZ86">
        <f>_xlfn.XLOOKUP(CY86,'KPI Impacts'!$B$2:$H$2,'KPI Impacts'!$B86:$H86)</f>
        <v>0</v>
      </c>
      <c r="DA86" s="35" t="s">
        <v>1303</v>
      </c>
      <c r="DB86">
        <f>_xlfn.XLOOKUP(DA86,'KPI Impacts'!$B$2:$H$2,'KPI Impacts'!$B86:$H86)</f>
        <v>0</v>
      </c>
      <c r="DD86" s="17"/>
      <c r="DE86" s="12">
        <f>DE$22*DP86</f>
        <v>0</v>
      </c>
      <c r="DF86" s="12">
        <f>DF$22 * IF(AND(DE$5=1,DE$20=1), DR86, DP86)</f>
        <v>0</v>
      </c>
      <c r="DG86" s="12">
        <f>DG$22 * IF(AND(DF$5=1,DE$20=1), DR86, DP86)</f>
        <v>0</v>
      </c>
      <c r="DH86" s="12">
        <f>DH$22 * IF(AND(DG$5=1,DE$20=1), DR86, DP86)</f>
        <v>0</v>
      </c>
      <c r="DI86" s="12">
        <f>DI$22 * IF(AND(DH$5=1,DE$20=1), DR86, DP86)</f>
        <v>0</v>
      </c>
      <c r="DJ86" s="12">
        <f>DJ$22 * IF(AND(DI$5=1,DE$20=1), DR86, DP86)</f>
        <v>0</v>
      </c>
      <c r="DK86" s="12">
        <f>DK$22 * IF(AND(DJ$5=1,DE$20=1), DR86, DP86)</f>
        <v>0</v>
      </c>
      <c r="DL86" s="12">
        <f>DL$22 * IF(AND(DK$5=1,DE$20=1), DR86, DP86)</f>
        <v>0</v>
      </c>
      <c r="DM86" s="12">
        <f>DM$22 * IF(AND(DL$5=1,DE$20=1), DR86, DP86)</f>
        <v>0</v>
      </c>
      <c r="DO86" s="16" t="s">
        <v>1303</v>
      </c>
      <c r="DP86">
        <f>_xlfn.XLOOKUP(DO86,'KPI Impacts'!$B$2:$H$2,'KPI Impacts'!$B86:$H86)</f>
        <v>0</v>
      </c>
      <c r="DQ86" s="35" t="s">
        <v>1303</v>
      </c>
      <c r="DR86">
        <f>_xlfn.XLOOKUP(DQ86,'KPI Impacts'!$B$2:$H$2,'KPI Impacts'!$B86:$H86)</f>
        <v>0</v>
      </c>
      <c r="DT86" s="17"/>
      <c r="DU86" s="12">
        <f>DU$22*EF86</f>
        <v>0</v>
      </c>
      <c r="DV86" s="12">
        <f>DV$22 * IF(AND(DU$5=1,DU$20=1), EH86, EF86)</f>
        <v>0</v>
      </c>
      <c r="DW86" s="12">
        <f>DW$22 * IF(AND(DV$5=1,DU$20=1), EH86, EF86)</f>
        <v>0</v>
      </c>
      <c r="DX86" s="12">
        <f>DX$22 * IF(AND(DW$5=1,DU$20=1), EH86, EF86)</f>
        <v>0</v>
      </c>
      <c r="DY86" s="12">
        <f>DY$22 * IF(AND(DX$5=1,DU$20=1), EH86, EF86)</f>
        <v>0</v>
      </c>
      <c r="DZ86" s="12">
        <f>DZ$22 * IF(AND(DY$5=1,DU$20=1), EH86, EF86)</f>
        <v>0</v>
      </c>
      <c r="EA86" s="12">
        <f>EA$22 * IF(AND(DZ$5=1,DU$20=1), EH86, EF86)</f>
        <v>0</v>
      </c>
      <c r="EB86" s="12">
        <f>EB$22 * IF(AND(EA$5=1,DU$20=1), EH86, EF86)</f>
        <v>0</v>
      </c>
      <c r="EC86" s="12">
        <f>EC$22 * IF(AND(EB$5=1,DU$20=1), EH86, EF86)</f>
        <v>0</v>
      </c>
      <c r="EE86" s="16" t="s">
        <v>1303</v>
      </c>
      <c r="EF86">
        <f>_xlfn.XLOOKUP(EE86,'KPI Impacts'!$B$2:$H$2,'KPI Impacts'!$B86:$H86)</f>
        <v>0</v>
      </c>
      <c r="EG86" s="35" t="s">
        <v>1303</v>
      </c>
      <c r="EH86">
        <f>_xlfn.XLOOKUP(EG86,'KPI Impacts'!$B$2:$H$2,'KPI Impacts'!$B86:$H86)</f>
        <v>0</v>
      </c>
      <c r="EJ86" s="17"/>
      <c r="EK86" s="12">
        <f>EK$22*EV86</f>
        <v>0</v>
      </c>
      <c r="EL86" s="12">
        <f>EL$22 * IF(AND(EK$5=1,EK$20=1), EX86, EV86)</f>
        <v>0</v>
      </c>
      <c r="EM86" s="12">
        <f>EM$22 * IF(AND(EL$5=1,EK$20=1), EX86, EV86)</f>
        <v>0</v>
      </c>
      <c r="EN86" s="12">
        <f>EN$22 * IF(AND(EM$5=1,EK$20=1), EX86, EV86)</f>
        <v>0</v>
      </c>
      <c r="EO86" s="12">
        <f>EO$22 * IF(AND(EN$5=1,EK$20=1), EX86, EV86)</f>
        <v>0</v>
      </c>
      <c r="EP86" s="12">
        <f>EP$22 * IF(AND(EO$5=1,EK$20=1), EX86, EV86)</f>
        <v>0</v>
      </c>
      <c r="EQ86" s="12">
        <f>EQ$22 * IF(AND(EP$5=1,EK$20=1), EX86, EV86)</f>
        <v>0</v>
      </c>
      <c r="ER86" s="12">
        <f>ER$22 * IF(AND(EQ$5=1,EK$20=1), EX86, EV86)</f>
        <v>0</v>
      </c>
      <c r="ES86" s="12">
        <f>ES$22 * IF(AND(ER$5=1,EK$20=1), EX86, EV86)</f>
        <v>0</v>
      </c>
      <c r="EU86" s="16" t="s">
        <v>1303</v>
      </c>
      <c r="EV86">
        <f>_xlfn.XLOOKUP(EU86,'KPI Impacts'!$B$2:$H$2,'KPI Impacts'!$B86:$H86)</f>
        <v>0</v>
      </c>
      <c r="EW86" s="35" t="s">
        <v>1303</v>
      </c>
      <c r="EX86">
        <f>_xlfn.XLOOKUP(EW86,'KPI Impacts'!$B$2:$H$2,'KPI Impacts'!$B86:$H86)</f>
        <v>0</v>
      </c>
      <c r="EZ86" s="17"/>
      <c r="FA86" s="12">
        <f>FA$22*FL86</f>
        <v>0</v>
      </c>
      <c r="FB86" s="12">
        <f>FB$22 * IF(AND(FA$5=1,FA$20=1), FN86, FL86)</f>
        <v>0</v>
      </c>
      <c r="FC86" s="12">
        <f>FC$22 * IF(AND(FB$5=1,FA$20=1), FN86, FL86)</f>
        <v>0</v>
      </c>
      <c r="FD86" s="12">
        <f>FD$22 * IF(AND(FC$5=1,FA$20=1), FN86, FL86)</f>
        <v>0</v>
      </c>
      <c r="FE86" s="12">
        <f>FE$22 * IF(AND(FD$5=1,FA$20=1), FN86, FL86)</f>
        <v>0</v>
      </c>
      <c r="FF86" s="12">
        <f>FF$22 * IF(AND(FE$5=1,FA$20=1), FN86, FL86)</f>
        <v>0</v>
      </c>
      <c r="FG86" s="12">
        <f>FG$22 * IF(AND(FF$5=1,FA$20=1), FN86, FL86)</f>
        <v>0</v>
      </c>
      <c r="FH86" s="12">
        <f>FH$22 * IF(AND(FG$5=1,FA$20=1), FN86, FL86)</f>
        <v>0</v>
      </c>
      <c r="FI86" s="12">
        <f>FI$22 * IF(AND(FH$5=1,FA$20=1), FN86, FL86)</f>
        <v>0</v>
      </c>
      <c r="FK86" s="16" t="s">
        <v>1303</v>
      </c>
      <c r="FL86">
        <f>_xlfn.XLOOKUP(FK86,'KPI Impacts'!$B$2:$H$2,'KPI Impacts'!$B86:$H86)</f>
        <v>0</v>
      </c>
      <c r="FM86" s="16" t="s">
        <v>1303</v>
      </c>
      <c r="FN86">
        <f>_xlfn.XLOOKUP(FM86,'KPI Impacts'!$B$2:$H$2,'KPI Impacts'!$B86:$H86)</f>
        <v>0</v>
      </c>
      <c r="FP86" s="17"/>
      <c r="FQ86" s="12">
        <f>FQ$22*GB86</f>
        <v>0</v>
      </c>
      <c r="FR86" s="12">
        <f>FR$22 * IF(AND(FQ$5=1,FQ$20=1), GD86, GB86)</f>
        <v>0</v>
      </c>
      <c r="FS86" s="12">
        <f>FS$22 * IF(AND(FR$5=1,FQ$20=1), GD86, GB86)</f>
        <v>0</v>
      </c>
      <c r="FT86" s="12">
        <f>FT$22 * IF(AND(FS$5=1,FQ$20=1), GD86, GB86)</f>
        <v>0</v>
      </c>
      <c r="FU86" s="12">
        <f>FU$22 * IF(AND(FT$5=1,FQ$20=1), GD86, GB86)</f>
        <v>0</v>
      </c>
      <c r="FV86" s="12">
        <f>FV$22 * IF(AND(FU$5=1,FQ$20=1), GD86, GB86)</f>
        <v>0</v>
      </c>
      <c r="FW86" s="12">
        <f>FW$22 * IF(AND(FV$5=1,FQ$20=1), GD86, GB86)</f>
        <v>0</v>
      </c>
      <c r="FX86" s="12">
        <f>FX$22 * IF(AND(FW$5=1,FQ$20=1), GD86, GB86)</f>
        <v>0</v>
      </c>
      <c r="FY86" s="12">
        <f>FY$22 * IF(AND(FX$5=1,FQ$20=1), GD86, GB86)</f>
        <v>0</v>
      </c>
      <c r="GA86" s="16" t="s">
        <v>1303</v>
      </c>
      <c r="GB86">
        <f>_xlfn.XLOOKUP(GA86,'KPI Impacts'!$B$2:$H$2,'KPI Impacts'!$B86:$H86)</f>
        <v>0</v>
      </c>
      <c r="GC86" s="9" t="s">
        <v>1303</v>
      </c>
      <c r="GD86">
        <f>_xlfn.XLOOKUP(GC86,'KPI Impacts'!$B$2:$H$2,'KPI Impacts'!$B86:$H86)</f>
        <v>0</v>
      </c>
      <c r="GF86" s="17"/>
      <c r="GG86" s="12">
        <f>GG$22*GR86</f>
        <v>0</v>
      </c>
      <c r="GH86" s="12">
        <f>GH$22 * IF(AND(GG$5=1,GG$20=1), GT86, GR86)</f>
        <v>0</v>
      </c>
      <c r="GI86" s="12">
        <f>GI$22 * IF(AND(GH$5=1,GG$20=1), GT86, GR86)</f>
        <v>0</v>
      </c>
      <c r="GJ86" s="12">
        <f>GJ$22 * IF(AND(GI$5=1,GG$20=1), GT86, GR86)</f>
        <v>0</v>
      </c>
      <c r="GK86" s="12">
        <f>GK$22 * IF(AND(GJ$5=1,GG$20=1), GT86, GR86)</f>
        <v>0</v>
      </c>
      <c r="GL86" s="12">
        <f>GL$22 * IF(AND(GK$5=1,GG$20=1), GT86, GR86)</f>
        <v>0</v>
      </c>
      <c r="GM86" s="12">
        <f>GM$22 * IF(AND(GL$5=1,GG$20=1), GT86, GR86)</f>
        <v>0</v>
      </c>
      <c r="GN86" s="12">
        <f>GN$22 * IF(AND(GM$5=1,GG$20=1), GT86, GR86)</f>
        <v>0</v>
      </c>
      <c r="GO86" s="12">
        <f>GO$22 * IF(AND(GN$5=1,GG$20=1), GT86, GR86)</f>
        <v>0</v>
      </c>
      <c r="GQ86" s="16" t="s">
        <v>1303</v>
      </c>
      <c r="GR86">
        <f>_xlfn.XLOOKUP(GQ86,'KPI Impacts'!$B$2:$H$2,'KPI Impacts'!$B86:$H86)</f>
        <v>0</v>
      </c>
      <c r="GS86" s="9" t="s">
        <v>1303</v>
      </c>
      <c r="GT86">
        <f>_xlfn.XLOOKUP(GS86,'KPI Impacts'!$B$2:$H$2,'KPI Impacts'!$B86:$H86)</f>
        <v>0</v>
      </c>
      <c r="GW86" s="12">
        <f>GW$22*HH86</f>
        <v>0</v>
      </c>
      <c r="GX86" s="12">
        <f>GX$22 * IF(AND(GW$5=1,GW$20=1), HJ86, HH86)</f>
        <v>0</v>
      </c>
      <c r="GY86" s="12">
        <f>GY$22 * IF(AND(GX$5=1,GW$20=1), HJ86, HH86)</f>
        <v>0</v>
      </c>
      <c r="GZ86" s="12">
        <f>GZ$22 * IF(AND(GY$5=1,GW$20=1), HJ86, HH86)</f>
        <v>0</v>
      </c>
      <c r="HA86" s="12">
        <f>HA$22 * IF(AND(GZ$5=1,GW$20=1), HJ86, HH86)</f>
        <v>0</v>
      </c>
      <c r="HB86" s="12">
        <f>HB$22 * IF(AND(HA$5=1,GW$20=1), HJ86, HH86)</f>
        <v>0</v>
      </c>
      <c r="HC86" s="12">
        <f>HC$22 * IF(AND(HB$5=1,GW$20=1), HJ86, HH86)</f>
        <v>0</v>
      </c>
      <c r="HD86" s="12">
        <f>HD$22 * IF(AND(HC$5=1,GW$20=1), HJ86, HH86)</f>
        <v>0</v>
      </c>
      <c r="HE86" s="12">
        <f>HE$22 * IF(AND(HD$5=1,GW$20=1), HJ86, HH86)</f>
        <v>0</v>
      </c>
      <c r="HG86" s="16" t="s">
        <v>1303</v>
      </c>
      <c r="HH86">
        <f>_xlfn.XLOOKUP(HG86,'KPI Impacts'!$B$2:$H$2,'KPI Impacts'!$B86:$H86)</f>
        <v>0</v>
      </c>
      <c r="HI86" s="9" t="s">
        <v>1303</v>
      </c>
      <c r="HJ86">
        <f>_xlfn.XLOOKUP(HI86,'KPI Impacts'!$B$2:$H$2,'KPI Impacts'!$B86:$H86)</f>
        <v>0</v>
      </c>
      <c r="HM86" s="12">
        <f>HM$22*HX86</f>
        <v>0</v>
      </c>
      <c r="HN86" s="12">
        <f>HN$22 * IF(AND(HM$5=1,HM$20=1), HZ86, HX86)</f>
        <v>0</v>
      </c>
      <c r="HO86" s="12">
        <f>HO$22 * IF(AND(HN$5=1,HM$20=1), HZ86, HX86)</f>
        <v>0</v>
      </c>
      <c r="HP86" s="12">
        <f>HP$22 * IF(AND(HO$5=1,HM$20=1), HZ86, HX86)</f>
        <v>0</v>
      </c>
      <c r="HQ86" s="12">
        <f>HQ$22 * IF(AND(HP$5=1,HM$20=1), HZ86, HX86)</f>
        <v>0</v>
      </c>
      <c r="HR86" s="12">
        <f>HR$22 * IF(AND(HQ$5=1,HM$20=1), HZ86, HX86)</f>
        <v>0</v>
      </c>
      <c r="HS86" s="12">
        <f>HS$22 * IF(AND(HR$5=1,HM$20=1), HZ86, HX86)</f>
        <v>0</v>
      </c>
      <c r="HT86" s="12">
        <f>HT$22 * IF(AND(HS$5=1,HM$20=1), HZ86, HX86)</f>
        <v>0</v>
      </c>
      <c r="HU86" s="12">
        <f>HU$22 * IF(AND(HT$5=1,HM$20=1), HZ86, HX86)</f>
        <v>0</v>
      </c>
      <c r="HW86" s="16" t="s">
        <v>1303</v>
      </c>
      <c r="HX86">
        <f>_xlfn.XLOOKUP(HW86,'KPI Impacts'!$B$2:$H$2,'KPI Impacts'!$B86:$H86)</f>
        <v>0</v>
      </c>
      <c r="HY86" s="9" t="s">
        <v>1303</v>
      </c>
      <c r="HZ86">
        <f>_xlfn.XLOOKUP(HY86,'KPI Impacts'!$B$2:$H$2,'KPI Impacts'!$B86:$H86)</f>
        <v>0</v>
      </c>
      <c r="IC86" s="12">
        <f>IC$22*IN86</f>
        <v>0</v>
      </c>
      <c r="ID86" s="12">
        <f>ID$22 * IF(AND(IC$5=1,IC$20=1), IP86, IN86)</f>
        <v>0</v>
      </c>
      <c r="IE86" s="12">
        <f>IE$22 * IF(AND(ID$5=1,IC$20=1), IP86, IN86)</f>
        <v>0</v>
      </c>
      <c r="IF86" s="12">
        <f>IF$22 * IF(AND(IE$5=1,IC$20=1), IP86, IN86)</f>
        <v>0</v>
      </c>
      <c r="IG86" s="12">
        <f>IG$22 * IF(AND(IF$5=1,IC$20=1), IP86, IN86)</f>
        <v>0</v>
      </c>
      <c r="IH86" s="12">
        <f>IH$22 * IF(AND(IG$5=1,IC$20=1), IP86, IN86)</f>
        <v>0</v>
      </c>
      <c r="II86" s="12">
        <f>II$22 * IF(AND(IH$5=1,IC$20=1), IP86, IN86)</f>
        <v>0</v>
      </c>
      <c r="IJ86" s="12">
        <f>IJ$22 * IF(AND(II$5=1,IC$20=1), IP86, IN86)</f>
        <v>0</v>
      </c>
      <c r="IK86" s="12">
        <f>IK$22 * IF(AND(IJ$5=1,IC$20=1), IP86, IN86)</f>
        <v>0</v>
      </c>
      <c r="IM86" s="16" t="s">
        <v>1303</v>
      </c>
      <c r="IN86">
        <f>_xlfn.XLOOKUP(IM86,'KPI Impacts'!$B$2:$H$2,'KPI Impacts'!$B86:$H86)</f>
        <v>0</v>
      </c>
      <c r="IO86" s="9" t="s">
        <v>1303</v>
      </c>
      <c r="IP86">
        <f>_xlfn.XLOOKUP(IO86,'KPI Impacts'!$B$2:$H$2,'KPI Impacts'!$B86:$H86)</f>
        <v>0</v>
      </c>
      <c r="IS86" s="12">
        <f>IS$22*JD86</f>
        <v>0</v>
      </c>
      <c r="IT86" s="12">
        <f>IT$22 * IF(AND(IS$5=1,IS$20=1), JF86, JD86)</f>
        <v>0</v>
      </c>
      <c r="IU86" s="12">
        <f>IU$22 * IF(AND(IT$5=1,IS$20=1), JF86, JD86)</f>
        <v>0</v>
      </c>
      <c r="IV86" s="12">
        <f>IV$22 * IF(AND(IU$5=1,IS$20=1), JF86, JD86)</f>
        <v>0</v>
      </c>
      <c r="IW86" s="12">
        <f>IW$22 * IF(AND(IV$5=1,IS$20=1), JF86, JD86)</f>
        <v>0</v>
      </c>
      <c r="IX86" s="12">
        <f>IX$22 * IF(AND(IW$5=1,IS$20=1), JF86, JD86)</f>
        <v>0</v>
      </c>
      <c r="IY86" s="12">
        <f>IY$22 * IF(AND(IX$5=1,IS$20=1), JF86, JD86)</f>
        <v>0</v>
      </c>
      <c r="IZ86" s="12">
        <f>IZ$22 * IF(AND(IY$5=1,IS$20=1), JF86, JD86)</f>
        <v>0</v>
      </c>
      <c r="JA86" s="12">
        <f>JA$22 * IF(AND(IZ$5=1,IS$20=1), JF86, JD86)</f>
        <v>0</v>
      </c>
      <c r="JC86" t="s">
        <v>1303</v>
      </c>
      <c r="JD86">
        <f>_xlfn.XLOOKUP(JC86,'KPI Impacts'!$B$2:$H$2,'KPI Impacts'!$B86:$H86)</f>
        <v>0</v>
      </c>
      <c r="JE86" s="9" t="s">
        <v>1303</v>
      </c>
      <c r="JF86">
        <f>_xlfn.XLOOKUP(JE86,'KPI Impacts'!$B$2:$H$2,'KPI Impacts'!$B86:$H86)</f>
        <v>0</v>
      </c>
      <c r="JI86" s="12">
        <f>JI$22*JT86</f>
        <v>0</v>
      </c>
      <c r="JJ86" s="12">
        <f>JJ$22 * IF(AND(JI$5=1,JI$20=1), JV86, JT86)</f>
        <v>0</v>
      </c>
      <c r="JK86" s="12">
        <f>JK$22 * IF(AND(JJ$5=1,JI$20=1), JV86, JT86)</f>
        <v>0</v>
      </c>
      <c r="JL86" s="12">
        <f>JL$22 * IF(AND(JK$5=1,JI$20=1), JV86, JT86)</f>
        <v>0</v>
      </c>
      <c r="JM86" s="12">
        <f>JM$22 * IF(AND(JL$5=1,JI$20=1), JV86, JT86)</f>
        <v>0</v>
      </c>
      <c r="JN86" s="12">
        <f>JN$22 * IF(AND(JM$5=1,JI$20=1), JV86, JT86)</f>
        <v>0</v>
      </c>
      <c r="JO86" s="12">
        <f>JO$22 * IF(AND(JN$5=1,JI$20=1), JV86, JT86)</f>
        <v>0</v>
      </c>
      <c r="JP86" s="12">
        <f>JP$22 * IF(AND(JO$5=1,JI$20=1), JV86, JT86)</f>
        <v>0</v>
      </c>
      <c r="JQ86" s="12">
        <f>JQ$22 * IF(AND(JP$5=1,JI$20=1), JV86, JT86)</f>
        <v>0</v>
      </c>
      <c r="JS86" t="s">
        <v>1303</v>
      </c>
      <c r="JT86">
        <f>_xlfn.XLOOKUP(JS86,'KPI Impacts'!$B$2:$H$2,'KPI Impacts'!$B86:$H86)</f>
        <v>0</v>
      </c>
      <c r="JU86" s="9" t="s">
        <v>1303</v>
      </c>
      <c r="JV86">
        <f>_xlfn.XLOOKUP(JU86,'KPI Impacts'!$B$2:$H$2,'KPI Impacts'!$B86:$H86)</f>
        <v>0</v>
      </c>
      <c r="JY86" s="12">
        <f>JY$22*KJ86</f>
        <v>0</v>
      </c>
      <c r="JZ86" s="12">
        <f>JZ$22 * IF(AND(JY$5=1,JY$20=1), KL86, KJ86)</f>
        <v>0</v>
      </c>
      <c r="KA86" s="12">
        <f>KA$22 * IF(AND(JZ$5=1,JY$20=1), KL86, KJ86)</f>
        <v>0</v>
      </c>
      <c r="KB86" s="12">
        <f>KB$22 * IF(AND(KA$5=1,JY$20=1), KL86, KJ86)</f>
        <v>0</v>
      </c>
      <c r="KC86" s="12">
        <f>KC$22 * IF(AND(KB$5=1,JY$20=1), KL86, KJ86)</f>
        <v>0</v>
      </c>
      <c r="KD86" s="12">
        <f>KD$22 * IF(AND(KC$5=1,JY$20=1), KL86, KJ86)</f>
        <v>0</v>
      </c>
      <c r="KE86" s="12">
        <f>KE$22 * IF(AND(KD$5=1,JY$20=1), KL86, KJ86)</f>
        <v>0</v>
      </c>
      <c r="KF86" s="12">
        <f>KF$22 * IF(AND(KE$5=1,JY$20=1), KL86, KJ86)</f>
        <v>0</v>
      </c>
      <c r="KG86" s="12">
        <f>KG$22 * IF(AND(KF$5=1,JY$20=1), KL86, KJ86)</f>
        <v>0</v>
      </c>
      <c r="KI86" t="s">
        <v>1303</v>
      </c>
      <c r="KJ86">
        <f>_xlfn.XLOOKUP(KI86,'KPI Impacts'!$B$2:$H$2,'KPI Impacts'!$B86:$H86)</f>
        <v>0</v>
      </c>
      <c r="KK86" s="9" t="s">
        <v>1303</v>
      </c>
      <c r="KL86">
        <f>_xlfn.XLOOKUP(KK86,'KPI Impacts'!$B$2:$H$2,'KPI Impacts'!$B86:$H86)</f>
        <v>0</v>
      </c>
      <c r="KO86" s="12">
        <f>KO$22*KZ86</f>
        <v>0</v>
      </c>
      <c r="KP86" s="12">
        <f>KP$22 * IF(AND(KO$5=1,KO$20=1), LB86, KZ86)</f>
        <v>0</v>
      </c>
      <c r="KQ86" s="12">
        <f>KQ$22 * IF(AND(KP$5=1,KO$20=1), LB86, KZ86)</f>
        <v>0</v>
      </c>
      <c r="KR86" s="12">
        <f>KR$22 * IF(AND(KQ$5=1,KO$20=1), LB86, KZ86)</f>
        <v>0</v>
      </c>
      <c r="KS86" s="12">
        <f>KS$22 * IF(AND(KR$5=1,KO$20=1), LB86, KZ86)</f>
        <v>0</v>
      </c>
      <c r="KT86" s="12">
        <f>KT$22 * IF(AND(KS$5=1,KO$20=1), LB86, KZ86)</f>
        <v>0</v>
      </c>
      <c r="KU86" s="12">
        <f>KU$22 * IF(AND(KT$5=1,KO$20=1), LB86, KZ86)</f>
        <v>0</v>
      </c>
      <c r="KV86" s="12">
        <f>KV$22 * IF(AND(KU$5=1,KO$20=1), LB86, KZ86)</f>
        <v>0</v>
      </c>
      <c r="KW86" s="12">
        <f>KW$22 * IF(AND(KV$5=1,KO$20=1), LB86, KZ86)</f>
        <v>0</v>
      </c>
      <c r="KY86" t="s">
        <v>1303</v>
      </c>
      <c r="KZ86">
        <f>_xlfn.XLOOKUP(KY86,'KPI Impacts'!$B$2:$H$2,'KPI Impacts'!$B86:$H86)</f>
        <v>0</v>
      </c>
      <c r="LA86" s="9" t="s">
        <v>1303</v>
      </c>
      <c r="LB86">
        <f>_xlfn.XLOOKUP(LA86,'KPI Impacts'!$B$2:$H$2,'KPI Impacts'!$B86:$H86)</f>
        <v>0</v>
      </c>
      <c r="LE86" s="12">
        <f>LE$22*LP86</f>
        <v>0</v>
      </c>
      <c r="LF86" s="12">
        <f>LF$22 * IF(AND(LE$5=1,LE$20=1), LR86, LP86)</f>
        <v>0</v>
      </c>
      <c r="LG86" s="12">
        <f>LG$22 * IF(AND(LF$5=1,LE$20=1), LR86, LP86)</f>
        <v>0</v>
      </c>
      <c r="LH86" s="12">
        <f>LH$22 * IF(AND(LG$5=1,LE$20=1), LR86, LP86)</f>
        <v>0</v>
      </c>
      <c r="LI86" s="12">
        <f>LI$22 * IF(AND(LH$5=1,LE$20=1), LR86, LP86)</f>
        <v>0</v>
      </c>
      <c r="LJ86" s="12">
        <f>LJ$22 * IF(AND(LI$5=1,LE$20=1), LR86, LP86)</f>
        <v>0</v>
      </c>
      <c r="LK86" s="12">
        <f>LK$22 * IF(AND(LJ$5=1,LE$20=1), LR86, LP86)</f>
        <v>0</v>
      </c>
      <c r="LL86" s="12">
        <f>LL$22 * IF(AND(LK$5=1,LE$20=1), LR86, LP86)</f>
        <v>0</v>
      </c>
      <c r="LM86" s="12">
        <f>LM$22 * IF(AND(LL$5=1,LE$20=1), LR86, LP86)</f>
        <v>0</v>
      </c>
      <c r="LO86" t="s">
        <v>1303</v>
      </c>
      <c r="LP86">
        <f>_xlfn.XLOOKUP(LO86,'KPI Impacts'!$B$2:$H$2,'KPI Impacts'!$B86:$H86)</f>
        <v>0</v>
      </c>
      <c r="LQ86" s="9" t="s">
        <v>1303</v>
      </c>
      <c r="LR86">
        <f>_xlfn.XLOOKUP(LQ86,'KPI Impacts'!$B$2:$H$2,'KPI Impacts'!$B86:$H86)</f>
        <v>0</v>
      </c>
      <c r="LU86" s="12">
        <f>LU$22*MF86</f>
        <v>0</v>
      </c>
      <c r="LV86" s="12">
        <f>LV$22 * IF(AND(LU$5=1,LU$20=1), MH86, MF86)</f>
        <v>0</v>
      </c>
      <c r="LW86" s="12">
        <f>LW$22 * IF(AND(LV$5=1,LU$20=1), MH86, MF86)</f>
        <v>0</v>
      </c>
      <c r="LX86" s="12">
        <f>LX$22 * IF(AND(LW$5=1,LU$20=1), MH86, MF86)</f>
        <v>0</v>
      </c>
      <c r="LY86" s="12">
        <f>LY$22 * IF(AND(LX$5=1,LU$20=1), MH86, MF86)</f>
        <v>0</v>
      </c>
      <c r="LZ86" s="12">
        <f>LZ$22 * IF(AND(LY$5=1,LU$20=1), MH86, MF86)</f>
        <v>0</v>
      </c>
      <c r="MA86" s="12">
        <f>MA$22 * IF(AND(LZ$5=1,LU$20=1), MH86, MF86)</f>
        <v>0</v>
      </c>
      <c r="MB86" s="12">
        <f>MB$22 * IF(AND(MA$5=1,LU$20=1), MH86, MF86)</f>
        <v>0</v>
      </c>
      <c r="MC86" s="12">
        <f>MC$22 * IF(AND(MB$5=1,LU$20=1), MH86, MF86)</f>
        <v>0</v>
      </c>
      <c r="ME86" t="s">
        <v>1303</v>
      </c>
      <c r="MF86">
        <f>_xlfn.XLOOKUP(ME86,'KPI Impacts'!$B$2:$H$2,'KPI Impacts'!$B86:$H86)</f>
        <v>0</v>
      </c>
      <c r="MG86" s="9" t="s">
        <v>1303</v>
      </c>
      <c r="MH86">
        <f>_xlfn.XLOOKUP(MG86,'KPI Impacts'!$B$2:$H$2,'KPI Impacts'!$B86:$H86)</f>
        <v>0</v>
      </c>
      <c r="MK86" s="12">
        <f>MK$22*MV86</f>
        <v>0</v>
      </c>
      <c r="ML86" s="12">
        <f>ML$22 * IF(AND(MK$5=1,MK$20=1), MX86, MV86)</f>
        <v>0</v>
      </c>
      <c r="MM86" s="12">
        <f>MM$22 * IF(AND(ML$5=1,MK$20=1), MX86, MV86)</f>
        <v>0</v>
      </c>
      <c r="MN86" s="12">
        <f>MN$22 * IF(AND(MM$5=1,MK$20=1), MX86, MV86)</f>
        <v>0</v>
      </c>
      <c r="MO86" s="12">
        <f>MO$22 * IF(AND(MN$5=1,MK$20=1), MX86, MV86)</f>
        <v>0</v>
      </c>
      <c r="MP86" s="12">
        <f>MP$22 * IF(AND(MO$5=1,MK$20=1), MX86, MV86)</f>
        <v>0</v>
      </c>
      <c r="MQ86" s="12">
        <f>MQ$22 * IF(AND(MP$5=1,MK$20=1), MX86, MV86)</f>
        <v>0</v>
      </c>
      <c r="MR86" s="12">
        <f>MR$22 * IF(AND(MQ$5=1,MK$20=1), MX86, MV86)</f>
        <v>0</v>
      </c>
      <c r="MS86" s="12">
        <f>MS$22 * IF(AND(MR$5=1,MK$20=1), MX86, MV86)</f>
        <v>0</v>
      </c>
      <c r="MU86" t="s">
        <v>1303</v>
      </c>
      <c r="MV86">
        <f>_xlfn.XLOOKUP(MU86,'KPI Impacts'!$B$2:$H$2,'KPI Impacts'!$B86:$H86)</f>
        <v>0</v>
      </c>
      <c r="MW86" s="9" t="s">
        <v>1303</v>
      </c>
      <c r="MX86">
        <f>_xlfn.XLOOKUP(MW86,'KPI Impacts'!$B$2:$H$2,'KPI Impacts'!$B86:$H86)</f>
        <v>0</v>
      </c>
      <c r="NA86" s="12">
        <f>NA$22*NL86</f>
        <v>0</v>
      </c>
      <c r="NB86" s="12">
        <f>NB$22 * IF(AND(NA$5=1,NA$20=1), NN86, NL86)</f>
        <v>0</v>
      </c>
      <c r="NC86" s="12">
        <f>NC$22 * IF(AND(NB$5=1,NA$20=1), NN86, NL86)</f>
        <v>0</v>
      </c>
      <c r="ND86" s="12">
        <f>ND$22 * IF(AND(NC$5=1,NA$20=1), NN86, NL86)</f>
        <v>0</v>
      </c>
      <c r="NE86" s="12">
        <f>NE$22 * IF(AND(ND$5=1,NA$20=1), NN86, NL86)</f>
        <v>0</v>
      </c>
      <c r="NF86" s="12">
        <f>NF$22 * IF(AND(NE$5=1,NA$20=1), NN86, NL86)</f>
        <v>0</v>
      </c>
      <c r="NG86" s="12">
        <f>NG$22 * IF(AND(NF$5=1,NA$20=1), NN86, NL86)</f>
        <v>0</v>
      </c>
      <c r="NH86" s="12">
        <f>NH$22 * IF(AND(NG$5=1,NA$20=1), NN86, NL86)</f>
        <v>0</v>
      </c>
      <c r="NI86" s="12">
        <f>NI$22 * IF(AND(NH$5=1,NA$20=1), NN86, NL86)</f>
        <v>0</v>
      </c>
      <c r="NK86" t="s">
        <v>1303</v>
      </c>
      <c r="NL86">
        <f>_xlfn.XLOOKUP(NK86,'KPI Impacts'!$B$2:$H$2,'KPI Impacts'!$B86:$H86)</f>
        <v>0</v>
      </c>
      <c r="NM86" s="9" t="s">
        <v>1303</v>
      </c>
      <c r="NN86">
        <f>_xlfn.XLOOKUP(NM86,'KPI Impacts'!$B$2:$H$2,'KPI Impacts'!$B86:$H86)</f>
        <v>0</v>
      </c>
      <c r="NQ86" s="12">
        <f>NQ$22*OB86</f>
        <v>0</v>
      </c>
      <c r="NR86" s="12">
        <f>NR$22 * IF(AND(NQ$5=1,NQ$20=1), OD86, OB86)</f>
        <v>0</v>
      </c>
      <c r="NS86" s="12">
        <f>NS$22 * IF(AND(NR$5=1,NQ$20=1), OD86, OB86)</f>
        <v>0</v>
      </c>
      <c r="NT86" s="12">
        <f>NT$22 * IF(AND(NS$5=1,NQ$20=1), OD86, OB86)</f>
        <v>0</v>
      </c>
      <c r="NU86" s="12">
        <f>NU$22 * IF(AND(NT$5=1,NQ$20=1), OD86, OB86)</f>
        <v>0</v>
      </c>
      <c r="NV86" s="12">
        <f>NV$22 * IF(AND(NU$5=1,NQ$20=1), OD86, OB86)</f>
        <v>0</v>
      </c>
      <c r="NW86" s="12">
        <f>NW$22 * IF(AND(NV$5=1,NQ$20=1), OD86, OB86)</f>
        <v>0</v>
      </c>
      <c r="NX86" s="12">
        <f>NX$22 * IF(AND(NW$5=1,NQ$20=1), OD86, OB86)</f>
        <v>0</v>
      </c>
      <c r="NY86" s="12">
        <f>NY$22 * IF(AND(NX$5=1,NQ$20=1), OD86, OB86)</f>
        <v>0</v>
      </c>
      <c r="OA86" t="s">
        <v>1303</v>
      </c>
      <c r="OB86">
        <f>_xlfn.XLOOKUP(OA86,'KPI Impacts'!$B$2:$H$2,'KPI Impacts'!$B86:$H86)</f>
        <v>0</v>
      </c>
      <c r="OC86" s="9" t="s">
        <v>1303</v>
      </c>
      <c r="OD86">
        <f>_xlfn.XLOOKUP(OC86,'KPI Impacts'!$B$2:$H$2,'KPI Impacts'!$B86:$H86)</f>
        <v>0</v>
      </c>
      <c r="OG86" s="12">
        <f>OG$22*OR86</f>
        <v>0</v>
      </c>
      <c r="OH86" s="12">
        <f>OH$22 * IF(AND(OG$5=1,OG$20=1), OT86, OR86)</f>
        <v>0</v>
      </c>
      <c r="OI86" s="12">
        <f>OI$22 * IF(AND(OH$5=1,OG$20=1), OT86, OR86)</f>
        <v>0</v>
      </c>
      <c r="OJ86" s="12">
        <f>OJ$22 * IF(AND(OI$5=1,OG$20=1), OT86, OR86)</f>
        <v>0</v>
      </c>
      <c r="OK86" s="12">
        <f>OK$22 * IF(AND(OJ$5=1,OG$20=1), OT86, OR86)</f>
        <v>0</v>
      </c>
      <c r="OL86" s="12">
        <f>OL$22 * IF(AND(OK$5=1,OG$20=1), OT86, OR86)</f>
        <v>0</v>
      </c>
      <c r="OM86" s="12">
        <f>OM$22 * IF(AND(OL$5=1,OG$20=1), OT86, OR86)</f>
        <v>0</v>
      </c>
      <c r="ON86" s="12">
        <f>ON$22 * IF(AND(OM$5=1,OG$20=1), OT86, OR86)</f>
        <v>0</v>
      </c>
      <c r="OO86" s="12">
        <f>OO$22 * IF(AND(ON$5=1,OG$20=1), OT86, OR86)</f>
        <v>0</v>
      </c>
      <c r="OQ86" t="s">
        <v>1303</v>
      </c>
      <c r="OR86">
        <f>_xlfn.XLOOKUP(OQ86,'KPI Impacts'!$B$2:$H$2,'KPI Impacts'!$B86:$H86)</f>
        <v>0</v>
      </c>
      <c r="OS86" s="9" t="s">
        <v>1303</v>
      </c>
      <c r="OT86">
        <f>_xlfn.XLOOKUP(OS86,'KPI Impacts'!$B$2:$H$2,'KPI Impacts'!$B86:$H86)</f>
        <v>0</v>
      </c>
    </row>
    <row r="87" spans="1:410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V87" s="6"/>
      <c r="W87" s="6"/>
      <c r="X87" s="9"/>
      <c r="Y87" s="12"/>
      <c r="Z87" s="12"/>
      <c r="AA87" s="12"/>
      <c r="AB87" s="12"/>
      <c r="AC87" s="12"/>
      <c r="AD87" s="12"/>
      <c r="AE87" s="12"/>
      <c r="AF87" s="12"/>
      <c r="AG87" s="12"/>
      <c r="AP87" s="9"/>
      <c r="AQ87" s="12"/>
      <c r="AR87" s="12"/>
      <c r="AS87" s="12"/>
      <c r="AT87" s="12"/>
      <c r="AU87" s="12"/>
      <c r="AV87" s="12"/>
      <c r="AW87" s="12"/>
      <c r="AX87" s="12"/>
      <c r="AY87" s="12"/>
      <c r="BH87" s="17"/>
      <c r="BI87" s="12"/>
      <c r="BJ87" s="12"/>
      <c r="BK87" s="12"/>
      <c r="BL87" s="12"/>
      <c r="BM87" s="12"/>
      <c r="BN87" s="12"/>
      <c r="BO87" s="12"/>
      <c r="BP87" s="12"/>
      <c r="BQ87" s="12"/>
      <c r="BS87" s="16"/>
      <c r="BU87" s="35"/>
      <c r="BX87" s="17"/>
      <c r="BY87" s="12"/>
      <c r="BZ87" s="12"/>
      <c r="CA87" s="12"/>
      <c r="CB87" s="12"/>
      <c r="CC87" s="12"/>
      <c r="CD87" s="12"/>
      <c r="CE87" s="12"/>
      <c r="CF87" s="12"/>
      <c r="CG87" s="12"/>
      <c r="CI87" s="16"/>
      <c r="CK87" s="35"/>
      <c r="CN87" s="17"/>
      <c r="CO87" s="12"/>
      <c r="CP87" s="12"/>
      <c r="CQ87" s="12"/>
      <c r="CR87" s="12"/>
      <c r="CS87" s="12"/>
      <c r="CT87" s="12"/>
      <c r="CU87" s="12"/>
      <c r="CV87" s="12"/>
      <c r="CW87" s="12"/>
      <c r="CY87" s="16"/>
      <c r="DA87" s="35"/>
      <c r="DD87" s="17"/>
      <c r="DE87" s="12"/>
      <c r="DF87" s="12"/>
      <c r="DG87" s="12"/>
      <c r="DH87" s="12"/>
      <c r="DI87" s="12"/>
      <c r="DJ87" s="12"/>
      <c r="DK87" s="12"/>
      <c r="DL87" s="12"/>
      <c r="DM87" s="12"/>
      <c r="DO87" s="16"/>
      <c r="DQ87" s="35"/>
      <c r="DT87" s="17"/>
      <c r="DU87" s="12"/>
      <c r="DV87" s="12"/>
      <c r="DW87" s="12"/>
      <c r="DX87" s="12"/>
      <c r="DY87" s="12"/>
      <c r="DZ87" s="12"/>
      <c r="EA87" s="12"/>
      <c r="EB87" s="12"/>
      <c r="EC87" s="12"/>
      <c r="EE87" s="16"/>
      <c r="EG87" s="35"/>
      <c r="EJ87" s="17"/>
      <c r="EK87" s="12"/>
      <c r="EL87" s="12"/>
      <c r="EM87" s="12"/>
      <c r="EN87" s="12"/>
      <c r="EO87" s="12"/>
      <c r="EP87" s="12"/>
      <c r="EQ87" s="12"/>
      <c r="ER87" s="12"/>
      <c r="ES87" s="12"/>
      <c r="EU87" s="16"/>
      <c r="EW87" s="35"/>
      <c r="EZ87" s="17"/>
      <c r="FA87" s="12"/>
      <c r="FB87" s="12"/>
      <c r="FC87" s="12"/>
      <c r="FD87" s="12"/>
      <c r="FE87" s="12"/>
      <c r="FF87" s="12"/>
      <c r="FG87" s="12"/>
      <c r="FH87" s="12"/>
      <c r="FI87" s="12"/>
      <c r="FK87" s="16"/>
      <c r="FM87" s="16"/>
      <c r="FP87" s="17"/>
      <c r="FQ87" s="12"/>
      <c r="FR87" s="12"/>
      <c r="FS87" s="12"/>
      <c r="FT87" s="12"/>
      <c r="FU87" s="12"/>
      <c r="FV87" s="12"/>
      <c r="FW87" s="12"/>
      <c r="FX87" s="12"/>
      <c r="FY87" s="12"/>
      <c r="GA87" s="16"/>
      <c r="GC87" s="9"/>
      <c r="GF87" s="17"/>
      <c r="GG87" s="12"/>
      <c r="GH87" s="12"/>
      <c r="GI87" s="12"/>
      <c r="GJ87" s="12"/>
      <c r="GK87" s="12"/>
      <c r="GL87" s="12"/>
      <c r="GM87" s="12"/>
      <c r="GN87" s="12"/>
      <c r="GO87" s="12"/>
      <c r="GQ87" s="16"/>
      <c r="GS87" s="9"/>
      <c r="GW87" s="12"/>
      <c r="GX87" s="12"/>
      <c r="GY87" s="12"/>
      <c r="GZ87" s="12"/>
      <c r="HA87" s="12"/>
      <c r="HB87" s="12"/>
      <c r="HC87" s="12"/>
      <c r="HD87" s="12"/>
      <c r="HE87" s="12"/>
      <c r="HG87" s="16"/>
      <c r="HI87" s="9"/>
      <c r="HM87" s="12"/>
      <c r="HN87" s="12"/>
      <c r="HO87" s="12"/>
      <c r="HP87" s="12"/>
      <c r="HQ87" s="12"/>
      <c r="HR87" s="12"/>
      <c r="HS87" s="12"/>
      <c r="HT87" s="12"/>
      <c r="HU87" s="12"/>
      <c r="HW87" s="16"/>
      <c r="HY87" s="9"/>
      <c r="IC87" s="12"/>
      <c r="ID87" s="12"/>
      <c r="IE87" s="12"/>
      <c r="IF87" s="12"/>
      <c r="IG87" s="12"/>
      <c r="IH87" s="12"/>
      <c r="II87" s="12"/>
      <c r="IJ87" s="12"/>
      <c r="IK87" s="12"/>
      <c r="IM87" s="16"/>
      <c r="IO87" s="9"/>
      <c r="IS87" s="12"/>
      <c r="IT87" s="12"/>
      <c r="IU87" s="12"/>
      <c r="IV87" s="12"/>
      <c r="IW87" s="12"/>
      <c r="IX87" s="12"/>
      <c r="IY87" s="12"/>
      <c r="IZ87" s="12"/>
      <c r="JA87" s="12"/>
      <c r="JE87" s="9"/>
      <c r="JI87" s="12"/>
      <c r="JJ87" s="12"/>
      <c r="JK87" s="12"/>
      <c r="JL87" s="12"/>
      <c r="JM87" s="12"/>
      <c r="JN87" s="12"/>
      <c r="JO87" s="12"/>
      <c r="JP87" s="12"/>
      <c r="JQ87" s="12"/>
      <c r="JU87" s="9"/>
      <c r="JY87" s="12"/>
      <c r="JZ87" s="12"/>
      <c r="KA87" s="12"/>
      <c r="KB87" s="12"/>
      <c r="KC87" s="12"/>
      <c r="KD87" s="12"/>
      <c r="KE87" s="12"/>
      <c r="KF87" s="12"/>
      <c r="KG87" s="12"/>
      <c r="KK87" s="9"/>
      <c r="KO87" s="12"/>
      <c r="KP87" s="12"/>
      <c r="KQ87" s="12"/>
      <c r="KR87" s="12"/>
      <c r="KS87" s="12"/>
      <c r="KT87" s="12"/>
      <c r="KU87" s="12"/>
      <c r="KV87" s="12"/>
      <c r="KW87" s="12"/>
      <c r="LA87" s="9"/>
      <c r="LE87" s="12"/>
      <c r="LF87" s="12"/>
      <c r="LG87" s="12"/>
      <c r="LH87" s="12"/>
      <c r="LI87" s="12"/>
      <c r="LJ87" s="12"/>
      <c r="LK87" s="12"/>
      <c r="LL87" s="12"/>
      <c r="LM87" s="12"/>
      <c r="LQ87" s="9"/>
      <c r="LU87" s="12"/>
      <c r="LV87" s="12"/>
      <c r="LW87" s="12"/>
      <c r="LX87" s="12"/>
      <c r="LY87" s="12"/>
      <c r="LZ87" s="12"/>
      <c r="MA87" s="12"/>
      <c r="MB87" s="12"/>
      <c r="MC87" s="12"/>
      <c r="MG87" s="9"/>
      <c r="MK87" s="12"/>
      <c r="ML87" s="12"/>
      <c r="MM87" s="12"/>
      <c r="MN87" s="12"/>
      <c r="MO87" s="12"/>
      <c r="MP87" s="12"/>
      <c r="MQ87" s="12"/>
      <c r="MR87" s="12"/>
      <c r="MS87" s="12"/>
      <c r="MW87" s="9"/>
      <c r="NA87" s="12"/>
      <c r="NB87" s="12"/>
      <c r="NC87" s="12"/>
      <c r="ND87" s="12"/>
      <c r="NE87" s="12"/>
      <c r="NF87" s="12"/>
      <c r="NG87" s="12"/>
      <c r="NH87" s="12"/>
      <c r="NI87" s="12"/>
      <c r="NM87" s="9"/>
      <c r="NQ87" s="12"/>
      <c r="NR87" s="12"/>
      <c r="NS87" s="12"/>
      <c r="NT87" s="12"/>
      <c r="NU87" s="12"/>
      <c r="NV87" s="12"/>
      <c r="NW87" s="12"/>
      <c r="NX87" s="12"/>
      <c r="NY87" s="12"/>
      <c r="OC87" s="9"/>
      <c r="OG87" s="12"/>
      <c r="OH87" s="12"/>
      <c r="OI87" s="12"/>
      <c r="OJ87" s="12"/>
      <c r="OK87" s="12"/>
      <c r="OL87" s="12"/>
      <c r="OM87" s="12"/>
      <c r="ON87" s="12"/>
      <c r="OO87" s="12"/>
      <c r="OS87" s="9"/>
    </row>
    <row r="88" spans="1:410" x14ac:dyDescent="0.2">
      <c r="A88" s="9" t="s">
        <v>1290</v>
      </c>
      <c r="B88" s="12">
        <f t="shared" ref="B88:H88" si="530">M88+Y88+AQ88+BI88+BY88+CO88+DE88+DU88+EK88+FA88+FQ88+GG88+GW88+HM88+IC88+IS88+JI88+JY88+KO88+LE88+LU88+MK88+NA88+NQ88+OG88</f>
        <v>0</v>
      </c>
      <c r="C88" s="12">
        <f t="shared" si="530"/>
        <v>0</v>
      </c>
      <c r="D88" s="12">
        <f t="shared" si="530"/>
        <v>0</v>
      </c>
      <c r="E88" s="12">
        <f t="shared" si="530"/>
        <v>0</v>
      </c>
      <c r="F88" s="12">
        <f t="shared" si="530"/>
        <v>0</v>
      </c>
      <c r="G88" s="12">
        <f t="shared" si="530"/>
        <v>0</v>
      </c>
      <c r="H88" s="12">
        <f t="shared" si="530"/>
        <v>0</v>
      </c>
      <c r="I88" s="12">
        <f t="shared" ref="I88:J88" si="531">AF88+AX88+BP88+CF88+CV88+DL88+EB88+ER88+FH88+FX88+GN88+HD88+HT88+IJ88+IZ88+JP88+KF88+KV88+LL88+MB88+MR88+NH88+NX88+ON88</f>
        <v>0</v>
      </c>
      <c r="J88" s="12">
        <f t="shared" si="531"/>
        <v>0</v>
      </c>
      <c r="M88">
        <f>M$5*V88</f>
        <v>0</v>
      </c>
      <c r="N88">
        <f>N$5*V88</f>
        <v>0</v>
      </c>
      <c r="O88">
        <f>O$5*V88</f>
        <v>0</v>
      </c>
      <c r="P88">
        <f>P$5*V88</f>
        <v>0</v>
      </c>
      <c r="Q88">
        <f>Q$5*V88</f>
        <v>0</v>
      </c>
      <c r="R88">
        <f>R$5*V88</f>
        <v>0</v>
      </c>
      <c r="S88">
        <f>S$5*V88</f>
        <v>0</v>
      </c>
      <c r="U88" t="s">
        <v>1303</v>
      </c>
      <c r="V88">
        <f>_xlfn.XLOOKUP(U88,'KPI Impacts'!$B$2:$H$2,'KPI Impacts'!$B88:$H88)</f>
        <v>0</v>
      </c>
      <c r="W88" s="6"/>
      <c r="X88" s="9"/>
      <c r="Y88" s="12" cm="1">
        <f t="array" ref="Y88">_xlfn.SWITCH(Y$4, 0,0, 1, AJ88,2,AL88,3,AN88,0)</f>
        <v>0</v>
      </c>
      <c r="Z88" s="12" cm="1">
        <f t="array" ref="Z88">_xlfn.SWITCH(Z$4, 0,0, 1, AJ88,2,AL88,3,AN88,0)+Y88</f>
        <v>0</v>
      </c>
      <c r="AA88" s="12" cm="1">
        <f t="array" ref="AA88">_xlfn.SWITCH(AA$4, 0,0, 1, AJ88,2,AL88,3,AN88,0)+Z88</f>
        <v>0</v>
      </c>
      <c r="AB88" s="12" cm="1">
        <f t="array" ref="AB88">_xlfn.SWITCH(AB$4, 0,0, 1, AJ88,2,AL88,3,AN88,0)+AA88</f>
        <v>0</v>
      </c>
      <c r="AC88" s="12" cm="1">
        <f t="array" ref="AC88">_xlfn.SWITCH(AC$4, 0,0, 1, AJ88,2,AL88,3,AN88,0)+AB88</f>
        <v>0</v>
      </c>
      <c r="AD88" s="12" cm="1">
        <f t="array" ref="AD88">_xlfn.SWITCH(AD$4, 0,0, 1, AJ88,2,AL88,3,AN88,0)+AC88</f>
        <v>0</v>
      </c>
      <c r="AE88" s="12" cm="1">
        <f t="array" ref="AE88">_xlfn.SWITCH(AE$4, 0,0, 1, AJ88,2,AL88,3,AN88,0)+AD88</f>
        <v>0</v>
      </c>
      <c r="AF88" s="12" cm="1">
        <f t="array" ref="AF88">_xlfn.SWITCH(AF$4, 0,0, 1, AJ88,2,AL88,3,AN88,0)+AE88</f>
        <v>0</v>
      </c>
      <c r="AG88" s="12" cm="1">
        <f t="array" ref="AG88">_xlfn.SWITCH(AG$4, 0,0, 1, AJ88,2,AL88,3,AN88,0)+AF88</f>
        <v>0</v>
      </c>
      <c r="AI88" t="s">
        <v>1303</v>
      </c>
      <c r="AJ88">
        <f>_xlfn.XLOOKUP(AI88,'KPI Impacts'!$K$2:$Q$2,'KPI Impacts'!$K88:$Q88)</f>
        <v>0</v>
      </c>
      <c r="AK88" t="s">
        <v>1303</v>
      </c>
      <c r="AL88">
        <f>_xlfn.XLOOKUP(AK88,'KPI Impacts'!$K$2:$Q$2,'KPI Impacts'!$K88:$Q88)</f>
        <v>0</v>
      </c>
      <c r="AM88" t="s">
        <v>1303</v>
      </c>
      <c r="AN88">
        <f>_xlfn.XLOOKUP(AM88,'KPI Impacts'!$K$2:$Q$2,'KPI Impacts'!$K88:$Q88)</f>
        <v>0</v>
      </c>
      <c r="AP88" s="9"/>
      <c r="AQ88" s="12" cm="1">
        <f t="array" ref="AQ88">_xlfn.SWITCH(AQ$4, 0,0, 1, BB88,2,BD88,3,BF88,0)</f>
        <v>0</v>
      </c>
      <c r="AR88" s="12" cm="1">
        <f t="array" ref="AR88">_xlfn.SWITCH(AR$4, 0,0, 1, BB88,2,BD88,3,BF88,0)+AQ88</f>
        <v>0</v>
      </c>
      <c r="AS88" s="12" cm="1">
        <f t="array" ref="AS88">_xlfn.SWITCH(AS$4, 0,0, 1, BB88,2,BD88,3,BF88,0)+AR88</f>
        <v>0</v>
      </c>
      <c r="AT88" s="12" cm="1">
        <f t="array" ref="AT88">_xlfn.SWITCH(AT$4, 0,0, 1, BB88,2,BD88,3,BF88,0)+AS88</f>
        <v>0</v>
      </c>
      <c r="AU88" s="12" cm="1">
        <f t="array" ref="AU88">_xlfn.SWITCH(AU$4, 0,0, 1, BB88,2,BD88,3,BF88,0)+AT88</f>
        <v>0</v>
      </c>
      <c r="AV88" s="12" cm="1">
        <f t="array" ref="AV88">_xlfn.SWITCH(AV$4, 0,0, 1, BB88,2,BD88,3,BF88,0)+AU88</f>
        <v>0</v>
      </c>
      <c r="AW88" s="12" cm="1">
        <f t="array" ref="AW88">_xlfn.SWITCH(AW$4, 0,0, 1, BB88,2,BD88,3,BF88,0)+AV88</f>
        <v>0</v>
      </c>
      <c r="AX88" s="12" cm="1">
        <f t="array" ref="AX88">_xlfn.SWITCH(AX$4, 0,0, 1, BB88,2,BD88,3,BF88,0)+AW88</f>
        <v>0</v>
      </c>
      <c r="AY88" s="12" cm="1">
        <f t="array" ref="AY88">_xlfn.SWITCH(AY$4, 0,0, 1, BB88,2,BD88,3,BF88,0)+AX88</f>
        <v>0</v>
      </c>
      <c r="BA88" t="s">
        <v>1303</v>
      </c>
      <c r="BB88">
        <f>_xlfn.XLOOKUP(BA88,'KPI Impacts'!$K$2:$Q$2,'KPI Impacts'!$K88:$Q88)</f>
        <v>0</v>
      </c>
      <c r="BC88" t="s">
        <v>1303</v>
      </c>
      <c r="BD88">
        <f>_xlfn.XLOOKUP(BC88,'KPI Impacts'!$K$2:$Q$2,'KPI Impacts'!$K88:$Q88)</f>
        <v>0</v>
      </c>
      <c r="BE88" t="s">
        <v>1303</v>
      </c>
      <c r="BF88">
        <f>_xlfn.XLOOKUP(BE88,'KPI Impacts'!$K$2:$Q$2,'KPI Impacts'!$K88:$Q88)</f>
        <v>0</v>
      </c>
      <c r="BH88" s="9"/>
      <c r="BI88" s="12">
        <f>BI$22*BT88</f>
        <v>0</v>
      </c>
      <c r="BJ88" s="12">
        <f>BJ$22 * IF(AND(BI$5=1,BI$20=1), BV88, BT88)</f>
        <v>0</v>
      </c>
      <c r="BK88" s="12">
        <f>BK$22 * IF(AND(BJ$5=1,BI$20=1), BV88, BT88)</f>
        <v>0</v>
      </c>
      <c r="BL88" s="12">
        <f>BL$22 * IF(AND(BK$5=1,BI$20=1), BV88, BT88)</f>
        <v>0</v>
      </c>
      <c r="BM88" s="12">
        <f>BM$22 * IF(AND(BL$5=1,BI$20=1), BV88, BT88)</f>
        <v>0</v>
      </c>
      <c r="BN88" s="12">
        <f>BN$22 * IF(AND(BM$5=1,BI$20=1), BV88, BT88)</f>
        <v>0</v>
      </c>
      <c r="BO88" s="12">
        <f>BO$22 * IF(AND(BN$5=1,BI$20=1), BV88, BT88)</f>
        <v>0</v>
      </c>
      <c r="BP88" s="12">
        <f>BP$22 * IF(AND(BO$5=1,BI$20=1), BV88, BT88)</f>
        <v>0</v>
      </c>
      <c r="BQ88" s="12">
        <f>BQ$22 * IF(AND(BP$5=1,BI$20=1), BV88, BT88)</f>
        <v>0</v>
      </c>
      <c r="BS88" s="16" t="s">
        <v>1303</v>
      </c>
      <c r="BT88">
        <f>_xlfn.XLOOKUP(BS88,'KPI Impacts'!$B$2:$H$2,'KPI Impacts'!$B88:$H88)</f>
        <v>0</v>
      </c>
      <c r="BU88" s="35" t="s">
        <v>1303</v>
      </c>
      <c r="BV88">
        <f>_xlfn.XLOOKUP(BU88,'KPI Impacts'!$B$2:$H$2,'KPI Impacts'!$B88:$H88)</f>
        <v>0</v>
      </c>
      <c r="BX88" s="9"/>
      <c r="BY88" s="12">
        <f>BY$22*CJ88</f>
        <v>0</v>
      </c>
      <c r="BZ88" s="12">
        <f>BZ$22 * IF(AND(BY$5=1,BY$20=1), CL88, CJ88)</f>
        <v>0</v>
      </c>
      <c r="CA88" s="12">
        <f>CA$22 * IF(AND(BZ$5=1,BY$20=1), CL88, CJ88)</f>
        <v>0</v>
      </c>
      <c r="CB88" s="12">
        <f>CB$22 * IF(AND(CA$5=1,BY$20=1), CL88, CJ88)</f>
        <v>0</v>
      </c>
      <c r="CC88" s="12">
        <f>CC$22 * IF(AND(CB$5=1,BY$20=1), CL88, CJ88)</f>
        <v>0</v>
      </c>
      <c r="CD88" s="12">
        <f>CD$22 * IF(AND(CC$5=1,BY$20=1), CL88, CJ88)</f>
        <v>0</v>
      </c>
      <c r="CE88" s="12">
        <f>CE$22 * IF(AND(CD$5=1,BY$20=1), CL88, CJ88)</f>
        <v>0</v>
      </c>
      <c r="CF88" s="12">
        <f>CF$22 * IF(AND(CE$5=1,BY$20=1), CL88, CJ88)</f>
        <v>0</v>
      </c>
      <c r="CG88" s="12">
        <f>CG$22 * IF(AND(CF$5=1,BY$20=1), CL88, CJ88)</f>
        <v>0</v>
      </c>
      <c r="CI88" s="16" t="s">
        <v>1303</v>
      </c>
      <c r="CJ88">
        <f>_xlfn.XLOOKUP(CI88,'KPI Impacts'!$B$2:$H$2,'KPI Impacts'!$B88:$H88)</f>
        <v>0</v>
      </c>
      <c r="CK88" s="35" t="s">
        <v>1303</v>
      </c>
      <c r="CL88">
        <f>_xlfn.XLOOKUP(CK88,'KPI Impacts'!$B$2:$H$2,'KPI Impacts'!$B88:$H88)</f>
        <v>0</v>
      </c>
      <c r="CN88" s="9"/>
      <c r="CO88" s="12">
        <f>CO$22*CZ88</f>
        <v>0</v>
      </c>
      <c r="CP88" s="12">
        <f>CP$22 * IF(AND(CO$5=1,CO$20=1), DB88, CZ88)</f>
        <v>0</v>
      </c>
      <c r="CQ88" s="12">
        <f>CQ$22 * IF(AND(CP$5=1,CO$20=1), DB88, CZ88)</f>
        <v>0</v>
      </c>
      <c r="CR88" s="12">
        <f>CR$22 * IF(AND(CQ$5=1,CO$20=1), DB88, CZ88)</f>
        <v>0</v>
      </c>
      <c r="CS88" s="12">
        <f>CS$22 * IF(AND(CR$5=1,CO$20=1), DB88, CZ88)</f>
        <v>0</v>
      </c>
      <c r="CT88" s="12">
        <f>CT$22 * IF(AND(CS$5=1,CO$20=1), DB88, CZ88)</f>
        <v>0</v>
      </c>
      <c r="CU88" s="12">
        <f>CU$22 * IF(AND(CT$5=1,CO$20=1), DB88, CZ88)</f>
        <v>0</v>
      </c>
      <c r="CV88" s="12">
        <f>CV$22 * IF(AND(CU$5=1,CO$20=1), DB88, CZ88)</f>
        <v>0</v>
      </c>
      <c r="CW88" s="12">
        <f>CW$22 * IF(AND(CV$5=1,CO$20=1), DB88, CZ88)</f>
        <v>0</v>
      </c>
      <c r="CY88" s="16" t="s">
        <v>1303</v>
      </c>
      <c r="CZ88">
        <f>_xlfn.XLOOKUP(CY88,'KPI Impacts'!$B$2:$H$2,'KPI Impacts'!$B88:$H88)</f>
        <v>0</v>
      </c>
      <c r="DA88" s="35" t="s">
        <v>1303</v>
      </c>
      <c r="DB88">
        <f>_xlfn.XLOOKUP(DA88,'KPI Impacts'!$B$2:$H$2,'KPI Impacts'!$B88:$H88)</f>
        <v>0</v>
      </c>
      <c r="DD88" s="9"/>
      <c r="DE88" s="12">
        <f>DE$22*DP88</f>
        <v>0</v>
      </c>
      <c r="DF88" s="12">
        <f>DF$22 * IF(AND(DE$5=1,DE$20=1), DR88, DP88)</f>
        <v>0</v>
      </c>
      <c r="DG88" s="12">
        <f>DG$22 * IF(AND(DF$5=1,DE$20=1), DR88, DP88)</f>
        <v>0</v>
      </c>
      <c r="DH88" s="12">
        <f>DH$22 * IF(AND(DG$5=1,DE$20=1), DR88, DP88)</f>
        <v>0</v>
      </c>
      <c r="DI88" s="12">
        <f>DI$22 * IF(AND(DH$5=1,DE$20=1), DR88, DP88)</f>
        <v>0</v>
      </c>
      <c r="DJ88" s="12">
        <f>DJ$22 * IF(AND(DI$5=1,DE$20=1), DR88, DP88)</f>
        <v>0</v>
      </c>
      <c r="DK88" s="12">
        <f>DK$22 * IF(AND(DJ$5=1,DE$20=1), DR88, DP88)</f>
        <v>0</v>
      </c>
      <c r="DL88" s="12">
        <f>DL$22 * IF(AND(DK$5=1,DE$20=1), DR88, DP88)</f>
        <v>0</v>
      </c>
      <c r="DM88" s="12">
        <f>DM$22 * IF(AND(DL$5=1,DE$20=1), DR88, DP88)</f>
        <v>0</v>
      </c>
      <c r="DO88" s="16" t="s">
        <v>1303</v>
      </c>
      <c r="DP88">
        <f>_xlfn.XLOOKUP(DO88,'KPI Impacts'!$B$2:$H$2,'KPI Impacts'!$B88:$H88)</f>
        <v>0</v>
      </c>
      <c r="DQ88" s="35" t="s">
        <v>1303</v>
      </c>
      <c r="DR88">
        <f>_xlfn.XLOOKUP(DQ88,'KPI Impacts'!$B$2:$H$2,'KPI Impacts'!$B88:$H88)</f>
        <v>0</v>
      </c>
      <c r="DT88" s="9"/>
      <c r="DU88" s="12">
        <f>DU$22*EF88</f>
        <v>0</v>
      </c>
      <c r="DV88" s="12">
        <f>DV$22 * IF(AND(DU$5=1,DU$20=1), EH88, EF88)</f>
        <v>0</v>
      </c>
      <c r="DW88" s="12">
        <f>DW$22 * IF(AND(DV$5=1,DU$20=1), EH88, EF88)</f>
        <v>0</v>
      </c>
      <c r="DX88" s="12">
        <f>DX$22 * IF(AND(DW$5=1,DU$20=1), EH88, EF88)</f>
        <v>0</v>
      </c>
      <c r="DY88" s="12">
        <f>DY$22 * IF(AND(DX$5=1,DU$20=1), EH88, EF88)</f>
        <v>0</v>
      </c>
      <c r="DZ88" s="12">
        <f>DZ$22 * IF(AND(DY$5=1,DU$20=1), EH88, EF88)</f>
        <v>0</v>
      </c>
      <c r="EA88" s="12">
        <f>EA$22 * IF(AND(DZ$5=1,DU$20=1), EH88, EF88)</f>
        <v>0</v>
      </c>
      <c r="EB88" s="12">
        <f>EB$22 * IF(AND(EA$5=1,DU$20=1), EH88, EF88)</f>
        <v>0</v>
      </c>
      <c r="EC88" s="12">
        <f>EC$22 * IF(AND(EB$5=1,DU$20=1), EH88, EF88)</f>
        <v>0</v>
      </c>
      <c r="EE88" s="16" t="s">
        <v>1303</v>
      </c>
      <c r="EF88">
        <f>_xlfn.XLOOKUP(EE88,'KPI Impacts'!$B$2:$H$2,'KPI Impacts'!$B88:$H88)</f>
        <v>0</v>
      </c>
      <c r="EG88" s="35" t="s">
        <v>1303</v>
      </c>
      <c r="EH88">
        <f>_xlfn.XLOOKUP(EG88,'KPI Impacts'!$B$2:$H$2,'KPI Impacts'!$B88:$H88)</f>
        <v>0</v>
      </c>
      <c r="EJ88" s="9"/>
      <c r="EK88" s="12">
        <f>EK$22*EV88</f>
        <v>0</v>
      </c>
      <c r="EL88" s="12">
        <f>EL$22 * IF(AND(EK$5=1,EK$20=1), EX88, EV88)</f>
        <v>0</v>
      </c>
      <c r="EM88" s="12">
        <f>EM$22 * IF(AND(EL$5=1,EK$20=1), EX88, EV88)</f>
        <v>0</v>
      </c>
      <c r="EN88" s="12">
        <f>EN$22 * IF(AND(EM$5=1,EK$20=1), EX88, EV88)</f>
        <v>0</v>
      </c>
      <c r="EO88" s="12">
        <f>EO$22 * IF(AND(EN$5=1,EK$20=1), EX88, EV88)</f>
        <v>0</v>
      </c>
      <c r="EP88" s="12">
        <f>EP$22 * IF(AND(EO$5=1,EK$20=1), EX88, EV88)</f>
        <v>0</v>
      </c>
      <c r="EQ88" s="12">
        <f>EQ$22 * IF(AND(EP$5=1,EK$20=1), EX88, EV88)</f>
        <v>0</v>
      </c>
      <c r="ER88" s="12">
        <f>ER$22 * IF(AND(EQ$5=1,EK$20=1), EX88, EV88)</f>
        <v>0</v>
      </c>
      <c r="ES88" s="12">
        <f>ES$22 * IF(AND(ER$5=1,EK$20=1), EX88, EV88)</f>
        <v>0</v>
      </c>
      <c r="EU88" s="16" t="s">
        <v>1303</v>
      </c>
      <c r="EV88">
        <f>_xlfn.XLOOKUP(EU88,'KPI Impacts'!$B$2:$H$2,'KPI Impacts'!$B88:$H88)</f>
        <v>0</v>
      </c>
      <c r="EW88" s="35" t="s">
        <v>1303</v>
      </c>
      <c r="EX88">
        <f>_xlfn.XLOOKUP(EW88,'KPI Impacts'!$B$2:$H$2,'KPI Impacts'!$B88:$H88)</f>
        <v>0</v>
      </c>
      <c r="EZ88" s="9"/>
      <c r="FA88" s="12">
        <f>FA$22*FL88</f>
        <v>0</v>
      </c>
      <c r="FB88" s="12">
        <f>FB$22 * IF(AND(FA$5=1,FA$20=1), FN88, FL88)</f>
        <v>0</v>
      </c>
      <c r="FC88" s="12">
        <f>FC$22 * IF(AND(FB$5=1,FA$20=1), FN88, FL88)</f>
        <v>0</v>
      </c>
      <c r="FD88" s="12">
        <f>FD$22 * IF(AND(FC$5=1,FA$20=1), FN88, FL88)</f>
        <v>0</v>
      </c>
      <c r="FE88" s="12">
        <f>FE$22 * IF(AND(FD$5=1,FA$20=1), FN88, FL88)</f>
        <v>0</v>
      </c>
      <c r="FF88" s="12">
        <f>FF$22 * IF(AND(FE$5=1,FA$20=1), FN88, FL88)</f>
        <v>0</v>
      </c>
      <c r="FG88" s="12">
        <f>FG$22 * IF(AND(FF$5=1,FA$20=1), FN88, FL88)</f>
        <v>0</v>
      </c>
      <c r="FH88" s="12">
        <f>FH$22 * IF(AND(FG$5=1,FA$20=1), FN88, FL88)</f>
        <v>0</v>
      </c>
      <c r="FI88" s="12">
        <f>FI$22 * IF(AND(FH$5=1,FA$20=1), FN88, FL88)</f>
        <v>0</v>
      </c>
      <c r="FK88" s="16" t="s">
        <v>1303</v>
      </c>
      <c r="FL88">
        <f>_xlfn.XLOOKUP(FK88,'KPI Impacts'!$B$2:$H$2,'KPI Impacts'!$B88:$H88)</f>
        <v>0</v>
      </c>
      <c r="FM88" s="16" t="s">
        <v>1303</v>
      </c>
      <c r="FN88">
        <f>_xlfn.XLOOKUP(FM88,'KPI Impacts'!$B$2:$H$2,'KPI Impacts'!$B88:$H88)</f>
        <v>0</v>
      </c>
      <c r="FP88" s="9"/>
      <c r="FQ88" s="12">
        <f>FQ$22*GB88</f>
        <v>0</v>
      </c>
      <c r="FR88" s="12">
        <f>FR$22 * IF(AND(FQ$5=1,FQ$20=1), GD88, GB88)</f>
        <v>0</v>
      </c>
      <c r="FS88" s="12">
        <f>FS$22 * IF(AND(FR$5=1,FQ$20=1), GD88, GB88)</f>
        <v>0</v>
      </c>
      <c r="FT88" s="12">
        <f>FT$22 * IF(AND(FS$5=1,FQ$20=1), GD88, GB88)</f>
        <v>0</v>
      </c>
      <c r="FU88" s="12">
        <f>FU$22 * IF(AND(FT$5=1,FQ$20=1), GD88, GB88)</f>
        <v>0</v>
      </c>
      <c r="FV88" s="12">
        <f>FV$22 * IF(AND(FU$5=1,FQ$20=1), GD88, GB88)</f>
        <v>0</v>
      </c>
      <c r="FW88" s="12">
        <f>FW$22 * IF(AND(FV$5=1,FQ$20=1), GD88, GB88)</f>
        <v>0</v>
      </c>
      <c r="FX88" s="12">
        <f>FX$22 * IF(AND(FW$5=1,FQ$20=1), GD88, GB88)</f>
        <v>0</v>
      </c>
      <c r="FY88" s="12">
        <f>FY$22 * IF(AND(FX$5=1,FQ$20=1), GD88, GB88)</f>
        <v>0</v>
      </c>
      <c r="GA88" s="16" t="s">
        <v>1303</v>
      </c>
      <c r="GB88">
        <f>_xlfn.XLOOKUP(GA88,'KPI Impacts'!$B$2:$H$2,'KPI Impacts'!$B88:$H88)</f>
        <v>0</v>
      </c>
      <c r="GC88" s="9" t="s">
        <v>1303</v>
      </c>
      <c r="GD88">
        <f>_xlfn.XLOOKUP(GC88,'KPI Impacts'!$B$2:$H$2,'KPI Impacts'!$B88:$H88)</f>
        <v>0</v>
      </c>
      <c r="GF88" s="9"/>
      <c r="GG88" s="12">
        <f>GG$22*GR88</f>
        <v>0</v>
      </c>
      <c r="GH88" s="12">
        <f>GH$22 * IF(AND(GG$5=1,GG$20=1), GT88, GR88)</f>
        <v>0</v>
      </c>
      <c r="GI88" s="12">
        <f>GI$22 * IF(AND(GH$5=1,GG$20=1), GT88, GR88)</f>
        <v>0</v>
      </c>
      <c r="GJ88" s="12">
        <f>GJ$22 * IF(AND(GI$5=1,GG$20=1), GT88, GR88)</f>
        <v>0</v>
      </c>
      <c r="GK88" s="12">
        <f>GK$22 * IF(AND(GJ$5=1,GG$20=1), GT88, GR88)</f>
        <v>0</v>
      </c>
      <c r="GL88" s="12">
        <f>GL$22 * IF(AND(GK$5=1,GG$20=1), GT88, GR88)</f>
        <v>0</v>
      </c>
      <c r="GM88" s="12">
        <f>GM$22 * IF(AND(GL$5=1,GG$20=1), GT88, GR88)</f>
        <v>0</v>
      </c>
      <c r="GN88" s="12">
        <f>GN$22 * IF(AND(GM$5=1,GG$20=1), GT88, GR88)</f>
        <v>0</v>
      </c>
      <c r="GO88" s="12">
        <f>GO$22 * IF(AND(GN$5=1,GG$20=1), GT88, GR88)</f>
        <v>0</v>
      </c>
      <c r="GQ88" s="16" t="s">
        <v>1303</v>
      </c>
      <c r="GR88">
        <f>_xlfn.XLOOKUP(GQ88,'KPI Impacts'!$B$2:$H$2,'KPI Impacts'!$B88:$H88)</f>
        <v>0</v>
      </c>
      <c r="GS88" s="9" t="s">
        <v>1303</v>
      </c>
      <c r="GT88">
        <f>_xlfn.XLOOKUP(GS88,'KPI Impacts'!$B$2:$H$2,'KPI Impacts'!$B88:$H88)</f>
        <v>0</v>
      </c>
      <c r="GW88" s="12">
        <f>GW$22*HH88</f>
        <v>0</v>
      </c>
      <c r="GX88" s="12">
        <f>GX$22 * IF(AND(GW$5=1,GW$20=1), HJ88, HH88)</f>
        <v>0</v>
      </c>
      <c r="GY88" s="12">
        <f>GY$22 * IF(AND(GX$5=1,GW$20=1), HJ88, HH88)</f>
        <v>0</v>
      </c>
      <c r="GZ88" s="12">
        <f>GZ$22 * IF(AND(GY$5=1,GW$20=1), HJ88, HH88)</f>
        <v>0</v>
      </c>
      <c r="HA88" s="12">
        <f>HA$22 * IF(AND(GZ$5=1,GW$20=1), HJ88, HH88)</f>
        <v>0</v>
      </c>
      <c r="HB88" s="12">
        <f>HB$22 * IF(AND(HA$5=1,GW$20=1), HJ88, HH88)</f>
        <v>0</v>
      </c>
      <c r="HC88" s="12">
        <f>HC$22 * IF(AND(HB$5=1,GW$20=1), HJ88, HH88)</f>
        <v>0</v>
      </c>
      <c r="HD88" s="12">
        <f>HD$22 * IF(AND(HC$5=1,GW$20=1), HJ88, HH88)</f>
        <v>0</v>
      </c>
      <c r="HE88" s="12">
        <f>HE$22 * IF(AND(HD$5=1,GW$20=1), HJ88, HH88)</f>
        <v>0</v>
      </c>
      <c r="HG88" s="16" t="s">
        <v>1303</v>
      </c>
      <c r="HH88">
        <f>_xlfn.XLOOKUP(HG88,'KPI Impacts'!$B$2:$H$2,'KPI Impacts'!$B88:$H88)</f>
        <v>0</v>
      </c>
      <c r="HI88" s="9" t="s">
        <v>1303</v>
      </c>
      <c r="HJ88">
        <f>_xlfn.XLOOKUP(HI88,'KPI Impacts'!$B$2:$H$2,'KPI Impacts'!$B88:$H88)</f>
        <v>0</v>
      </c>
      <c r="HM88" s="12">
        <f>HM$22*HX88</f>
        <v>0</v>
      </c>
      <c r="HN88" s="12">
        <f>HN$22 * IF(AND(HM$5=1,HM$20=1), HZ88, HX88)</f>
        <v>0</v>
      </c>
      <c r="HO88" s="12">
        <f>HO$22 * IF(AND(HN$5=1,HM$20=1), HZ88, HX88)</f>
        <v>0</v>
      </c>
      <c r="HP88" s="12">
        <f>HP$22 * IF(AND(HO$5=1,HM$20=1), HZ88, HX88)</f>
        <v>0</v>
      </c>
      <c r="HQ88" s="12">
        <f>HQ$22 * IF(AND(HP$5=1,HM$20=1), HZ88, HX88)</f>
        <v>0</v>
      </c>
      <c r="HR88" s="12">
        <f>HR$22 * IF(AND(HQ$5=1,HM$20=1), HZ88, HX88)</f>
        <v>0</v>
      </c>
      <c r="HS88" s="12">
        <f>HS$22 * IF(AND(HR$5=1,HM$20=1), HZ88, HX88)</f>
        <v>0</v>
      </c>
      <c r="HT88" s="12">
        <f>HT$22 * IF(AND(HS$5=1,HM$20=1), HZ88, HX88)</f>
        <v>0</v>
      </c>
      <c r="HU88" s="12">
        <f>HU$22 * IF(AND(HT$5=1,HM$20=1), HZ88, HX88)</f>
        <v>0</v>
      </c>
      <c r="HW88" s="16" t="s">
        <v>1303</v>
      </c>
      <c r="HX88">
        <f>_xlfn.XLOOKUP(HW88,'KPI Impacts'!$B$2:$H$2,'KPI Impacts'!$B88:$H88)</f>
        <v>0</v>
      </c>
      <c r="HY88" s="9" t="s">
        <v>1303</v>
      </c>
      <c r="HZ88">
        <f>_xlfn.XLOOKUP(HY88,'KPI Impacts'!$B$2:$H$2,'KPI Impacts'!$B88:$H88)</f>
        <v>0</v>
      </c>
      <c r="IC88" s="12">
        <f>IC$22*IN88</f>
        <v>0</v>
      </c>
      <c r="ID88" s="12">
        <f>ID$22 * IF(AND(IC$5=1,IC$20=1), IP88, IN88)</f>
        <v>0</v>
      </c>
      <c r="IE88" s="12">
        <f>IE$22 * IF(AND(ID$5=1,IC$20=1), IP88, IN88)</f>
        <v>0</v>
      </c>
      <c r="IF88" s="12">
        <f>IF$22 * IF(AND(IE$5=1,IC$20=1), IP88, IN88)</f>
        <v>0</v>
      </c>
      <c r="IG88" s="12">
        <f>IG$22 * IF(AND(IF$5=1,IC$20=1), IP88, IN88)</f>
        <v>0</v>
      </c>
      <c r="IH88" s="12">
        <f>IH$22 * IF(AND(IG$5=1,IC$20=1), IP88, IN88)</f>
        <v>0</v>
      </c>
      <c r="II88" s="12">
        <f>II$22 * IF(AND(IH$5=1,IC$20=1), IP88, IN88)</f>
        <v>0</v>
      </c>
      <c r="IJ88" s="12">
        <f>IJ$22 * IF(AND(II$5=1,IC$20=1), IP88, IN88)</f>
        <v>0</v>
      </c>
      <c r="IK88" s="12">
        <f>IK$22 * IF(AND(IJ$5=1,IC$20=1), IP88, IN88)</f>
        <v>0</v>
      </c>
      <c r="IM88" s="16" t="s">
        <v>1303</v>
      </c>
      <c r="IN88">
        <f>_xlfn.XLOOKUP(IM88,'KPI Impacts'!$B$2:$H$2,'KPI Impacts'!$B88:$H88)</f>
        <v>0</v>
      </c>
      <c r="IO88" s="9" t="s">
        <v>1303</v>
      </c>
      <c r="IP88">
        <f>_xlfn.XLOOKUP(IO88,'KPI Impacts'!$B$2:$H$2,'KPI Impacts'!$B88:$H88)</f>
        <v>0</v>
      </c>
      <c r="IS88" s="12">
        <f>IS$22*JD88</f>
        <v>0</v>
      </c>
      <c r="IT88" s="12">
        <f>IT$22 * IF(AND(IS$5=1,IS$20=1), JF88, JD88)</f>
        <v>0</v>
      </c>
      <c r="IU88" s="12">
        <f>IU$22 * IF(AND(IT$5=1,IS$20=1), JF88, JD88)</f>
        <v>0</v>
      </c>
      <c r="IV88" s="12">
        <f>IV$22 * IF(AND(IU$5=1,IS$20=1), JF88, JD88)</f>
        <v>0</v>
      </c>
      <c r="IW88" s="12">
        <f>IW$22 * IF(AND(IV$5=1,IS$20=1), JF88, JD88)</f>
        <v>0</v>
      </c>
      <c r="IX88" s="12">
        <f>IX$22 * IF(AND(IW$5=1,IS$20=1), JF88, JD88)</f>
        <v>0</v>
      </c>
      <c r="IY88" s="12">
        <f>IY$22 * IF(AND(IX$5=1,IS$20=1), JF88, JD88)</f>
        <v>0</v>
      </c>
      <c r="IZ88" s="12">
        <f>IZ$22 * IF(AND(IY$5=1,IS$20=1), JF88, JD88)</f>
        <v>0</v>
      </c>
      <c r="JA88" s="12">
        <f>JA$22 * IF(AND(IZ$5=1,IS$20=1), JF88, JD88)</f>
        <v>0</v>
      </c>
      <c r="JC88" t="s">
        <v>1303</v>
      </c>
      <c r="JD88">
        <f>_xlfn.XLOOKUP(JC88,'KPI Impacts'!$B$2:$H$2,'KPI Impacts'!$B88:$H88)</f>
        <v>0</v>
      </c>
      <c r="JE88" s="9" t="s">
        <v>1303</v>
      </c>
      <c r="JF88">
        <f>_xlfn.XLOOKUP(JE88,'KPI Impacts'!$B$2:$H$2,'KPI Impacts'!$B88:$H88)</f>
        <v>0</v>
      </c>
      <c r="JI88" s="12">
        <f>JI$22*JT88</f>
        <v>0</v>
      </c>
      <c r="JJ88" s="12">
        <f>JJ$22 * IF(AND(JI$5=1,JI$20=1), JV88, JT88)</f>
        <v>0</v>
      </c>
      <c r="JK88" s="12">
        <f>JK$22 * IF(AND(JJ$5=1,JI$20=1), JV88, JT88)</f>
        <v>0</v>
      </c>
      <c r="JL88" s="12">
        <f>JL$22 * IF(AND(JK$5=1,JI$20=1), JV88, JT88)</f>
        <v>0</v>
      </c>
      <c r="JM88" s="12">
        <f>JM$22 * IF(AND(JL$5=1,JI$20=1), JV88, JT88)</f>
        <v>0</v>
      </c>
      <c r="JN88" s="12">
        <f>JN$22 * IF(AND(JM$5=1,JI$20=1), JV88, JT88)</f>
        <v>0</v>
      </c>
      <c r="JO88" s="12">
        <f>JO$22 * IF(AND(JN$5=1,JI$20=1), JV88, JT88)</f>
        <v>0</v>
      </c>
      <c r="JP88" s="12">
        <f>JP$22 * IF(AND(JO$5=1,JI$20=1), JV88, JT88)</f>
        <v>0</v>
      </c>
      <c r="JQ88" s="12">
        <f>JQ$22 * IF(AND(JP$5=1,JI$20=1), JV88, JT88)</f>
        <v>0</v>
      </c>
      <c r="JS88" t="s">
        <v>1303</v>
      </c>
      <c r="JT88">
        <f>_xlfn.XLOOKUP(JS88,'KPI Impacts'!$B$2:$H$2,'KPI Impacts'!$B88:$H88)</f>
        <v>0</v>
      </c>
      <c r="JU88" s="9" t="s">
        <v>1303</v>
      </c>
      <c r="JV88">
        <f>_xlfn.XLOOKUP(JU88,'KPI Impacts'!$B$2:$H$2,'KPI Impacts'!$B88:$H88)</f>
        <v>0</v>
      </c>
      <c r="JY88" s="12">
        <f>JY$22*KJ88</f>
        <v>0</v>
      </c>
      <c r="JZ88" s="12">
        <f>JZ$22 * IF(AND(JY$5=1,JY$20=1), KL88, KJ88)</f>
        <v>0</v>
      </c>
      <c r="KA88" s="12">
        <f>KA$22 * IF(AND(JZ$5=1,JY$20=1), KL88, KJ88)</f>
        <v>0</v>
      </c>
      <c r="KB88" s="12">
        <f>KB$22 * IF(AND(KA$5=1,JY$20=1), KL88, KJ88)</f>
        <v>0</v>
      </c>
      <c r="KC88" s="12">
        <f>KC$22 * IF(AND(KB$5=1,JY$20=1), KL88, KJ88)</f>
        <v>0</v>
      </c>
      <c r="KD88" s="12">
        <f>KD$22 * IF(AND(KC$5=1,JY$20=1), KL88, KJ88)</f>
        <v>0</v>
      </c>
      <c r="KE88" s="12">
        <f>KE$22 * IF(AND(KD$5=1,JY$20=1), KL88, KJ88)</f>
        <v>0</v>
      </c>
      <c r="KF88" s="12">
        <f>KF$22 * IF(AND(KE$5=1,JY$20=1), KL88, KJ88)</f>
        <v>0</v>
      </c>
      <c r="KG88" s="12">
        <f>KG$22 * IF(AND(KF$5=1,JY$20=1), KL88, KJ88)</f>
        <v>0</v>
      </c>
      <c r="KI88" t="s">
        <v>1303</v>
      </c>
      <c r="KJ88">
        <f>_xlfn.XLOOKUP(KI88,'KPI Impacts'!$B$2:$H$2,'KPI Impacts'!$B88:$H88)</f>
        <v>0</v>
      </c>
      <c r="KK88" s="9" t="s">
        <v>1303</v>
      </c>
      <c r="KL88">
        <f>_xlfn.XLOOKUP(KK88,'KPI Impacts'!$B$2:$H$2,'KPI Impacts'!$B88:$H88)</f>
        <v>0</v>
      </c>
      <c r="KO88" s="12">
        <f>KO$22*KZ88</f>
        <v>0</v>
      </c>
      <c r="KP88" s="12">
        <f>KP$22 * IF(AND(KO$5=1,KO$20=1), LB88, KZ88)</f>
        <v>0</v>
      </c>
      <c r="KQ88" s="12">
        <f>KQ$22 * IF(AND(KP$5=1,KO$20=1), LB88, KZ88)</f>
        <v>0</v>
      </c>
      <c r="KR88" s="12">
        <f>KR$22 * IF(AND(KQ$5=1,KO$20=1), LB88, KZ88)</f>
        <v>0</v>
      </c>
      <c r="KS88" s="12">
        <f>KS$22 * IF(AND(KR$5=1,KO$20=1), LB88, KZ88)</f>
        <v>0</v>
      </c>
      <c r="KT88" s="12">
        <f>KT$22 * IF(AND(KS$5=1,KO$20=1), LB88, KZ88)</f>
        <v>0</v>
      </c>
      <c r="KU88" s="12">
        <f>KU$22 * IF(AND(KT$5=1,KO$20=1), LB88, KZ88)</f>
        <v>0</v>
      </c>
      <c r="KV88" s="12">
        <f>KV$22 * IF(AND(KU$5=1,KO$20=1), LB88, KZ88)</f>
        <v>0</v>
      </c>
      <c r="KW88" s="12">
        <f>KW$22 * IF(AND(KV$5=1,KO$20=1), LB88, KZ88)</f>
        <v>0</v>
      </c>
      <c r="KY88" t="s">
        <v>1303</v>
      </c>
      <c r="KZ88">
        <f>_xlfn.XLOOKUP(KY88,'KPI Impacts'!$B$2:$H$2,'KPI Impacts'!$B88:$H88)</f>
        <v>0</v>
      </c>
      <c r="LA88" s="9" t="s">
        <v>1303</v>
      </c>
      <c r="LB88">
        <f>_xlfn.XLOOKUP(LA88,'KPI Impacts'!$B$2:$H$2,'KPI Impacts'!$B88:$H88)</f>
        <v>0</v>
      </c>
      <c r="LE88" s="12">
        <f>LE$22*LP88</f>
        <v>0</v>
      </c>
      <c r="LF88" s="12">
        <f>LF$22 * IF(AND(LE$5=1,LE$20=1), LR88, LP88)</f>
        <v>0</v>
      </c>
      <c r="LG88" s="12">
        <f>LG$22 * IF(AND(LF$5=1,LE$20=1), LR88, LP88)</f>
        <v>0</v>
      </c>
      <c r="LH88" s="12">
        <f>LH$22 * IF(AND(LG$5=1,LE$20=1), LR88, LP88)</f>
        <v>0</v>
      </c>
      <c r="LI88" s="12">
        <f>LI$22 * IF(AND(LH$5=1,LE$20=1), LR88, LP88)</f>
        <v>0</v>
      </c>
      <c r="LJ88" s="12">
        <f>LJ$22 * IF(AND(LI$5=1,LE$20=1), LR88, LP88)</f>
        <v>0</v>
      </c>
      <c r="LK88" s="12">
        <f>LK$22 * IF(AND(LJ$5=1,LE$20=1), LR88, LP88)</f>
        <v>0</v>
      </c>
      <c r="LL88" s="12">
        <f>LL$22 * IF(AND(LK$5=1,LE$20=1), LR88, LP88)</f>
        <v>0</v>
      </c>
      <c r="LM88" s="12">
        <f>LM$22 * IF(AND(LL$5=1,LE$20=1), LR88, LP88)</f>
        <v>0</v>
      </c>
      <c r="LO88" t="s">
        <v>1303</v>
      </c>
      <c r="LP88">
        <f>_xlfn.XLOOKUP(LO88,'KPI Impacts'!$B$2:$H$2,'KPI Impacts'!$B88:$H88)</f>
        <v>0</v>
      </c>
      <c r="LQ88" s="9" t="s">
        <v>1303</v>
      </c>
      <c r="LR88">
        <f>_xlfn.XLOOKUP(LQ88,'KPI Impacts'!$B$2:$H$2,'KPI Impacts'!$B88:$H88)</f>
        <v>0</v>
      </c>
      <c r="LU88" s="12">
        <f>LU$22*MF88</f>
        <v>0</v>
      </c>
      <c r="LV88" s="12">
        <f>LV$22 * IF(AND(LU$5=1,LU$20=1), MH88, MF88)</f>
        <v>0</v>
      </c>
      <c r="LW88" s="12">
        <f>LW$22 * IF(AND(LV$5=1,LU$20=1), MH88, MF88)</f>
        <v>0</v>
      </c>
      <c r="LX88" s="12">
        <f>LX$22 * IF(AND(LW$5=1,LU$20=1), MH88, MF88)</f>
        <v>0</v>
      </c>
      <c r="LY88" s="12">
        <f>LY$22 * IF(AND(LX$5=1,LU$20=1), MH88, MF88)</f>
        <v>0</v>
      </c>
      <c r="LZ88" s="12">
        <f>LZ$22 * IF(AND(LY$5=1,LU$20=1), MH88, MF88)</f>
        <v>0</v>
      </c>
      <c r="MA88" s="12">
        <f>MA$22 * IF(AND(LZ$5=1,LU$20=1), MH88, MF88)</f>
        <v>0</v>
      </c>
      <c r="MB88" s="12">
        <f>MB$22 * IF(AND(MA$5=1,LU$20=1), MH88, MF88)</f>
        <v>0</v>
      </c>
      <c r="MC88" s="12">
        <f>MC$22 * IF(AND(MB$5=1,LU$20=1), MH88, MF88)</f>
        <v>0</v>
      </c>
      <c r="ME88" t="s">
        <v>1303</v>
      </c>
      <c r="MF88">
        <f>_xlfn.XLOOKUP(ME88,'KPI Impacts'!$B$2:$H$2,'KPI Impacts'!$B88:$H88)</f>
        <v>0</v>
      </c>
      <c r="MG88" s="9" t="s">
        <v>1303</v>
      </c>
      <c r="MH88">
        <f>_xlfn.XLOOKUP(MG88,'KPI Impacts'!$B$2:$H$2,'KPI Impacts'!$B88:$H88)</f>
        <v>0</v>
      </c>
      <c r="MK88" s="12">
        <f>MK$22*MV88</f>
        <v>0</v>
      </c>
      <c r="ML88" s="12">
        <f>ML$22 * IF(AND(MK$5=1,MK$20=1), MX88, MV88)</f>
        <v>0</v>
      </c>
      <c r="MM88" s="12">
        <f>MM$22 * IF(AND(ML$5=1,MK$20=1), MX88, MV88)</f>
        <v>0</v>
      </c>
      <c r="MN88" s="12">
        <f>MN$22 * IF(AND(MM$5=1,MK$20=1), MX88, MV88)</f>
        <v>0</v>
      </c>
      <c r="MO88" s="12">
        <f>MO$22 * IF(AND(MN$5=1,MK$20=1), MX88, MV88)</f>
        <v>0</v>
      </c>
      <c r="MP88" s="12">
        <f>MP$22 * IF(AND(MO$5=1,MK$20=1), MX88, MV88)</f>
        <v>0</v>
      </c>
      <c r="MQ88" s="12">
        <f>MQ$22 * IF(AND(MP$5=1,MK$20=1), MX88, MV88)</f>
        <v>0</v>
      </c>
      <c r="MR88" s="12">
        <f>MR$22 * IF(AND(MQ$5=1,MK$20=1), MX88, MV88)</f>
        <v>0</v>
      </c>
      <c r="MS88" s="12">
        <f>MS$22 * IF(AND(MR$5=1,MK$20=1), MX88, MV88)</f>
        <v>0</v>
      </c>
      <c r="MU88" t="s">
        <v>1303</v>
      </c>
      <c r="MV88">
        <f>_xlfn.XLOOKUP(MU88,'KPI Impacts'!$B$2:$H$2,'KPI Impacts'!$B88:$H88)</f>
        <v>0</v>
      </c>
      <c r="MW88" s="9" t="s">
        <v>1303</v>
      </c>
      <c r="MX88">
        <f>_xlfn.XLOOKUP(MW88,'KPI Impacts'!$B$2:$H$2,'KPI Impacts'!$B88:$H88)</f>
        <v>0</v>
      </c>
      <c r="NA88" s="12">
        <f>NA$22*NL88</f>
        <v>0</v>
      </c>
      <c r="NB88" s="12">
        <f>NB$22 * IF(AND(NA$5=1,NA$20=1), NN88, NL88)</f>
        <v>0</v>
      </c>
      <c r="NC88" s="12">
        <f>NC$22 * IF(AND(NB$5=1,NA$20=1), NN88, NL88)</f>
        <v>0</v>
      </c>
      <c r="ND88" s="12">
        <f>ND$22 * IF(AND(NC$5=1,NA$20=1), NN88, NL88)</f>
        <v>0</v>
      </c>
      <c r="NE88" s="12">
        <f>NE$22 * IF(AND(ND$5=1,NA$20=1), NN88, NL88)</f>
        <v>0</v>
      </c>
      <c r="NF88" s="12">
        <f>NF$22 * IF(AND(NE$5=1,NA$20=1), NN88, NL88)</f>
        <v>0</v>
      </c>
      <c r="NG88" s="12">
        <f>NG$22 * IF(AND(NF$5=1,NA$20=1), NN88, NL88)</f>
        <v>0</v>
      </c>
      <c r="NH88" s="12">
        <f>NH$22 * IF(AND(NG$5=1,NA$20=1), NN88, NL88)</f>
        <v>0</v>
      </c>
      <c r="NI88" s="12">
        <f>NI$22 * IF(AND(NH$5=1,NA$20=1), NN88, NL88)</f>
        <v>0</v>
      </c>
      <c r="NK88" t="s">
        <v>1303</v>
      </c>
      <c r="NL88">
        <f>_xlfn.XLOOKUP(NK88,'KPI Impacts'!$B$2:$H$2,'KPI Impacts'!$B88:$H88)</f>
        <v>0</v>
      </c>
      <c r="NM88" s="9" t="s">
        <v>1303</v>
      </c>
      <c r="NN88">
        <f>_xlfn.XLOOKUP(NM88,'KPI Impacts'!$B$2:$H$2,'KPI Impacts'!$B88:$H88)</f>
        <v>0</v>
      </c>
      <c r="NQ88" s="12">
        <f>NQ$22*OB88</f>
        <v>0</v>
      </c>
      <c r="NR88" s="12">
        <f>NR$22 * IF(AND(NQ$5=1,NQ$20=1), OD88, OB88)</f>
        <v>0</v>
      </c>
      <c r="NS88" s="12">
        <f>NS$22 * IF(AND(NR$5=1,NQ$20=1), OD88, OB88)</f>
        <v>0</v>
      </c>
      <c r="NT88" s="12">
        <f>NT$22 * IF(AND(NS$5=1,NQ$20=1), OD88, OB88)</f>
        <v>0</v>
      </c>
      <c r="NU88" s="12">
        <f>NU$22 * IF(AND(NT$5=1,NQ$20=1), OD88, OB88)</f>
        <v>0</v>
      </c>
      <c r="NV88" s="12">
        <f>NV$22 * IF(AND(NU$5=1,NQ$20=1), OD88, OB88)</f>
        <v>0</v>
      </c>
      <c r="NW88" s="12">
        <f>NW$22 * IF(AND(NV$5=1,NQ$20=1), OD88, OB88)</f>
        <v>0</v>
      </c>
      <c r="NX88" s="12">
        <f>NX$22 * IF(AND(NW$5=1,NQ$20=1), OD88, OB88)</f>
        <v>0</v>
      </c>
      <c r="NY88" s="12">
        <f>NY$22 * IF(AND(NX$5=1,NQ$20=1), OD88, OB88)</f>
        <v>0</v>
      </c>
      <c r="OA88" t="s">
        <v>1303</v>
      </c>
      <c r="OB88">
        <f>_xlfn.XLOOKUP(OA88,'KPI Impacts'!$B$2:$H$2,'KPI Impacts'!$B88:$H88)</f>
        <v>0</v>
      </c>
      <c r="OC88" s="9" t="s">
        <v>1303</v>
      </c>
      <c r="OD88">
        <f>_xlfn.XLOOKUP(OC88,'KPI Impacts'!$B$2:$H$2,'KPI Impacts'!$B88:$H88)</f>
        <v>0</v>
      </c>
      <c r="OG88" s="12">
        <f>OG$22*OR88</f>
        <v>0</v>
      </c>
      <c r="OH88" s="12">
        <f>OH$22 * IF(AND(OG$5=1,OG$20=1), OT88, OR88)</f>
        <v>0</v>
      </c>
      <c r="OI88" s="12">
        <f>OI$22 * IF(AND(OH$5=1,OG$20=1), OT88, OR88)</f>
        <v>0</v>
      </c>
      <c r="OJ88" s="12">
        <f>OJ$22 * IF(AND(OI$5=1,OG$20=1), OT88, OR88)</f>
        <v>0</v>
      </c>
      <c r="OK88" s="12">
        <f>OK$22 * IF(AND(OJ$5=1,OG$20=1), OT88, OR88)</f>
        <v>0</v>
      </c>
      <c r="OL88" s="12">
        <f>OL$22 * IF(AND(OK$5=1,OG$20=1), OT88, OR88)</f>
        <v>0</v>
      </c>
      <c r="OM88" s="12">
        <f>OM$22 * IF(AND(OL$5=1,OG$20=1), OT88, OR88)</f>
        <v>0</v>
      </c>
      <c r="ON88" s="12">
        <f>ON$22 * IF(AND(OM$5=1,OG$20=1), OT88, OR88)</f>
        <v>0</v>
      </c>
      <c r="OO88" s="12">
        <f>OO$22 * IF(AND(ON$5=1,OG$20=1), OT88, OR88)</f>
        <v>0</v>
      </c>
      <c r="OQ88" t="s">
        <v>1303</v>
      </c>
      <c r="OR88">
        <f>_xlfn.XLOOKUP(OQ88,'KPI Impacts'!$B$2:$H$2,'KPI Impacts'!$B88:$H88)</f>
        <v>0</v>
      </c>
      <c r="OS88" s="9" t="s">
        <v>1303</v>
      </c>
      <c r="OT88">
        <f>_xlfn.XLOOKUP(OS88,'KPI Impacts'!$B$2:$H$2,'KPI Impacts'!$B88:$H88)</f>
        <v>0</v>
      </c>
    </row>
    <row r="89" spans="1:410" hidden="1" x14ac:dyDescent="0.2">
      <c r="B89" s="12"/>
      <c r="C89" s="12"/>
      <c r="D89" s="12"/>
      <c r="E89" s="12"/>
      <c r="F89" s="12"/>
      <c r="G89" s="12"/>
      <c r="H89" s="12"/>
      <c r="I89" s="12"/>
      <c r="J89" s="12"/>
      <c r="V89" s="6"/>
      <c r="W89" s="6"/>
      <c r="X89" s="9"/>
      <c r="Y89" s="12"/>
      <c r="Z89" s="12"/>
      <c r="AA89" s="12"/>
      <c r="AB89" s="12"/>
      <c r="AC89" s="12"/>
      <c r="AD89" s="12"/>
      <c r="AE89" s="12"/>
      <c r="AF89" s="12"/>
      <c r="AG89" s="12"/>
      <c r="AP89" s="9"/>
      <c r="AQ89" s="12"/>
      <c r="AR89" s="12"/>
      <c r="AS89" s="12"/>
      <c r="AT89" s="12"/>
      <c r="AU89" s="12"/>
      <c r="AV89" s="12"/>
      <c r="AW89" s="12"/>
      <c r="AX89" s="12"/>
      <c r="AY89" s="12"/>
      <c r="BH89" s="9"/>
      <c r="BI89" s="12"/>
      <c r="BJ89" s="12"/>
      <c r="BK89" s="12"/>
      <c r="BL89" s="12"/>
      <c r="BM89" s="12"/>
      <c r="BN89" s="12"/>
      <c r="BO89" s="12"/>
      <c r="BP89" s="12"/>
      <c r="BQ89" s="12"/>
      <c r="BS89" s="16"/>
      <c r="BU89" s="35"/>
      <c r="BX89" s="9"/>
      <c r="BY89" s="12"/>
      <c r="BZ89" s="12"/>
      <c r="CA89" s="12"/>
      <c r="CB89" s="12"/>
      <c r="CC89" s="12"/>
      <c r="CD89" s="12"/>
      <c r="CE89" s="12"/>
      <c r="CF89" s="12"/>
      <c r="CG89" s="12"/>
      <c r="CI89" s="16"/>
      <c r="CK89" s="35"/>
      <c r="CN89" s="9"/>
      <c r="CO89" s="12"/>
      <c r="CP89" s="12"/>
      <c r="CQ89" s="12"/>
      <c r="CR89" s="12"/>
      <c r="CS89" s="12"/>
      <c r="CT89" s="12"/>
      <c r="CU89" s="12"/>
      <c r="CV89" s="12"/>
      <c r="CW89" s="12"/>
      <c r="CY89" s="16"/>
      <c r="DA89" s="35"/>
      <c r="DD89" s="9"/>
      <c r="DE89" s="12"/>
      <c r="DF89" s="12"/>
      <c r="DG89" s="12"/>
      <c r="DH89" s="12"/>
      <c r="DI89" s="12"/>
      <c r="DJ89" s="12"/>
      <c r="DK89" s="12"/>
      <c r="DL89" s="12"/>
      <c r="DM89" s="12"/>
      <c r="DO89" s="16"/>
      <c r="DQ89" s="35"/>
      <c r="DT89" s="9"/>
      <c r="DU89" s="12"/>
      <c r="DV89" s="12"/>
      <c r="DW89" s="12"/>
      <c r="DX89" s="12"/>
      <c r="DY89" s="12"/>
      <c r="DZ89" s="12"/>
      <c r="EA89" s="12"/>
      <c r="EB89" s="12"/>
      <c r="EC89" s="12"/>
      <c r="EE89" s="16"/>
      <c r="EG89" s="35"/>
      <c r="EJ89" s="9"/>
      <c r="EK89" s="12"/>
      <c r="EL89" s="12"/>
      <c r="EM89" s="12"/>
      <c r="EN89" s="12"/>
      <c r="EO89" s="12"/>
      <c r="EP89" s="12"/>
      <c r="EQ89" s="12"/>
      <c r="ER89" s="12"/>
      <c r="ES89" s="12"/>
      <c r="EU89" s="16"/>
      <c r="EW89" s="35"/>
      <c r="EZ89" s="9"/>
      <c r="FA89" s="12"/>
      <c r="FB89" s="12"/>
      <c r="FC89" s="12"/>
      <c r="FD89" s="12"/>
      <c r="FE89" s="12"/>
      <c r="FF89" s="12"/>
      <c r="FG89" s="12"/>
      <c r="FH89" s="12"/>
      <c r="FI89" s="12"/>
      <c r="FK89" s="16"/>
      <c r="FM89" s="16"/>
      <c r="FP89" s="9"/>
      <c r="FQ89" s="12"/>
      <c r="FR89" s="12"/>
      <c r="FS89" s="12"/>
      <c r="FT89" s="12"/>
      <c r="FU89" s="12"/>
      <c r="FV89" s="12"/>
      <c r="FW89" s="12"/>
      <c r="FX89" s="12"/>
      <c r="FY89" s="12"/>
      <c r="GA89" s="16"/>
      <c r="GC89" s="9"/>
      <c r="GF89" s="9"/>
      <c r="GG89" s="12"/>
      <c r="GH89" s="12"/>
      <c r="GI89" s="12"/>
      <c r="GJ89" s="12"/>
      <c r="GK89" s="12"/>
      <c r="GL89" s="12"/>
      <c r="GM89" s="12"/>
      <c r="GN89" s="12"/>
      <c r="GO89" s="12"/>
      <c r="GQ89" s="16"/>
      <c r="GS89" s="9"/>
      <c r="GW89" s="12"/>
      <c r="GX89" s="12"/>
      <c r="GY89" s="12"/>
      <c r="GZ89" s="12"/>
      <c r="HA89" s="12"/>
      <c r="HB89" s="12"/>
      <c r="HC89" s="12"/>
      <c r="HD89" s="12"/>
      <c r="HE89" s="12"/>
      <c r="HG89" s="16"/>
      <c r="HI89" s="9"/>
      <c r="HM89" s="12"/>
      <c r="HN89" s="12"/>
      <c r="HO89" s="12"/>
      <c r="HP89" s="12"/>
      <c r="HQ89" s="12"/>
      <c r="HR89" s="12"/>
      <c r="HS89" s="12"/>
      <c r="HT89" s="12"/>
      <c r="HU89" s="12"/>
      <c r="HW89" s="16"/>
      <c r="HY89" s="9"/>
      <c r="IC89" s="12"/>
      <c r="ID89" s="12"/>
      <c r="IE89" s="12"/>
      <c r="IF89" s="12"/>
      <c r="IG89" s="12"/>
      <c r="IH89" s="12"/>
      <c r="II89" s="12"/>
      <c r="IJ89" s="12"/>
      <c r="IK89" s="12"/>
      <c r="IM89" s="16"/>
      <c r="IO89" s="9"/>
      <c r="IS89" s="12"/>
      <c r="IT89" s="12"/>
      <c r="IU89" s="12"/>
      <c r="IV89" s="12"/>
      <c r="IW89" s="12"/>
      <c r="IX89" s="12"/>
      <c r="IY89" s="12"/>
      <c r="IZ89" s="12"/>
      <c r="JA89" s="12"/>
      <c r="JE89" s="9"/>
      <c r="JI89" s="12"/>
      <c r="JJ89" s="12"/>
      <c r="JK89" s="12"/>
      <c r="JL89" s="12"/>
      <c r="JM89" s="12"/>
      <c r="JN89" s="12"/>
      <c r="JO89" s="12"/>
      <c r="JP89" s="12"/>
      <c r="JQ89" s="12"/>
      <c r="JU89" s="9"/>
      <c r="JY89" s="12"/>
      <c r="JZ89" s="12"/>
      <c r="KA89" s="12"/>
      <c r="KB89" s="12"/>
      <c r="KC89" s="12"/>
      <c r="KD89" s="12"/>
      <c r="KE89" s="12"/>
      <c r="KF89" s="12"/>
      <c r="KG89" s="12"/>
      <c r="KK89" s="9"/>
      <c r="KO89" s="12"/>
      <c r="KP89" s="12"/>
      <c r="KQ89" s="12"/>
      <c r="KR89" s="12"/>
      <c r="KS89" s="12"/>
      <c r="KT89" s="12"/>
      <c r="KU89" s="12"/>
      <c r="KV89" s="12"/>
      <c r="KW89" s="12"/>
      <c r="LA89" s="9"/>
      <c r="LE89" s="12"/>
      <c r="LF89" s="12"/>
      <c r="LG89" s="12"/>
      <c r="LH89" s="12"/>
      <c r="LI89" s="12"/>
      <c r="LJ89" s="12"/>
      <c r="LK89" s="12"/>
      <c r="LL89" s="12"/>
      <c r="LM89" s="12"/>
      <c r="LQ89" s="9"/>
      <c r="LU89" s="12"/>
      <c r="LV89" s="12"/>
      <c r="LW89" s="12"/>
      <c r="LX89" s="12"/>
      <c r="LY89" s="12"/>
      <c r="LZ89" s="12"/>
      <c r="MA89" s="12"/>
      <c r="MB89" s="12"/>
      <c r="MC89" s="12"/>
      <c r="MG89" s="9"/>
      <c r="MK89" s="12"/>
      <c r="ML89" s="12"/>
      <c r="MM89" s="12"/>
      <c r="MN89" s="12"/>
      <c r="MO89" s="12"/>
      <c r="MP89" s="12"/>
      <c r="MQ89" s="12"/>
      <c r="MR89" s="12"/>
      <c r="MS89" s="12"/>
      <c r="MW89" s="9"/>
      <c r="NA89" s="12"/>
      <c r="NB89" s="12"/>
      <c r="NC89" s="12"/>
      <c r="ND89" s="12"/>
      <c r="NE89" s="12"/>
      <c r="NF89" s="12"/>
      <c r="NG89" s="12"/>
      <c r="NH89" s="12"/>
      <c r="NI89" s="12"/>
      <c r="NM89" s="9"/>
      <c r="NQ89" s="12"/>
      <c r="NR89" s="12"/>
      <c r="NS89" s="12"/>
      <c r="NT89" s="12"/>
      <c r="NU89" s="12"/>
      <c r="NV89" s="12"/>
      <c r="NW89" s="12"/>
      <c r="NX89" s="12"/>
      <c r="NY89" s="12"/>
      <c r="OC89" s="9"/>
      <c r="OG89" s="12"/>
      <c r="OH89" s="12"/>
      <c r="OI89" s="12"/>
      <c r="OJ89" s="12"/>
      <c r="OK89" s="12"/>
      <c r="OL89" s="12"/>
      <c r="OM89" s="12"/>
      <c r="ON89" s="12"/>
      <c r="OO89" s="12"/>
      <c r="OS89" s="9"/>
    </row>
    <row r="90" spans="1:410" x14ac:dyDescent="0.2">
      <c r="B90" s="12"/>
      <c r="V90" s="6"/>
      <c r="X90" s="9"/>
      <c r="Y90" s="12"/>
      <c r="Z90" s="12"/>
      <c r="AA90" s="12"/>
      <c r="AB90" s="12"/>
      <c r="AC90" s="12"/>
      <c r="AD90" s="12"/>
      <c r="AE90" s="12"/>
      <c r="AF90" s="12"/>
      <c r="AG90" s="12"/>
      <c r="AP90" s="9"/>
      <c r="AQ90" s="12"/>
      <c r="AR90" s="12"/>
      <c r="AS90" s="12"/>
      <c r="AT90" s="12"/>
      <c r="AU90" s="12"/>
      <c r="AV90" s="12"/>
      <c r="AW90" s="12"/>
      <c r="AX90" s="12"/>
      <c r="AY90" s="12"/>
      <c r="BH90" s="9"/>
      <c r="BI90" s="12"/>
      <c r="BJ90" s="12"/>
      <c r="BK90" s="12"/>
      <c r="BL90" s="12"/>
      <c r="BM90" s="12"/>
      <c r="BN90" s="12"/>
      <c r="BO90" s="12"/>
      <c r="BP90" s="12"/>
      <c r="BQ90" s="12"/>
      <c r="BS90" s="16"/>
      <c r="BU90" s="35"/>
      <c r="BX90" s="9"/>
      <c r="BY90" s="12"/>
      <c r="BZ90" s="12"/>
      <c r="CA90" s="12"/>
      <c r="CB90" s="12"/>
      <c r="CC90" s="12"/>
      <c r="CD90" s="12"/>
      <c r="CE90" s="12"/>
      <c r="CF90" s="12"/>
      <c r="CG90" s="12"/>
      <c r="CI90" s="16"/>
      <c r="CK90" s="35"/>
      <c r="CN90" s="9"/>
      <c r="CO90" s="12"/>
      <c r="CP90" s="12"/>
      <c r="CQ90" s="12"/>
      <c r="CR90" s="12"/>
      <c r="CS90" s="12"/>
      <c r="CT90" s="12"/>
      <c r="CU90" s="12"/>
      <c r="CV90" s="12"/>
      <c r="CW90" s="12"/>
      <c r="CY90" s="16"/>
      <c r="DA90" s="35"/>
      <c r="DD90" s="9"/>
      <c r="DE90" s="12"/>
      <c r="DF90" s="12"/>
      <c r="DG90" s="12"/>
      <c r="DH90" s="12"/>
      <c r="DI90" s="12"/>
      <c r="DJ90" s="12"/>
      <c r="DK90" s="12"/>
      <c r="DL90" s="12"/>
      <c r="DM90" s="12"/>
      <c r="DO90" s="16"/>
      <c r="DQ90" s="35"/>
      <c r="DT90" s="9"/>
      <c r="DU90" s="12"/>
      <c r="DV90" s="12"/>
      <c r="DW90" s="12"/>
      <c r="DX90" s="12"/>
      <c r="DY90" s="12"/>
      <c r="DZ90" s="12"/>
      <c r="EA90" s="12"/>
      <c r="EB90" s="12"/>
      <c r="EC90" s="12"/>
      <c r="EE90" s="16"/>
      <c r="EG90" s="35"/>
      <c r="EJ90" s="9"/>
      <c r="EK90" s="12"/>
      <c r="EL90" s="12"/>
      <c r="EM90" s="12"/>
      <c r="EN90" s="12"/>
      <c r="EO90" s="12"/>
      <c r="EP90" s="12"/>
      <c r="EQ90" s="12"/>
      <c r="ER90" s="12"/>
      <c r="ES90" s="12"/>
      <c r="EU90" s="16"/>
      <c r="EW90" s="35"/>
      <c r="EZ90" s="9"/>
      <c r="FA90" s="12"/>
      <c r="FB90" s="12"/>
      <c r="FC90" s="12"/>
      <c r="FD90" s="12"/>
      <c r="FE90" s="12"/>
      <c r="FF90" s="12"/>
      <c r="FG90" s="12"/>
      <c r="FH90" s="12"/>
      <c r="FI90" s="12"/>
      <c r="FK90" s="16"/>
      <c r="FM90" s="16"/>
      <c r="FP90" s="9"/>
      <c r="FQ90" s="12"/>
      <c r="FR90" s="12"/>
      <c r="FS90" s="12"/>
      <c r="FT90" s="12"/>
      <c r="FU90" s="12"/>
      <c r="FV90" s="12"/>
      <c r="FW90" s="12"/>
      <c r="FX90" s="12"/>
      <c r="FY90" s="12"/>
      <c r="GA90" s="16"/>
      <c r="GC90" s="9"/>
      <c r="GF90" s="9"/>
      <c r="GG90" s="12"/>
      <c r="GH90" s="12"/>
      <c r="GI90" s="12"/>
      <c r="GJ90" s="12"/>
      <c r="GK90" s="12"/>
      <c r="GL90" s="12"/>
      <c r="GM90" s="12"/>
      <c r="GN90" s="12"/>
      <c r="GO90" s="12"/>
      <c r="GQ90" s="16"/>
      <c r="GS90" s="9"/>
      <c r="GW90" s="12"/>
      <c r="GX90" s="12"/>
      <c r="GY90" s="12"/>
      <c r="GZ90" s="12"/>
      <c r="HA90" s="12"/>
      <c r="HB90" s="12"/>
      <c r="HC90" s="12"/>
      <c r="HD90" s="12"/>
      <c r="HE90" s="12"/>
      <c r="HG90" s="16"/>
      <c r="HI90" s="9"/>
      <c r="HM90" s="12"/>
      <c r="HN90" s="12"/>
      <c r="HO90" s="12"/>
      <c r="HP90" s="12"/>
      <c r="HQ90" s="12"/>
      <c r="HR90" s="12"/>
      <c r="HS90" s="12"/>
      <c r="HT90" s="12"/>
      <c r="HU90" s="12"/>
      <c r="HW90" s="16"/>
      <c r="HY90" s="9"/>
      <c r="IC90" s="12"/>
      <c r="ID90" s="12"/>
      <c r="IE90" s="12"/>
      <c r="IF90" s="12"/>
      <c r="IG90" s="12"/>
      <c r="IH90" s="12"/>
      <c r="II90" s="12"/>
      <c r="IJ90" s="12"/>
      <c r="IK90" s="12"/>
      <c r="IM90" s="16"/>
      <c r="IO90" s="9"/>
      <c r="IS90" s="12"/>
      <c r="IT90" s="12"/>
      <c r="IU90" s="12"/>
      <c r="IV90" s="12"/>
      <c r="IW90" s="12"/>
      <c r="IX90" s="12"/>
      <c r="IY90" s="12"/>
      <c r="IZ90" s="12"/>
      <c r="JA90" s="12"/>
      <c r="JE90" s="9"/>
      <c r="JI90" s="12"/>
      <c r="JJ90" s="12"/>
      <c r="JK90" s="12"/>
      <c r="JL90" s="12"/>
      <c r="JM90" s="12"/>
      <c r="JN90" s="12"/>
      <c r="JO90" s="12"/>
      <c r="JP90" s="12"/>
      <c r="JQ90" s="12"/>
      <c r="JU90" s="9"/>
      <c r="JY90" s="12"/>
      <c r="JZ90" s="12"/>
      <c r="KA90" s="12"/>
      <c r="KB90" s="12"/>
      <c r="KC90" s="12"/>
      <c r="KD90" s="12"/>
      <c r="KE90" s="12"/>
      <c r="KF90" s="12"/>
      <c r="KG90" s="12"/>
      <c r="KK90" s="9"/>
      <c r="KO90" s="12"/>
      <c r="KP90" s="12"/>
      <c r="KQ90" s="12"/>
      <c r="KR90" s="12"/>
      <c r="KS90" s="12"/>
      <c r="KT90" s="12"/>
      <c r="KU90" s="12"/>
      <c r="KV90" s="12"/>
      <c r="KW90" s="12"/>
      <c r="LA90" s="9"/>
      <c r="LE90" s="12"/>
      <c r="LF90" s="12"/>
      <c r="LG90" s="12"/>
      <c r="LH90" s="12"/>
      <c r="LI90" s="12"/>
      <c r="LJ90" s="12"/>
      <c r="LK90" s="12"/>
      <c r="LL90" s="12"/>
      <c r="LM90" s="12"/>
      <c r="LQ90" s="9"/>
      <c r="LU90" s="12"/>
      <c r="LV90" s="12"/>
      <c r="LW90" s="12"/>
      <c r="LX90" s="12"/>
      <c r="LY90" s="12"/>
      <c r="LZ90" s="12"/>
      <c r="MA90" s="12"/>
      <c r="MB90" s="12"/>
      <c r="MC90" s="12"/>
      <c r="MG90" s="9"/>
      <c r="MK90" s="12"/>
      <c r="ML90" s="12"/>
      <c r="MM90" s="12"/>
      <c r="MN90" s="12"/>
      <c r="MO90" s="12"/>
      <c r="MP90" s="12"/>
      <c r="MQ90" s="12"/>
      <c r="MR90" s="12"/>
      <c r="MS90" s="12"/>
      <c r="MW90" s="9"/>
      <c r="NA90" s="12"/>
      <c r="NB90" s="12"/>
      <c r="NC90" s="12"/>
      <c r="ND90" s="12"/>
      <c r="NE90" s="12"/>
      <c r="NF90" s="12"/>
      <c r="NG90" s="12"/>
      <c r="NH90" s="12"/>
      <c r="NI90" s="12"/>
      <c r="NM90" s="9"/>
      <c r="NQ90" s="12"/>
      <c r="NR90" s="12"/>
      <c r="NS90" s="12"/>
      <c r="NT90" s="12"/>
      <c r="NU90" s="12"/>
      <c r="NV90" s="12"/>
      <c r="NW90" s="12"/>
      <c r="NX90" s="12"/>
      <c r="NY90" s="12"/>
      <c r="OC90" s="9"/>
      <c r="OG90" s="12"/>
      <c r="OH90" s="12"/>
      <c r="OI90" s="12"/>
      <c r="OJ90" s="12"/>
      <c r="OK90" s="12"/>
      <c r="OL90" s="12"/>
      <c r="OM90" s="12"/>
      <c r="ON90" s="12"/>
      <c r="OO90" s="12"/>
      <c r="OS90" s="9"/>
    </row>
    <row r="91" spans="1:410" x14ac:dyDescent="0.2">
      <c r="V91" s="6"/>
      <c r="X91" s="5"/>
      <c r="Y91" s="12"/>
      <c r="Z91" s="12"/>
      <c r="AA91" s="12"/>
      <c r="AB91" s="12"/>
      <c r="AC91" s="12"/>
      <c r="AD91" s="12"/>
      <c r="AE91" s="12"/>
      <c r="AF91" s="12"/>
      <c r="AG91" s="12"/>
      <c r="AP91" s="5"/>
      <c r="AQ91" s="12"/>
      <c r="AR91" s="12"/>
      <c r="AS91" s="12"/>
      <c r="AT91" s="12"/>
      <c r="AU91" s="12"/>
      <c r="AV91" s="12"/>
      <c r="AW91" s="12"/>
      <c r="AX91" s="12"/>
      <c r="AY91" s="12"/>
      <c r="BH91" s="9"/>
      <c r="BI91" s="12"/>
      <c r="BJ91" s="12"/>
      <c r="BK91" s="12"/>
      <c r="BL91" s="12"/>
      <c r="BM91" s="12"/>
      <c r="BN91" s="12"/>
      <c r="BO91" s="12"/>
      <c r="BP91" s="12"/>
      <c r="BQ91" s="12"/>
      <c r="BS91" s="16"/>
      <c r="BU91" s="35"/>
      <c r="BX91" s="9"/>
      <c r="BY91" s="12"/>
      <c r="BZ91" s="12"/>
      <c r="CA91" s="12"/>
      <c r="CB91" s="12"/>
      <c r="CC91" s="12"/>
      <c r="CD91" s="12"/>
      <c r="CE91" s="12"/>
      <c r="CF91" s="12"/>
      <c r="CG91" s="12"/>
      <c r="CI91" s="16"/>
      <c r="CK91" s="35"/>
      <c r="CN91" s="9"/>
      <c r="CO91" s="12"/>
      <c r="CP91" s="12"/>
      <c r="CQ91" s="12"/>
      <c r="CR91" s="12"/>
      <c r="CS91" s="12"/>
      <c r="CT91" s="12"/>
      <c r="CU91" s="12"/>
      <c r="CV91" s="12"/>
      <c r="CW91" s="12"/>
      <c r="CY91" s="16"/>
      <c r="DA91" s="35"/>
      <c r="DD91" s="9"/>
      <c r="DE91" s="12"/>
      <c r="DF91" s="12"/>
      <c r="DG91" s="12"/>
      <c r="DH91" s="12"/>
      <c r="DI91" s="12"/>
      <c r="DJ91" s="12"/>
      <c r="DK91" s="12"/>
      <c r="DL91" s="12"/>
      <c r="DM91" s="12"/>
      <c r="DO91" s="16"/>
      <c r="DQ91" s="35"/>
      <c r="DT91" s="9"/>
      <c r="DU91" s="12"/>
      <c r="DV91" s="12"/>
      <c r="DW91" s="12"/>
      <c r="DX91" s="12"/>
      <c r="DY91" s="12"/>
      <c r="DZ91" s="12"/>
      <c r="EA91" s="12"/>
      <c r="EB91" s="12"/>
      <c r="EC91" s="12"/>
      <c r="EE91" s="16"/>
      <c r="EG91" s="35"/>
      <c r="EJ91" s="9"/>
      <c r="EK91" s="12"/>
      <c r="EL91" s="12"/>
      <c r="EM91" s="12"/>
      <c r="EN91" s="12"/>
      <c r="EO91" s="12"/>
      <c r="EP91" s="12"/>
      <c r="EQ91" s="12"/>
      <c r="ER91" s="12"/>
      <c r="ES91" s="12"/>
      <c r="EU91" s="16"/>
      <c r="EW91" s="35"/>
      <c r="EZ91" s="9"/>
      <c r="FA91" s="12"/>
      <c r="FB91" s="12"/>
      <c r="FC91" s="12"/>
      <c r="FD91" s="12"/>
      <c r="FE91" s="12"/>
      <c r="FF91" s="12"/>
      <c r="FG91" s="12"/>
      <c r="FH91" s="12"/>
      <c r="FI91" s="12"/>
      <c r="FK91" s="16"/>
      <c r="FM91" s="16"/>
      <c r="FP91" s="9"/>
      <c r="FQ91" s="12"/>
      <c r="FR91" s="12"/>
      <c r="FS91" s="12"/>
      <c r="FT91" s="12"/>
      <c r="FU91" s="12"/>
      <c r="FV91" s="12"/>
      <c r="FW91" s="12"/>
      <c r="FX91" s="12"/>
      <c r="FY91" s="12"/>
      <c r="GA91" s="16"/>
      <c r="GC91" s="9"/>
      <c r="GF91" s="9"/>
      <c r="GG91" s="12"/>
      <c r="GH91" s="12"/>
      <c r="GI91" s="12"/>
      <c r="GJ91" s="12"/>
      <c r="GK91" s="12"/>
      <c r="GL91" s="12"/>
      <c r="GM91" s="12"/>
      <c r="GN91" s="12"/>
      <c r="GO91" s="12"/>
      <c r="GQ91" s="16"/>
      <c r="GS91" s="9"/>
      <c r="GW91" s="12"/>
      <c r="GX91" s="12"/>
      <c r="GY91" s="12"/>
      <c r="GZ91" s="12"/>
      <c r="HA91" s="12"/>
      <c r="HB91" s="12"/>
      <c r="HC91" s="12"/>
      <c r="HD91" s="12"/>
      <c r="HE91" s="12"/>
      <c r="HG91" s="16"/>
      <c r="HI91" s="9"/>
      <c r="HM91" s="12"/>
      <c r="HN91" s="12"/>
      <c r="HO91" s="12"/>
      <c r="HP91" s="12"/>
      <c r="HQ91" s="12"/>
      <c r="HR91" s="12"/>
      <c r="HS91" s="12"/>
      <c r="HT91" s="12"/>
      <c r="HU91" s="12"/>
      <c r="HW91" s="16"/>
      <c r="HY91" s="9"/>
      <c r="IC91" s="12"/>
      <c r="ID91" s="12"/>
      <c r="IE91" s="12"/>
      <c r="IF91" s="12"/>
      <c r="IG91" s="12"/>
      <c r="IH91" s="12"/>
      <c r="II91" s="12"/>
      <c r="IJ91" s="12"/>
      <c r="IK91" s="12"/>
      <c r="IM91" s="16"/>
      <c r="IO91" s="9"/>
      <c r="IS91" s="12"/>
      <c r="IT91" s="12"/>
      <c r="IU91" s="12"/>
      <c r="IV91" s="12"/>
      <c r="IW91" s="12"/>
      <c r="IX91" s="12"/>
      <c r="IY91" s="12"/>
      <c r="IZ91" s="12"/>
      <c r="JA91" s="12"/>
      <c r="JE91" s="9"/>
      <c r="JI91" s="12"/>
      <c r="JJ91" s="12"/>
      <c r="JK91" s="12"/>
      <c r="JL91" s="12"/>
      <c r="JM91" s="12"/>
      <c r="JN91" s="12"/>
      <c r="JO91" s="12"/>
      <c r="JP91" s="12"/>
      <c r="JQ91" s="12"/>
      <c r="JU91" s="9"/>
      <c r="JY91" s="12"/>
      <c r="JZ91" s="12"/>
      <c r="KA91" s="12"/>
      <c r="KB91" s="12"/>
      <c r="KC91" s="12"/>
      <c r="KD91" s="12"/>
      <c r="KE91" s="12"/>
      <c r="KF91" s="12"/>
      <c r="KG91" s="12"/>
      <c r="KK91" s="9"/>
      <c r="KO91" s="12"/>
      <c r="KP91" s="12"/>
      <c r="KQ91" s="12"/>
      <c r="KR91" s="12"/>
      <c r="KS91" s="12"/>
      <c r="KT91" s="12"/>
      <c r="KU91" s="12"/>
      <c r="KV91" s="12"/>
      <c r="KW91" s="12"/>
      <c r="LA91" s="9"/>
      <c r="LE91" s="12"/>
      <c r="LF91" s="12"/>
      <c r="LG91" s="12"/>
      <c r="LH91" s="12"/>
      <c r="LI91" s="12"/>
      <c r="LJ91" s="12"/>
      <c r="LK91" s="12"/>
      <c r="LL91" s="12"/>
      <c r="LM91" s="12"/>
      <c r="LQ91" s="9"/>
      <c r="LU91" s="12"/>
      <c r="LV91" s="12"/>
      <c r="LW91" s="12"/>
      <c r="LX91" s="12"/>
      <c r="LY91" s="12"/>
      <c r="LZ91" s="12"/>
      <c r="MA91" s="12"/>
      <c r="MB91" s="12"/>
      <c r="MC91" s="12"/>
      <c r="MG91" s="9"/>
      <c r="MK91" s="12"/>
      <c r="ML91" s="12"/>
      <c r="MM91" s="12"/>
      <c r="MN91" s="12"/>
      <c r="MO91" s="12"/>
      <c r="MP91" s="12"/>
      <c r="MQ91" s="12"/>
      <c r="MR91" s="12"/>
      <c r="MS91" s="12"/>
      <c r="MW91" s="9"/>
      <c r="NA91" s="12"/>
      <c r="NB91" s="12"/>
      <c r="NC91" s="12"/>
      <c r="ND91" s="12"/>
      <c r="NE91" s="12"/>
      <c r="NF91" s="12"/>
      <c r="NG91" s="12"/>
      <c r="NH91" s="12"/>
      <c r="NI91" s="12"/>
      <c r="NM91" s="9"/>
      <c r="NQ91" s="12"/>
      <c r="NR91" s="12"/>
      <c r="NS91" s="12"/>
      <c r="NT91" s="12"/>
      <c r="NU91" s="12"/>
      <c r="NV91" s="12"/>
      <c r="NW91" s="12"/>
      <c r="NX91" s="12"/>
      <c r="NY91" s="12"/>
      <c r="OC91" s="9"/>
      <c r="OG91" s="12"/>
      <c r="OH91" s="12"/>
      <c r="OI91" s="12"/>
      <c r="OJ91" s="12"/>
      <c r="OK91" s="12"/>
      <c r="OL91" s="12"/>
      <c r="OM91" s="12"/>
      <c r="ON91" s="12"/>
      <c r="OO91" s="12"/>
      <c r="OS91" s="9"/>
    </row>
    <row r="92" spans="1:410" x14ac:dyDescent="0.2">
      <c r="A92" s="5" t="s">
        <v>52</v>
      </c>
      <c r="B92" s="12"/>
      <c r="V92" s="6"/>
      <c r="Y92" s="12"/>
      <c r="Z92" s="12"/>
      <c r="AA92" s="12"/>
      <c r="AB92" s="12"/>
      <c r="AC92" s="12"/>
      <c r="AD92" s="12"/>
      <c r="AE92" s="12"/>
      <c r="AF92" s="12"/>
      <c r="AG92" s="12"/>
      <c r="AQ92" s="12"/>
      <c r="AR92" s="12"/>
      <c r="AS92" s="12"/>
      <c r="AT92" s="12"/>
      <c r="AU92" s="12"/>
      <c r="AV92" s="12"/>
      <c r="AW92" s="12"/>
      <c r="AX92" s="12"/>
      <c r="AY92" s="12"/>
      <c r="BH92" s="5"/>
      <c r="BI92" s="12"/>
      <c r="BJ92" s="12"/>
      <c r="BK92" s="12"/>
      <c r="BL92" s="12"/>
      <c r="BM92" s="12"/>
      <c r="BN92" s="12"/>
      <c r="BO92" s="12"/>
      <c r="BP92" s="12"/>
      <c r="BQ92" s="12"/>
      <c r="BS92" s="16"/>
      <c r="BU92" s="35"/>
      <c r="BX92" s="5"/>
      <c r="BY92" s="12"/>
      <c r="BZ92" s="12"/>
      <c r="CA92" s="12"/>
      <c r="CB92" s="12"/>
      <c r="CC92" s="12"/>
      <c r="CD92" s="12"/>
      <c r="CE92" s="12"/>
      <c r="CF92" s="12"/>
      <c r="CG92" s="12"/>
      <c r="CI92" s="16"/>
      <c r="CK92" s="35"/>
      <c r="CN92" s="5"/>
      <c r="CO92" s="12"/>
      <c r="CP92" s="12"/>
      <c r="CQ92" s="12"/>
      <c r="CR92" s="12"/>
      <c r="CS92" s="12"/>
      <c r="CT92" s="12"/>
      <c r="CU92" s="12"/>
      <c r="CV92" s="12"/>
      <c r="CW92" s="12"/>
      <c r="CY92" s="16"/>
      <c r="DA92" s="35"/>
      <c r="DD92" s="5"/>
      <c r="DE92" s="12"/>
      <c r="DF92" s="12"/>
      <c r="DG92" s="12"/>
      <c r="DH92" s="12"/>
      <c r="DI92" s="12"/>
      <c r="DJ92" s="12"/>
      <c r="DK92" s="12"/>
      <c r="DL92" s="12"/>
      <c r="DM92" s="12"/>
      <c r="DO92" s="16"/>
      <c r="DQ92" s="35"/>
      <c r="DT92" s="5"/>
      <c r="DU92" s="12"/>
      <c r="DV92" s="12"/>
      <c r="DW92" s="12"/>
      <c r="DX92" s="12"/>
      <c r="DY92" s="12"/>
      <c r="DZ92" s="12"/>
      <c r="EA92" s="12"/>
      <c r="EB92" s="12"/>
      <c r="EC92" s="12"/>
      <c r="EE92" s="16"/>
      <c r="EG92" s="35"/>
      <c r="EJ92" s="5"/>
      <c r="EK92" s="12"/>
      <c r="EL92" s="12"/>
      <c r="EM92" s="12"/>
      <c r="EN92" s="12"/>
      <c r="EO92" s="12"/>
      <c r="EP92" s="12"/>
      <c r="EQ92" s="12"/>
      <c r="ER92" s="12"/>
      <c r="ES92" s="12"/>
      <c r="EU92" s="16"/>
      <c r="EW92" s="35"/>
      <c r="EZ92" s="5"/>
      <c r="FA92" s="12"/>
      <c r="FB92" s="12"/>
      <c r="FC92" s="12"/>
      <c r="FD92" s="12"/>
      <c r="FE92" s="12"/>
      <c r="FF92" s="12"/>
      <c r="FG92" s="12"/>
      <c r="FH92" s="12"/>
      <c r="FI92" s="12"/>
      <c r="FK92" s="16"/>
      <c r="FM92" s="16"/>
      <c r="FP92" s="5"/>
      <c r="FQ92" s="12"/>
      <c r="FR92" s="12"/>
      <c r="FS92" s="12"/>
      <c r="FT92" s="12"/>
      <c r="FU92" s="12"/>
      <c r="FV92" s="12"/>
      <c r="FW92" s="12"/>
      <c r="FX92" s="12"/>
      <c r="FY92" s="12"/>
      <c r="GA92" s="16"/>
      <c r="GC92" s="9"/>
      <c r="GF92" s="5"/>
      <c r="GG92" s="12"/>
      <c r="GH92" s="12"/>
      <c r="GI92" s="12"/>
      <c r="GJ92" s="12"/>
      <c r="GK92" s="12"/>
      <c r="GL92" s="12"/>
      <c r="GM92" s="12"/>
      <c r="GN92" s="12"/>
      <c r="GO92" s="12"/>
      <c r="GQ92" s="16"/>
      <c r="GS92" s="9"/>
      <c r="GW92" s="12"/>
      <c r="GX92" s="12"/>
      <c r="GY92" s="12"/>
      <c r="GZ92" s="12"/>
      <c r="HA92" s="12"/>
      <c r="HB92" s="12"/>
      <c r="HC92" s="12"/>
      <c r="HD92" s="12"/>
      <c r="HE92" s="12"/>
      <c r="HG92" s="16"/>
      <c r="HI92" s="9"/>
      <c r="HM92" s="12"/>
      <c r="HN92" s="12"/>
      <c r="HO92" s="12"/>
      <c r="HP92" s="12"/>
      <c r="HQ92" s="12"/>
      <c r="HR92" s="12"/>
      <c r="HS92" s="12"/>
      <c r="HT92" s="12"/>
      <c r="HU92" s="12"/>
      <c r="HW92" s="16"/>
      <c r="HY92" s="9"/>
      <c r="IC92" s="12"/>
      <c r="ID92" s="12"/>
      <c r="IE92" s="12"/>
      <c r="IF92" s="12"/>
      <c r="IG92" s="12"/>
      <c r="IH92" s="12"/>
      <c r="II92" s="12"/>
      <c r="IJ92" s="12"/>
      <c r="IK92" s="12"/>
      <c r="IM92" s="16"/>
      <c r="IO92" s="9"/>
      <c r="IS92" s="12"/>
      <c r="IT92" s="12"/>
      <c r="IU92" s="12"/>
      <c r="IV92" s="12"/>
      <c r="IW92" s="12"/>
      <c r="IX92" s="12"/>
      <c r="IY92" s="12"/>
      <c r="IZ92" s="12"/>
      <c r="JA92" s="12"/>
      <c r="JE92" s="9"/>
      <c r="JI92" s="12"/>
      <c r="JJ92" s="12"/>
      <c r="JK92" s="12"/>
      <c r="JL92" s="12"/>
      <c r="JM92" s="12"/>
      <c r="JN92" s="12"/>
      <c r="JO92" s="12"/>
      <c r="JP92" s="12"/>
      <c r="JQ92" s="12"/>
      <c r="JU92" s="9"/>
      <c r="JY92" s="12"/>
      <c r="JZ92" s="12"/>
      <c r="KA92" s="12"/>
      <c r="KB92" s="12"/>
      <c r="KC92" s="12"/>
      <c r="KD92" s="12"/>
      <c r="KE92" s="12"/>
      <c r="KF92" s="12"/>
      <c r="KG92" s="12"/>
      <c r="KK92" s="9"/>
      <c r="KO92" s="12"/>
      <c r="KP92" s="12"/>
      <c r="KQ92" s="12"/>
      <c r="KR92" s="12"/>
      <c r="KS92" s="12"/>
      <c r="KT92" s="12"/>
      <c r="KU92" s="12"/>
      <c r="KV92" s="12"/>
      <c r="KW92" s="12"/>
      <c r="LA92" s="9"/>
      <c r="LE92" s="12"/>
      <c r="LF92" s="12"/>
      <c r="LG92" s="12"/>
      <c r="LH92" s="12"/>
      <c r="LI92" s="12"/>
      <c r="LJ92" s="12"/>
      <c r="LK92" s="12"/>
      <c r="LL92" s="12"/>
      <c r="LM92" s="12"/>
      <c r="LQ92" s="9"/>
      <c r="LU92" s="12"/>
      <c r="LV92" s="12"/>
      <c r="LW92" s="12"/>
      <c r="LX92" s="12"/>
      <c r="LY92" s="12"/>
      <c r="LZ92" s="12"/>
      <c r="MA92" s="12"/>
      <c r="MB92" s="12"/>
      <c r="MC92" s="12"/>
      <c r="MG92" s="9"/>
      <c r="MK92" s="12"/>
      <c r="ML92" s="12"/>
      <c r="MM92" s="12"/>
      <c r="MN92" s="12"/>
      <c r="MO92" s="12"/>
      <c r="MP92" s="12"/>
      <c r="MQ92" s="12"/>
      <c r="MR92" s="12"/>
      <c r="MS92" s="12"/>
      <c r="MW92" s="9"/>
      <c r="NA92" s="12"/>
      <c r="NB92" s="12"/>
      <c r="NC92" s="12"/>
      <c r="ND92" s="12"/>
      <c r="NE92" s="12"/>
      <c r="NF92" s="12"/>
      <c r="NG92" s="12"/>
      <c r="NH92" s="12"/>
      <c r="NI92" s="12"/>
      <c r="NM92" s="9"/>
      <c r="NQ92" s="12"/>
      <c r="NR92" s="12"/>
      <c r="NS92" s="12"/>
      <c r="NT92" s="12"/>
      <c r="NU92" s="12"/>
      <c r="NV92" s="12"/>
      <c r="NW92" s="12"/>
      <c r="NX92" s="12"/>
      <c r="NY92" s="12"/>
      <c r="OC92" s="9"/>
      <c r="OG92" s="12"/>
      <c r="OH92" s="12"/>
      <c r="OI92" s="12"/>
      <c r="OJ92" s="12"/>
      <c r="OK92" s="12"/>
      <c r="OL92" s="12"/>
      <c r="OM92" s="12"/>
      <c r="ON92" s="12"/>
      <c r="OO92" s="12"/>
      <c r="OS92" s="9"/>
    </row>
    <row r="93" spans="1:410" x14ac:dyDescent="0.2">
      <c r="A93" t="s">
        <v>56</v>
      </c>
      <c r="B93" s="12">
        <f t="shared" ref="B93:H96" si="532">M93+Y93+AQ93+BI93+BY93+CO93+DE93+DU93+EK93+FA93+FQ93+GG93+GW93+HM93+IC93+IS93+JI93+JY93+KO93+LE93+LU93+MK93+NA93+NQ93+OG93</f>
        <v>0</v>
      </c>
      <c r="C93" s="12">
        <f t="shared" si="532"/>
        <v>0</v>
      </c>
      <c r="D93" s="12">
        <f t="shared" si="532"/>
        <v>0</v>
      </c>
      <c r="E93" s="12">
        <f t="shared" si="532"/>
        <v>0</v>
      </c>
      <c r="F93" s="12">
        <f t="shared" si="532"/>
        <v>0</v>
      </c>
      <c r="G93" s="12">
        <f t="shared" si="532"/>
        <v>0</v>
      </c>
      <c r="H93" s="12">
        <f t="shared" si="532"/>
        <v>0</v>
      </c>
      <c r="I93" s="12">
        <f t="shared" ref="I93:J96" si="533">AF93+AX93+BP93+CF93+CV93+DL93+EB93+ER93+FH93+FX93+GN93+HD93+HT93+IJ93+IZ93+JP93+KF93+KV93+LL93+MB93+MR93+NH93+NX93+ON93</f>
        <v>0</v>
      </c>
      <c r="J93" s="12">
        <f t="shared" si="533"/>
        <v>0</v>
      </c>
      <c r="M93">
        <f>M$5*V93</f>
        <v>0</v>
      </c>
      <c r="N93">
        <f>N$5*V93</f>
        <v>0</v>
      </c>
      <c r="O93">
        <f>O$5*V93</f>
        <v>0</v>
      </c>
      <c r="P93">
        <f>P$5*V93</f>
        <v>0</v>
      </c>
      <c r="Q93">
        <f>Q$5*V93</f>
        <v>0</v>
      </c>
      <c r="R93">
        <f>R$5*V93</f>
        <v>0</v>
      </c>
      <c r="S93">
        <f>S$5*V93</f>
        <v>0</v>
      </c>
      <c r="U93" t="s">
        <v>1303</v>
      </c>
      <c r="V93">
        <f>_xlfn.XLOOKUP(U93,'KPI Impacts'!$B$2:$H$2,'KPI Impacts'!$B93:$H93)</f>
        <v>0</v>
      </c>
      <c r="W93" s="6"/>
      <c r="Y93" s="12" cm="1">
        <f t="array" ref="Y93">_xlfn.SWITCH(Y$4, 0,0, 1, AJ93,2,AL93,3,AN93,0)</f>
        <v>0</v>
      </c>
      <c r="Z93" s="12" cm="1">
        <f t="array" ref="Z93">_xlfn.SWITCH(Z$4, 0,0, 1, AJ93,2,AL93,3,AN93,0)+Y93</f>
        <v>0</v>
      </c>
      <c r="AA93" s="12" cm="1">
        <f t="array" ref="AA93">_xlfn.SWITCH(AA$4, 0,0, 1, AJ93,2,AL93,3,AN93,0)+Z93</f>
        <v>0</v>
      </c>
      <c r="AB93" s="12" cm="1">
        <f t="array" ref="AB93">_xlfn.SWITCH(AB$4, 0,0, 1, AJ93,2,AL93,3,AN93,0)+AA93</f>
        <v>0</v>
      </c>
      <c r="AC93" s="12" cm="1">
        <f t="array" ref="AC93">_xlfn.SWITCH(AC$4, 0,0, 1, AJ93,2,AL93,3,AN93,0)+AB93</f>
        <v>0</v>
      </c>
      <c r="AD93" s="12" cm="1">
        <f t="array" ref="AD93">_xlfn.SWITCH(AD$4, 0,0, 1, AJ93,2,AL93,3,AN93,0)+AC93</f>
        <v>0</v>
      </c>
      <c r="AE93" s="12" cm="1">
        <f t="array" ref="AE93">_xlfn.SWITCH(AE$4, 0,0, 1, AJ93,2,AL93,3,AN93,0)+AD93</f>
        <v>0</v>
      </c>
      <c r="AF93" s="12" cm="1">
        <f t="array" ref="AF93">_xlfn.SWITCH(AF$4, 0,0, 1, AJ93,2,AL93,3,AN93,0)+AE93</f>
        <v>0</v>
      </c>
      <c r="AG93" s="12" cm="1">
        <f t="array" ref="AG93">_xlfn.SWITCH(AG$4, 0,0, 1, AJ93,2,AL93,3,AN93,0)+AF93</f>
        <v>0</v>
      </c>
      <c r="AI93" t="s">
        <v>1303</v>
      </c>
      <c r="AJ93">
        <f>_xlfn.XLOOKUP(AI93,'KPI Impacts'!$K$2:$Q$2,'KPI Impacts'!$K93:$Q93)</f>
        <v>0</v>
      </c>
      <c r="AK93" t="s">
        <v>1303</v>
      </c>
      <c r="AL93">
        <f>_xlfn.XLOOKUP(AK93,'KPI Impacts'!$K$2:$Q$2,'KPI Impacts'!$K93:$Q93)</f>
        <v>0</v>
      </c>
      <c r="AM93" t="s">
        <v>1303</v>
      </c>
      <c r="AN93">
        <f>_xlfn.XLOOKUP(AM93,'KPI Impacts'!$K$2:$Q$2,'KPI Impacts'!$K93:$Q93)</f>
        <v>0</v>
      </c>
      <c r="AQ93" s="12" cm="1">
        <f t="array" ref="AQ93">_xlfn.SWITCH(AQ$4, 0,0, 1, BB93,2,BD93,3,BF93,0)</f>
        <v>0</v>
      </c>
      <c r="AR93" s="12" cm="1">
        <f t="array" ref="AR93">_xlfn.SWITCH(AR$4, 0,0, 1, BB93,2,BD93,3,BF93,0)+AQ93</f>
        <v>0</v>
      </c>
      <c r="AS93" s="12" cm="1">
        <f t="array" ref="AS93">_xlfn.SWITCH(AS$4, 0,0, 1, BB93,2,BD93,3,BF93,0)+AR93</f>
        <v>0</v>
      </c>
      <c r="AT93" s="12" cm="1">
        <f t="array" ref="AT93">_xlfn.SWITCH(AT$4, 0,0, 1, BB93,2,BD93,3,BF93,0)+AS93</f>
        <v>0</v>
      </c>
      <c r="AU93" s="12" cm="1">
        <f t="array" ref="AU93">_xlfn.SWITCH(AU$4, 0,0, 1, BB93,2,BD93,3,BF93,0)+AT93</f>
        <v>0</v>
      </c>
      <c r="AV93" s="12" cm="1">
        <f t="array" ref="AV93">_xlfn.SWITCH(AV$4, 0,0, 1, BB93,2,BD93,3,BF93,0)+AU93</f>
        <v>0</v>
      </c>
      <c r="AW93" s="12" cm="1">
        <f t="array" ref="AW93">_xlfn.SWITCH(AW$4, 0,0, 1, BB93,2,BD93,3,BF93,0)+AV93</f>
        <v>0</v>
      </c>
      <c r="AX93" s="12" cm="1">
        <f t="array" ref="AX93">_xlfn.SWITCH(AX$4, 0,0, 1, BB93,2,BD93,3,BF93,0)+AW93</f>
        <v>0</v>
      </c>
      <c r="AY93" s="12" cm="1">
        <f t="array" ref="AY93">_xlfn.SWITCH(AY$4, 0,0, 1, BB93,2,BD93,3,BF93,0)+AX93</f>
        <v>0</v>
      </c>
      <c r="BA93" t="s">
        <v>1303</v>
      </c>
      <c r="BB93">
        <f>_xlfn.XLOOKUP(BA93,'KPI Impacts'!$K$2:$Q$2,'KPI Impacts'!$K93:$Q93)</f>
        <v>0</v>
      </c>
      <c r="BC93" t="s">
        <v>1303</v>
      </c>
      <c r="BD93">
        <f>_xlfn.XLOOKUP(BC93,'KPI Impacts'!$K$2:$Q$2,'KPI Impacts'!$K93:$Q93)</f>
        <v>0</v>
      </c>
      <c r="BE93" t="s">
        <v>1303</v>
      </c>
      <c r="BF93">
        <f>_xlfn.XLOOKUP(BE93,'KPI Impacts'!$K$2:$Q$2,'KPI Impacts'!$K93:$Q93)</f>
        <v>0</v>
      </c>
      <c r="BI93" s="12">
        <f>BI$22*BT93</f>
        <v>0</v>
      </c>
      <c r="BJ93" s="12">
        <f>BJ$22 * IF(AND(BI$5=1,BI$20=1), BV93, BT93)</f>
        <v>0</v>
      </c>
      <c r="BK93" s="12">
        <f>BK$22 * IF(AND(BJ$5=1,BI$20=1), BV93, BT93)</f>
        <v>0</v>
      </c>
      <c r="BL93" s="12">
        <f>BL$22 * IF(AND(BK$5=1,BI$20=1), BV93, BT93)</f>
        <v>0</v>
      </c>
      <c r="BM93" s="12">
        <f>BM$22 * IF(AND(BL$5=1,BI$20=1), BV93, BT93)</f>
        <v>0</v>
      </c>
      <c r="BN93" s="12">
        <f>BN$22 * IF(AND(BM$5=1,BI$20=1), BV93, BT93)</f>
        <v>0</v>
      </c>
      <c r="BO93" s="12">
        <f>BO$22 * IF(AND(BN$5=1,BI$20=1), BV93, BT93)</f>
        <v>0</v>
      </c>
      <c r="BP93" s="12">
        <f>BP$22 * IF(AND(BO$5=1,BI$20=1), BV93, BT93)</f>
        <v>0</v>
      </c>
      <c r="BQ93" s="12">
        <f>BQ$22 * IF(AND(BP$5=1,BI$20=1), BV93, BT93)</f>
        <v>0</v>
      </c>
      <c r="BS93" s="16" t="s">
        <v>1303</v>
      </c>
      <c r="BT93">
        <f>_xlfn.XLOOKUP(BS93,'KPI Impacts'!$B$2:$H$2,'KPI Impacts'!$B93:$H93)</f>
        <v>0</v>
      </c>
      <c r="BU93" s="35" t="s">
        <v>1303</v>
      </c>
      <c r="BV93">
        <f>_xlfn.XLOOKUP(BU93,'KPI Impacts'!$B$2:$H$2,'KPI Impacts'!$B93:$H93)</f>
        <v>0</v>
      </c>
      <c r="BY93" s="12">
        <f>BY$22*CJ93</f>
        <v>0</v>
      </c>
      <c r="BZ93" s="12">
        <f>BZ$22 * IF(AND(BY$5=1,BY$20=1), CL93, CJ93)</f>
        <v>0</v>
      </c>
      <c r="CA93" s="12">
        <f>CA$22 * IF(AND(BZ$5=1,BY$20=1), CL93, CJ93)</f>
        <v>0</v>
      </c>
      <c r="CB93" s="12">
        <f>CB$22 * IF(AND(CA$5=1,BY$20=1), CL93, CJ93)</f>
        <v>0</v>
      </c>
      <c r="CC93" s="12">
        <f>CC$22 * IF(AND(CB$5=1,BY$20=1), CL93, CJ93)</f>
        <v>0</v>
      </c>
      <c r="CD93" s="12">
        <f>CD$22 * IF(AND(CC$5=1,BY$20=1), CL93, CJ93)</f>
        <v>0</v>
      </c>
      <c r="CE93" s="12">
        <f>CE$22 * IF(AND(CD$5=1,BY$20=1), CL93, CJ93)</f>
        <v>0</v>
      </c>
      <c r="CF93" s="12">
        <f>CF$22 * IF(AND(CE$5=1,BY$20=1), CL93, CJ93)</f>
        <v>0</v>
      </c>
      <c r="CG93" s="12">
        <f>CG$22 * IF(AND(CF$5=1,BY$20=1), CL93, CJ93)</f>
        <v>0</v>
      </c>
      <c r="CI93" s="16" t="s">
        <v>1303</v>
      </c>
      <c r="CJ93">
        <f>_xlfn.XLOOKUP(CI93,'KPI Impacts'!$B$2:$H$2,'KPI Impacts'!$B93:$H93)</f>
        <v>0</v>
      </c>
      <c r="CK93" s="35" t="s">
        <v>1303</v>
      </c>
      <c r="CL93">
        <f>_xlfn.XLOOKUP(CK93,'KPI Impacts'!$B$2:$H$2,'KPI Impacts'!$B93:$H93)</f>
        <v>0</v>
      </c>
      <c r="CO93" s="12">
        <f>CO$22*CZ93</f>
        <v>0</v>
      </c>
      <c r="CP93" s="12">
        <f>CP$22 * IF(AND(CO$5=1,CO$20=1), DB93, CZ93)</f>
        <v>0</v>
      </c>
      <c r="CQ93" s="12">
        <f>CQ$22 * IF(AND(CP$5=1,CO$20=1), DB93, CZ93)</f>
        <v>0</v>
      </c>
      <c r="CR93" s="12">
        <f>CR$22 * IF(AND(CQ$5=1,CO$20=1), DB93, CZ93)</f>
        <v>0</v>
      </c>
      <c r="CS93" s="12">
        <f>CS$22 * IF(AND(CR$5=1,CO$20=1), DB93, CZ93)</f>
        <v>0</v>
      </c>
      <c r="CT93" s="12">
        <f>CT$22 * IF(AND(CS$5=1,CO$20=1), DB93, CZ93)</f>
        <v>0</v>
      </c>
      <c r="CU93" s="12">
        <f>CU$22 * IF(AND(CT$5=1,CO$20=1), DB93, CZ93)</f>
        <v>0</v>
      </c>
      <c r="CV93" s="12">
        <f>CV$22 * IF(AND(CU$5=1,CO$20=1), DB93, CZ93)</f>
        <v>0</v>
      </c>
      <c r="CW93" s="12">
        <f>CW$22 * IF(AND(CV$5=1,CO$20=1), DB93, CZ93)</f>
        <v>0</v>
      </c>
      <c r="CY93" s="16" t="s">
        <v>1303</v>
      </c>
      <c r="CZ93">
        <f>_xlfn.XLOOKUP(CY93,'KPI Impacts'!$B$2:$H$2,'KPI Impacts'!$B93:$H93)</f>
        <v>0</v>
      </c>
      <c r="DA93" s="35" t="s">
        <v>1303</v>
      </c>
      <c r="DB93">
        <f>_xlfn.XLOOKUP(DA93,'KPI Impacts'!$B$2:$H$2,'KPI Impacts'!$B93:$H93)</f>
        <v>0</v>
      </c>
      <c r="DE93" s="12">
        <f>DE$22*DP93</f>
        <v>0</v>
      </c>
      <c r="DF93" s="12">
        <f>DF$22 * IF(AND(DE$5=1,DE$20=1), DR93, DP93)</f>
        <v>0</v>
      </c>
      <c r="DG93" s="12">
        <f>DG$22 * IF(AND(DF$5=1,DE$20=1), DR93, DP93)</f>
        <v>0</v>
      </c>
      <c r="DH93" s="12">
        <f>DH$22 * IF(AND(DG$5=1,DE$20=1), DR93, DP93)</f>
        <v>0</v>
      </c>
      <c r="DI93" s="12">
        <f>DI$22 * IF(AND(DH$5=1,DE$20=1), DR93, DP93)</f>
        <v>0</v>
      </c>
      <c r="DJ93" s="12">
        <f>DJ$22 * IF(AND(DI$5=1,DE$20=1), DR93, DP93)</f>
        <v>0</v>
      </c>
      <c r="DK93" s="12">
        <f>DK$22 * IF(AND(DJ$5=1,DE$20=1), DR93, DP93)</f>
        <v>0</v>
      </c>
      <c r="DL93" s="12">
        <f>DL$22 * IF(AND(DK$5=1,DE$20=1), DR93, DP93)</f>
        <v>0</v>
      </c>
      <c r="DM93" s="12">
        <f>DM$22 * IF(AND(DL$5=1,DE$20=1), DR93, DP93)</f>
        <v>0</v>
      </c>
      <c r="DO93" s="16" t="s">
        <v>1303</v>
      </c>
      <c r="DP93">
        <f>_xlfn.XLOOKUP(DO93,'KPI Impacts'!$B$2:$H$2,'KPI Impacts'!$B93:$H93)</f>
        <v>0</v>
      </c>
      <c r="DQ93" s="35" t="s">
        <v>1303</v>
      </c>
      <c r="DR93">
        <f>_xlfn.XLOOKUP(DQ93,'KPI Impacts'!$B$2:$H$2,'KPI Impacts'!$B93:$H93)</f>
        <v>0</v>
      </c>
      <c r="DU93" s="12">
        <f>DU$22*EF93</f>
        <v>0</v>
      </c>
      <c r="DV93" s="12">
        <f>DV$22 * IF(AND(DU$5=1,DU$20=1), EH93, EF93)</f>
        <v>0</v>
      </c>
      <c r="DW93" s="12">
        <f>DW$22 * IF(AND(DV$5=1,DU$20=1), EH93, EF93)</f>
        <v>0</v>
      </c>
      <c r="DX93" s="12">
        <f>DX$22 * IF(AND(DW$5=1,DU$20=1), EH93, EF93)</f>
        <v>0</v>
      </c>
      <c r="DY93" s="12">
        <f>DY$22 * IF(AND(DX$5=1,DU$20=1), EH93, EF93)</f>
        <v>0</v>
      </c>
      <c r="DZ93" s="12">
        <f>DZ$22 * IF(AND(DY$5=1,DU$20=1), EH93, EF93)</f>
        <v>0</v>
      </c>
      <c r="EA93" s="12">
        <f>EA$22 * IF(AND(DZ$5=1,DU$20=1), EH93, EF93)</f>
        <v>0</v>
      </c>
      <c r="EB93" s="12">
        <f>EB$22 * IF(AND(EA$5=1,DU$20=1), EH93, EF93)</f>
        <v>0</v>
      </c>
      <c r="EC93" s="12">
        <f>EC$22 * IF(AND(EB$5=1,DU$20=1), EH93, EF93)</f>
        <v>0</v>
      </c>
      <c r="EE93" s="16" t="s">
        <v>1303</v>
      </c>
      <c r="EF93">
        <f>_xlfn.XLOOKUP(EE93,'KPI Impacts'!$B$2:$H$2,'KPI Impacts'!$B93:$H93)</f>
        <v>0</v>
      </c>
      <c r="EG93" s="35" t="s">
        <v>1303</v>
      </c>
      <c r="EH93">
        <f>_xlfn.XLOOKUP(EG93,'KPI Impacts'!$B$2:$H$2,'KPI Impacts'!$B93:$H93)</f>
        <v>0</v>
      </c>
      <c r="EK93" s="12">
        <f>EK$22*EV93</f>
        <v>0</v>
      </c>
      <c r="EL93" s="12">
        <f>EL$22 * IF(AND(EK$5=1,EK$20=1), EX93, EV93)</f>
        <v>0</v>
      </c>
      <c r="EM93" s="12">
        <f>EM$22 * IF(AND(EL$5=1,EK$20=1), EX93, EV93)</f>
        <v>0</v>
      </c>
      <c r="EN93" s="12">
        <f>EN$22 * IF(AND(EM$5=1,EK$20=1), EX93, EV93)</f>
        <v>0</v>
      </c>
      <c r="EO93" s="12">
        <f>EO$22 * IF(AND(EN$5=1,EK$20=1), EX93, EV93)</f>
        <v>0</v>
      </c>
      <c r="EP93" s="12">
        <f>EP$22 * IF(AND(EO$5=1,EK$20=1), EX93, EV93)</f>
        <v>0</v>
      </c>
      <c r="EQ93" s="12">
        <f>EQ$22 * IF(AND(EP$5=1,EK$20=1), EX93, EV93)</f>
        <v>0</v>
      </c>
      <c r="ER93" s="12">
        <f>ER$22 * IF(AND(EQ$5=1,EK$20=1), EX93, EV93)</f>
        <v>0</v>
      </c>
      <c r="ES93" s="12">
        <f>ES$22 * IF(AND(ER$5=1,EK$20=1), EX93, EV93)</f>
        <v>0</v>
      </c>
      <c r="EU93" s="16" t="s">
        <v>1303</v>
      </c>
      <c r="EV93">
        <f>_xlfn.XLOOKUP(EU93,'KPI Impacts'!$B$2:$H$2,'KPI Impacts'!$B93:$H93)</f>
        <v>0</v>
      </c>
      <c r="EW93" s="35" t="s">
        <v>1303</v>
      </c>
      <c r="EX93">
        <f>_xlfn.XLOOKUP(EW93,'KPI Impacts'!$B$2:$H$2,'KPI Impacts'!$B93:$H93)</f>
        <v>0</v>
      </c>
      <c r="FA93" s="12">
        <f>FA$22*FL93</f>
        <v>0</v>
      </c>
      <c r="FB93" s="12">
        <f>FB$22 * IF(AND(FA$5=1,FA$20=1), FN93, FL93)</f>
        <v>0</v>
      </c>
      <c r="FC93" s="12">
        <f>FC$22 * IF(AND(FB$5=1,FA$20=1), FN93, FL93)</f>
        <v>0</v>
      </c>
      <c r="FD93" s="12">
        <f>FD$22 * IF(AND(FC$5=1,FA$20=1), FN93, FL93)</f>
        <v>0</v>
      </c>
      <c r="FE93" s="12">
        <f>FE$22 * IF(AND(FD$5=1,FA$20=1), FN93, FL93)</f>
        <v>0</v>
      </c>
      <c r="FF93" s="12">
        <f>FF$22 * IF(AND(FE$5=1,FA$20=1), FN93, FL93)</f>
        <v>0</v>
      </c>
      <c r="FG93" s="12">
        <f>FG$22 * IF(AND(FF$5=1,FA$20=1), FN93, FL93)</f>
        <v>0</v>
      </c>
      <c r="FH93" s="12">
        <f>FH$22 * IF(AND(FG$5=1,FA$20=1), FN93, FL93)</f>
        <v>0</v>
      </c>
      <c r="FI93" s="12">
        <f>FI$22 * IF(AND(FH$5=1,FA$20=1), FN93, FL93)</f>
        <v>0</v>
      </c>
      <c r="FK93" s="16" t="s">
        <v>1303</v>
      </c>
      <c r="FL93">
        <f>_xlfn.XLOOKUP(FK93,'KPI Impacts'!$B$2:$H$2,'KPI Impacts'!$B93:$H93)</f>
        <v>0</v>
      </c>
      <c r="FM93" s="16" t="s">
        <v>1303</v>
      </c>
      <c r="FN93">
        <f>_xlfn.XLOOKUP(FM93,'KPI Impacts'!$B$2:$H$2,'KPI Impacts'!$B93:$H93)</f>
        <v>0</v>
      </c>
      <c r="FQ93" s="12">
        <f>FQ$22*GB93</f>
        <v>0</v>
      </c>
      <c r="FR93" s="12">
        <f>FR$22 * IF(AND(FQ$5=1,FQ$20=1), GD93, GB93)</f>
        <v>0</v>
      </c>
      <c r="FS93" s="12">
        <f>FS$22 * IF(AND(FR$5=1,FQ$20=1), GD93, GB93)</f>
        <v>0</v>
      </c>
      <c r="FT93" s="12">
        <f>FT$22 * IF(AND(FS$5=1,FQ$20=1), GD93, GB93)</f>
        <v>0</v>
      </c>
      <c r="FU93" s="12">
        <f>FU$22 * IF(AND(FT$5=1,FQ$20=1), GD93, GB93)</f>
        <v>0</v>
      </c>
      <c r="FV93" s="12">
        <f>FV$22 * IF(AND(FU$5=1,FQ$20=1), GD93, GB93)</f>
        <v>0</v>
      </c>
      <c r="FW93" s="12">
        <f>FW$22 * IF(AND(FV$5=1,FQ$20=1), GD93, GB93)</f>
        <v>0</v>
      </c>
      <c r="FX93" s="12">
        <f>FX$22 * IF(AND(FW$5=1,FQ$20=1), GD93, GB93)</f>
        <v>0</v>
      </c>
      <c r="FY93" s="12">
        <f>FY$22 * IF(AND(FX$5=1,FQ$20=1), GD93, GB93)</f>
        <v>0</v>
      </c>
      <c r="GA93" s="16" t="s">
        <v>1303</v>
      </c>
      <c r="GB93">
        <f>_xlfn.XLOOKUP(GA93,'KPI Impacts'!$B$2:$H$2,'KPI Impacts'!$B93:$H93)</f>
        <v>0</v>
      </c>
      <c r="GC93" s="9" t="s">
        <v>1303</v>
      </c>
      <c r="GD93">
        <f>_xlfn.XLOOKUP(GC93,'KPI Impacts'!$B$2:$H$2,'KPI Impacts'!$B93:$H93)</f>
        <v>0</v>
      </c>
      <c r="GG93" s="12">
        <f>GG$22*GR93</f>
        <v>0</v>
      </c>
      <c r="GH93" s="12">
        <f>GH$22 * IF(AND(GG$5=1,GG$20=1), GT93, GR93)</f>
        <v>0</v>
      </c>
      <c r="GI93" s="12">
        <f>GI$22 * IF(AND(GH$5=1,GG$20=1), GT93, GR93)</f>
        <v>0</v>
      </c>
      <c r="GJ93" s="12">
        <f>GJ$22 * IF(AND(GI$5=1,GG$20=1), GT93, GR93)</f>
        <v>0</v>
      </c>
      <c r="GK93" s="12">
        <f>GK$22 * IF(AND(GJ$5=1,GG$20=1), GT93, GR93)</f>
        <v>0</v>
      </c>
      <c r="GL93" s="12">
        <f>GL$22 * IF(AND(GK$5=1,GG$20=1), GT93, GR93)</f>
        <v>0</v>
      </c>
      <c r="GM93" s="12">
        <f>GM$22 * IF(AND(GL$5=1,GG$20=1), GT93, GR93)</f>
        <v>0</v>
      </c>
      <c r="GN93" s="12">
        <f>GN$22 * IF(AND(GM$5=1,GG$20=1), GT93, GR93)</f>
        <v>0</v>
      </c>
      <c r="GO93" s="12">
        <f>GO$22 * IF(AND(GN$5=1,GG$20=1), GT93, GR93)</f>
        <v>0</v>
      </c>
      <c r="GQ93" s="16" t="s">
        <v>1303</v>
      </c>
      <c r="GR93">
        <f>_xlfn.XLOOKUP(GQ93,'KPI Impacts'!$B$2:$H$2,'KPI Impacts'!$B93:$H93)</f>
        <v>0</v>
      </c>
      <c r="GS93" s="9" t="s">
        <v>1303</v>
      </c>
      <c r="GT93">
        <f>_xlfn.XLOOKUP(GS93,'KPI Impacts'!$B$2:$H$2,'KPI Impacts'!$B93:$H93)</f>
        <v>0</v>
      </c>
      <c r="GW93" s="12">
        <f>GW$22*HH93</f>
        <v>0</v>
      </c>
      <c r="GX93" s="12">
        <f>GX$22 * IF(AND(GW$5=1,GW$20=1), HJ93, HH93)</f>
        <v>0</v>
      </c>
      <c r="GY93" s="12">
        <f>GY$22 * IF(AND(GX$5=1,GW$20=1), HJ93, HH93)</f>
        <v>0</v>
      </c>
      <c r="GZ93" s="12">
        <f>GZ$22 * IF(AND(GY$5=1,GW$20=1), HJ93, HH93)</f>
        <v>0</v>
      </c>
      <c r="HA93" s="12">
        <f>HA$22 * IF(AND(GZ$5=1,GW$20=1), HJ93, HH93)</f>
        <v>0</v>
      </c>
      <c r="HB93" s="12">
        <f>HB$22 * IF(AND(HA$5=1,GW$20=1), HJ93, HH93)</f>
        <v>0</v>
      </c>
      <c r="HC93" s="12">
        <f>HC$22 * IF(AND(HB$5=1,GW$20=1), HJ93, HH93)</f>
        <v>0</v>
      </c>
      <c r="HD93" s="12">
        <f>HD$22 * IF(AND(HC$5=1,GW$20=1), HJ93, HH93)</f>
        <v>0</v>
      </c>
      <c r="HE93" s="12">
        <f>HE$22 * IF(AND(HD$5=1,GW$20=1), HJ93, HH93)</f>
        <v>0</v>
      </c>
      <c r="HG93" s="16" t="s">
        <v>1303</v>
      </c>
      <c r="HH93">
        <f>_xlfn.XLOOKUP(HG93,'KPI Impacts'!$B$2:$H$2,'KPI Impacts'!$B93:$H93)</f>
        <v>0</v>
      </c>
      <c r="HI93" s="9" t="s">
        <v>1303</v>
      </c>
      <c r="HJ93">
        <f>_xlfn.XLOOKUP(HI93,'KPI Impacts'!$B$2:$H$2,'KPI Impacts'!$B93:$H93)</f>
        <v>0</v>
      </c>
      <c r="HM93" s="12">
        <f>HM$22*HX93</f>
        <v>0</v>
      </c>
      <c r="HN93" s="12">
        <f>HN$22 * IF(AND(HM$5=1,HM$20=1), HZ93, HX93)</f>
        <v>0</v>
      </c>
      <c r="HO93" s="12">
        <f>HO$22 * IF(AND(HN$5=1,HM$20=1), HZ93, HX93)</f>
        <v>0</v>
      </c>
      <c r="HP93" s="12">
        <f>HP$22 * IF(AND(HO$5=1,HM$20=1), HZ93, HX93)</f>
        <v>0</v>
      </c>
      <c r="HQ93" s="12">
        <f>HQ$22 * IF(AND(HP$5=1,HM$20=1), HZ93, HX93)</f>
        <v>0</v>
      </c>
      <c r="HR93" s="12">
        <f>HR$22 * IF(AND(HQ$5=1,HM$20=1), HZ93, HX93)</f>
        <v>0</v>
      </c>
      <c r="HS93" s="12">
        <f>HS$22 * IF(AND(HR$5=1,HM$20=1), HZ93, HX93)</f>
        <v>0</v>
      </c>
      <c r="HT93" s="12">
        <f>HT$22 * IF(AND(HS$5=1,HM$20=1), HZ93, HX93)</f>
        <v>0</v>
      </c>
      <c r="HU93" s="12">
        <f>HU$22 * IF(AND(HT$5=1,HM$20=1), HZ93, HX93)</f>
        <v>0</v>
      </c>
      <c r="HW93" s="16" t="s">
        <v>1303</v>
      </c>
      <c r="HX93">
        <f>_xlfn.XLOOKUP(HW93,'KPI Impacts'!$B$2:$H$2,'KPI Impacts'!$B93:$H93)</f>
        <v>0</v>
      </c>
      <c r="HY93" s="9" t="s">
        <v>1303</v>
      </c>
      <c r="HZ93">
        <f>_xlfn.XLOOKUP(HY93,'KPI Impacts'!$B$2:$H$2,'KPI Impacts'!$B93:$H93)</f>
        <v>0</v>
      </c>
      <c r="IC93" s="12">
        <f>IC$22*IN93</f>
        <v>0</v>
      </c>
      <c r="ID93" s="12">
        <f>ID$22 * IF(AND(IC$5=1,IC$20=1), IP93, IN93)</f>
        <v>0</v>
      </c>
      <c r="IE93" s="12">
        <f>IE$22 * IF(AND(ID$5=1,IC$20=1), IP93, IN93)</f>
        <v>0</v>
      </c>
      <c r="IF93" s="12">
        <f>IF$22 * IF(AND(IE$5=1,IC$20=1), IP93, IN93)</f>
        <v>0</v>
      </c>
      <c r="IG93" s="12">
        <f>IG$22 * IF(AND(IF$5=1,IC$20=1), IP93, IN93)</f>
        <v>0</v>
      </c>
      <c r="IH93" s="12">
        <f>IH$22 * IF(AND(IG$5=1,IC$20=1), IP93, IN93)</f>
        <v>0</v>
      </c>
      <c r="II93" s="12">
        <f>II$22 * IF(AND(IH$5=1,IC$20=1), IP93, IN93)</f>
        <v>0</v>
      </c>
      <c r="IJ93" s="12">
        <f>IJ$22 * IF(AND(II$5=1,IC$20=1), IP93, IN93)</f>
        <v>0</v>
      </c>
      <c r="IK93" s="12">
        <f>IK$22 * IF(AND(IJ$5=1,IC$20=1), IP93, IN93)</f>
        <v>0</v>
      </c>
      <c r="IM93" s="16" t="s">
        <v>1303</v>
      </c>
      <c r="IN93">
        <f>_xlfn.XLOOKUP(IM93,'KPI Impacts'!$B$2:$H$2,'KPI Impacts'!$B93:$H93)</f>
        <v>0</v>
      </c>
      <c r="IO93" s="9" t="s">
        <v>1303</v>
      </c>
      <c r="IP93">
        <f>_xlfn.XLOOKUP(IO93,'KPI Impacts'!$B$2:$H$2,'KPI Impacts'!$B93:$H93)</f>
        <v>0</v>
      </c>
      <c r="IS93" s="12">
        <f>IS$22*JD93</f>
        <v>0</v>
      </c>
      <c r="IT93" s="12">
        <f>IT$22 * IF(AND(IS$5=1,IS$20=1), JF93, JD93)</f>
        <v>0</v>
      </c>
      <c r="IU93" s="12">
        <f>IU$22 * IF(AND(IT$5=1,IS$20=1), JF93, JD93)</f>
        <v>0</v>
      </c>
      <c r="IV93" s="12">
        <f>IV$22 * IF(AND(IU$5=1,IS$20=1), JF93, JD93)</f>
        <v>0</v>
      </c>
      <c r="IW93" s="12">
        <f>IW$22 * IF(AND(IV$5=1,IS$20=1), JF93, JD93)</f>
        <v>0</v>
      </c>
      <c r="IX93" s="12">
        <f>IX$22 * IF(AND(IW$5=1,IS$20=1), JF93, JD93)</f>
        <v>0</v>
      </c>
      <c r="IY93" s="12">
        <f>IY$22 * IF(AND(IX$5=1,IS$20=1), JF93, JD93)</f>
        <v>0</v>
      </c>
      <c r="IZ93" s="12">
        <f>IZ$22 * IF(AND(IY$5=1,IS$20=1), JF93, JD93)</f>
        <v>0</v>
      </c>
      <c r="JA93" s="12">
        <f>JA$22 * IF(AND(IZ$5=1,IS$20=1), JF93, JD93)</f>
        <v>0</v>
      </c>
      <c r="JC93" t="s">
        <v>1303</v>
      </c>
      <c r="JD93">
        <f>_xlfn.XLOOKUP(JC93,'KPI Impacts'!$B$2:$H$2,'KPI Impacts'!$B93:$H93)</f>
        <v>0</v>
      </c>
      <c r="JE93" s="9" t="s">
        <v>1303</v>
      </c>
      <c r="JF93">
        <f>_xlfn.XLOOKUP(JE93,'KPI Impacts'!$B$2:$H$2,'KPI Impacts'!$B93:$H93)</f>
        <v>0</v>
      </c>
      <c r="JI93" s="12">
        <f>JI$22*JT93</f>
        <v>0</v>
      </c>
      <c r="JJ93" s="12">
        <f>JJ$22 * IF(AND(JI$5=1,JI$20=1), JV93, JT93)</f>
        <v>0</v>
      </c>
      <c r="JK93" s="12">
        <f>JK$22 * IF(AND(JJ$5=1,JI$20=1), JV93, JT93)</f>
        <v>0</v>
      </c>
      <c r="JL93" s="12">
        <f>JL$22 * IF(AND(JK$5=1,JI$20=1), JV93, JT93)</f>
        <v>0</v>
      </c>
      <c r="JM93" s="12">
        <f>JM$22 * IF(AND(JL$5=1,JI$20=1), JV93, JT93)</f>
        <v>0</v>
      </c>
      <c r="JN93" s="12">
        <f>JN$22 * IF(AND(JM$5=1,JI$20=1), JV93, JT93)</f>
        <v>0</v>
      </c>
      <c r="JO93" s="12">
        <f>JO$22 * IF(AND(JN$5=1,JI$20=1), JV93, JT93)</f>
        <v>0</v>
      </c>
      <c r="JP93" s="12">
        <f>JP$22 * IF(AND(JO$5=1,JI$20=1), JV93, JT93)</f>
        <v>0</v>
      </c>
      <c r="JQ93" s="12">
        <f>JQ$22 * IF(AND(JP$5=1,JI$20=1), JV93, JT93)</f>
        <v>0</v>
      </c>
      <c r="JS93" t="s">
        <v>1303</v>
      </c>
      <c r="JT93">
        <f>_xlfn.XLOOKUP(JS93,'KPI Impacts'!$B$2:$H$2,'KPI Impacts'!$B93:$H93)</f>
        <v>0</v>
      </c>
      <c r="JU93" s="9" t="s">
        <v>1303</v>
      </c>
      <c r="JV93">
        <f>_xlfn.XLOOKUP(JU93,'KPI Impacts'!$B$2:$H$2,'KPI Impacts'!$B93:$H93)</f>
        <v>0</v>
      </c>
      <c r="JY93" s="12">
        <f>JY$22*KJ93</f>
        <v>0</v>
      </c>
      <c r="JZ93" s="12">
        <f>JZ$22 * IF(AND(JY$5=1,JY$20=1), KL93, KJ93)</f>
        <v>0</v>
      </c>
      <c r="KA93" s="12">
        <f>KA$22 * IF(AND(JZ$5=1,JY$20=1), KL93, KJ93)</f>
        <v>0</v>
      </c>
      <c r="KB93" s="12">
        <f>KB$22 * IF(AND(KA$5=1,JY$20=1), KL93, KJ93)</f>
        <v>0</v>
      </c>
      <c r="KC93" s="12">
        <f>KC$22 * IF(AND(KB$5=1,JY$20=1), KL93, KJ93)</f>
        <v>0</v>
      </c>
      <c r="KD93" s="12">
        <f>KD$22 * IF(AND(KC$5=1,JY$20=1), KL93, KJ93)</f>
        <v>0</v>
      </c>
      <c r="KE93" s="12">
        <f>KE$22 * IF(AND(KD$5=1,JY$20=1), KL93, KJ93)</f>
        <v>0</v>
      </c>
      <c r="KF93" s="12">
        <f>KF$22 * IF(AND(KE$5=1,JY$20=1), KL93, KJ93)</f>
        <v>0</v>
      </c>
      <c r="KG93" s="12">
        <f>KG$22 * IF(AND(KF$5=1,JY$20=1), KL93, KJ93)</f>
        <v>0</v>
      </c>
      <c r="KI93" t="s">
        <v>1303</v>
      </c>
      <c r="KJ93">
        <f>_xlfn.XLOOKUP(KI93,'KPI Impacts'!$B$2:$H$2,'KPI Impacts'!$B93:$H93)</f>
        <v>0</v>
      </c>
      <c r="KK93" s="9" t="s">
        <v>1303</v>
      </c>
      <c r="KL93">
        <f>_xlfn.XLOOKUP(KK93,'KPI Impacts'!$B$2:$H$2,'KPI Impacts'!$B93:$H93)</f>
        <v>0</v>
      </c>
      <c r="KO93" s="12">
        <f>KO$22*KZ93</f>
        <v>0</v>
      </c>
      <c r="KP93" s="12">
        <f>KP$22 * IF(AND(KO$5=1,KO$20=1), LB93, KZ93)</f>
        <v>0</v>
      </c>
      <c r="KQ93" s="12">
        <f>KQ$22 * IF(AND(KP$5=1,KO$20=1), LB93, KZ93)</f>
        <v>0</v>
      </c>
      <c r="KR93" s="12">
        <f>KR$22 * IF(AND(KQ$5=1,KO$20=1), LB93, KZ93)</f>
        <v>0</v>
      </c>
      <c r="KS93" s="12">
        <f>KS$22 * IF(AND(KR$5=1,KO$20=1), LB93, KZ93)</f>
        <v>0</v>
      </c>
      <c r="KT93" s="12">
        <f>KT$22 * IF(AND(KS$5=1,KO$20=1), LB93, KZ93)</f>
        <v>0</v>
      </c>
      <c r="KU93" s="12">
        <f>KU$22 * IF(AND(KT$5=1,KO$20=1), LB93, KZ93)</f>
        <v>0</v>
      </c>
      <c r="KV93" s="12">
        <f>KV$22 * IF(AND(KU$5=1,KO$20=1), LB93, KZ93)</f>
        <v>0</v>
      </c>
      <c r="KW93" s="12">
        <f>KW$22 * IF(AND(KV$5=1,KO$20=1), LB93, KZ93)</f>
        <v>0</v>
      </c>
      <c r="KY93" t="s">
        <v>1303</v>
      </c>
      <c r="KZ93">
        <f>_xlfn.XLOOKUP(KY93,'KPI Impacts'!$B$2:$H$2,'KPI Impacts'!$B93:$H93)</f>
        <v>0</v>
      </c>
      <c r="LA93" s="9" t="s">
        <v>1303</v>
      </c>
      <c r="LB93">
        <f>_xlfn.XLOOKUP(LA93,'KPI Impacts'!$B$2:$H$2,'KPI Impacts'!$B93:$H93)</f>
        <v>0</v>
      </c>
      <c r="LE93" s="12">
        <f>LE$22*LP93</f>
        <v>0</v>
      </c>
      <c r="LF93" s="12">
        <f>LF$22 * IF(AND(LE$5=1,LE$20=1), LR93, LP93)</f>
        <v>0</v>
      </c>
      <c r="LG93" s="12">
        <f>LG$22 * IF(AND(LF$5=1,LE$20=1), LR93, LP93)</f>
        <v>0</v>
      </c>
      <c r="LH93" s="12">
        <f>LH$22 * IF(AND(LG$5=1,LE$20=1), LR93, LP93)</f>
        <v>0</v>
      </c>
      <c r="LI93" s="12">
        <f>LI$22 * IF(AND(LH$5=1,LE$20=1), LR93, LP93)</f>
        <v>0</v>
      </c>
      <c r="LJ93" s="12">
        <f>LJ$22 * IF(AND(LI$5=1,LE$20=1), LR93, LP93)</f>
        <v>0</v>
      </c>
      <c r="LK93" s="12">
        <f>LK$22 * IF(AND(LJ$5=1,LE$20=1), LR93, LP93)</f>
        <v>0</v>
      </c>
      <c r="LL93" s="12">
        <f>LL$22 * IF(AND(LK$5=1,LE$20=1), LR93, LP93)</f>
        <v>0</v>
      </c>
      <c r="LM93" s="12">
        <f>LM$22 * IF(AND(LL$5=1,LE$20=1), LR93, LP93)</f>
        <v>0</v>
      </c>
      <c r="LO93" t="s">
        <v>1303</v>
      </c>
      <c r="LP93">
        <f>_xlfn.XLOOKUP(LO93,'KPI Impacts'!$B$2:$H$2,'KPI Impacts'!$B93:$H93)</f>
        <v>0</v>
      </c>
      <c r="LQ93" s="9" t="s">
        <v>1303</v>
      </c>
      <c r="LR93">
        <f>_xlfn.XLOOKUP(LQ93,'KPI Impacts'!$B$2:$H$2,'KPI Impacts'!$B93:$H93)</f>
        <v>0</v>
      </c>
      <c r="LU93" s="12">
        <f>LU$22*MF93</f>
        <v>0</v>
      </c>
      <c r="LV93" s="12">
        <f>LV$22 * IF(AND(LU$5=1,LU$20=1), MH93, MF93)</f>
        <v>0</v>
      </c>
      <c r="LW93" s="12">
        <f>LW$22 * IF(AND(LV$5=1,LU$20=1), MH93, MF93)</f>
        <v>0</v>
      </c>
      <c r="LX93" s="12">
        <f>LX$22 * IF(AND(LW$5=1,LU$20=1), MH93, MF93)</f>
        <v>0</v>
      </c>
      <c r="LY93" s="12">
        <f>LY$22 * IF(AND(LX$5=1,LU$20=1), MH93, MF93)</f>
        <v>0</v>
      </c>
      <c r="LZ93" s="12">
        <f>LZ$22 * IF(AND(LY$5=1,LU$20=1), MH93, MF93)</f>
        <v>0</v>
      </c>
      <c r="MA93" s="12">
        <f>MA$22 * IF(AND(LZ$5=1,LU$20=1), MH93, MF93)</f>
        <v>0</v>
      </c>
      <c r="MB93" s="12">
        <f>MB$22 * IF(AND(MA$5=1,LU$20=1), MH93, MF93)</f>
        <v>0</v>
      </c>
      <c r="MC93" s="12">
        <f>MC$22 * IF(AND(MB$5=1,LU$20=1), MH93, MF93)</f>
        <v>0</v>
      </c>
      <c r="ME93" t="s">
        <v>1303</v>
      </c>
      <c r="MF93">
        <f>_xlfn.XLOOKUP(ME93,'KPI Impacts'!$B$2:$H$2,'KPI Impacts'!$B93:$H93)</f>
        <v>0</v>
      </c>
      <c r="MG93" s="9" t="s">
        <v>1303</v>
      </c>
      <c r="MH93">
        <f>_xlfn.XLOOKUP(MG93,'KPI Impacts'!$B$2:$H$2,'KPI Impacts'!$B93:$H93)</f>
        <v>0</v>
      </c>
      <c r="MK93" s="12">
        <f>MK$22*MV93</f>
        <v>0</v>
      </c>
      <c r="ML93" s="12">
        <f>ML$22 * IF(AND(MK$5=1,MK$20=1), MX93, MV93)</f>
        <v>0</v>
      </c>
      <c r="MM93" s="12">
        <f>MM$22 * IF(AND(ML$5=1,MK$20=1), MX93, MV93)</f>
        <v>0</v>
      </c>
      <c r="MN93" s="12">
        <f>MN$22 * IF(AND(MM$5=1,MK$20=1), MX93, MV93)</f>
        <v>0</v>
      </c>
      <c r="MO93" s="12">
        <f>MO$22 * IF(AND(MN$5=1,MK$20=1), MX93, MV93)</f>
        <v>0</v>
      </c>
      <c r="MP93" s="12">
        <f>MP$22 * IF(AND(MO$5=1,MK$20=1), MX93, MV93)</f>
        <v>0</v>
      </c>
      <c r="MQ93" s="12">
        <f>MQ$22 * IF(AND(MP$5=1,MK$20=1), MX93, MV93)</f>
        <v>0</v>
      </c>
      <c r="MR93" s="12">
        <f>MR$22 * IF(AND(MQ$5=1,MK$20=1), MX93, MV93)</f>
        <v>0</v>
      </c>
      <c r="MS93" s="12">
        <f>MS$22 * IF(AND(MR$5=1,MK$20=1), MX93, MV93)</f>
        <v>0</v>
      </c>
      <c r="MU93" t="s">
        <v>1303</v>
      </c>
      <c r="MV93">
        <f>_xlfn.XLOOKUP(MU93,'KPI Impacts'!$B$2:$H$2,'KPI Impacts'!$B93:$H93)</f>
        <v>0</v>
      </c>
      <c r="MW93" s="9" t="s">
        <v>1303</v>
      </c>
      <c r="MX93">
        <f>_xlfn.XLOOKUP(MW93,'KPI Impacts'!$B$2:$H$2,'KPI Impacts'!$B93:$H93)</f>
        <v>0</v>
      </c>
      <c r="NA93" s="12">
        <f>NA$22*NL93</f>
        <v>0</v>
      </c>
      <c r="NB93" s="12">
        <f>NB$22 * IF(AND(NA$5=1,NA$20=1), NN93, NL93)</f>
        <v>0</v>
      </c>
      <c r="NC93" s="12">
        <f>NC$22 * IF(AND(NB$5=1,NA$20=1), NN93, NL93)</f>
        <v>0</v>
      </c>
      <c r="ND93" s="12">
        <f>ND$22 * IF(AND(NC$5=1,NA$20=1), NN93, NL93)</f>
        <v>0</v>
      </c>
      <c r="NE93" s="12">
        <f>NE$22 * IF(AND(ND$5=1,NA$20=1), NN93, NL93)</f>
        <v>0</v>
      </c>
      <c r="NF93" s="12">
        <f>NF$22 * IF(AND(NE$5=1,NA$20=1), NN93, NL93)</f>
        <v>0</v>
      </c>
      <c r="NG93" s="12">
        <f>NG$22 * IF(AND(NF$5=1,NA$20=1), NN93, NL93)</f>
        <v>0</v>
      </c>
      <c r="NH93" s="12">
        <f>NH$22 * IF(AND(NG$5=1,NA$20=1), NN93, NL93)</f>
        <v>0</v>
      </c>
      <c r="NI93" s="12">
        <f>NI$22 * IF(AND(NH$5=1,NA$20=1), NN93, NL93)</f>
        <v>0</v>
      </c>
      <c r="NK93" t="s">
        <v>1303</v>
      </c>
      <c r="NL93">
        <f>_xlfn.XLOOKUP(NK93,'KPI Impacts'!$B$2:$H$2,'KPI Impacts'!$B93:$H93)</f>
        <v>0</v>
      </c>
      <c r="NM93" s="9" t="s">
        <v>1303</v>
      </c>
      <c r="NN93">
        <f>_xlfn.XLOOKUP(NM93,'KPI Impacts'!$B$2:$H$2,'KPI Impacts'!$B93:$H93)</f>
        <v>0</v>
      </c>
      <c r="NQ93" s="12">
        <f>NQ$22*OB93</f>
        <v>0</v>
      </c>
      <c r="NR93" s="12">
        <f>NR$22 * IF(AND(NQ$5=1,NQ$20=1), OD93, OB93)</f>
        <v>0</v>
      </c>
      <c r="NS93" s="12">
        <f>NS$22 * IF(AND(NR$5=1,NQ$20=1), OD93, OB93)</f>
        <v>0</v>
      </c>
      <c r="NT93" s="12">
        <f>NT$22 * IF(AND(NS$5=1,NQ$20=1), OD93, OB93)</f>
        <v>0</v>
      </c>
      <c r="NU93" s="12">
        <f>NU$22 * IF(AND(NT$5=1,NQ$20=1), OD93, OB93)</f>
        <v>0</v>
      </c>
      <c r="NV93" s="12">
        <f>NV$22 * IF(AND(NU$5=1,NQ$20=1), OD93, OB93)</f>
        <v>0</v>
      </c>
      <c r="NW93" s="12">
        <f>NW$22 * IF(AND(NV$5=1,NQ$20=1), OD93, OB93)</f>
        <v>0</v>
      </c>
      <c r="NX93" s="12">
        <f>NX$22 * IF(AND(NW$5=1,NQ$20=1), OD93, OB93)</f>
        <v>0</v>
      </c>
      <c r="NY93" s="12">
        <f>NY$22 * IF(AND(NX$5=1,NQ$20=1), OD93, OB93)</f>
        <v>0</v>
      </c>
      <c r="OA93" t="s">
        <v>1303</v>
      </c>
      <c r="OB93">
        <f>_xlfn.XLOOKUP(OA93,'KPI Impacts'!$B$2:$H$2,'KPI Impacts'!$B93:$H93)</f>
        <v>0</v>
      </c>
      <c r="OC93" s="9" t="s">
        <v>1303</v>
      </c>
      <c r="OD93">
        <f>_xlfn.XLOOKUP(OC93,'KPI Impacts'!$B$2:$H$2,'KPI Impacts'!$B93:$H93)</f>
        <v>0</v>
      </c>
      <c r="OG93" s="12">
        <f>OG$22*OR93</f>
        <v>0</v>
      </c>
      <c r="OH93" s="12">
        <f>OH$22 * IF(AND(OG$5=1,OG$20=1), OT93, OR93)</f>
        <v>0</v>
      </c>
      <c r="OI93" s="12">
        <f>OI$22 * IF(AND(OH$5=1,OG$20=1), OT93, OR93)</f>
        <v>0</v>
      </c>
      <c r="OJ93" s="12">
        <f>OJ$22 * IF(AND(OI$5=1,OG$20=1), OT93, OR93)</f>
        <v>0</v>
      </c>
      <c r="OK93" s="12">
        <f>OK$22 * IF(AND(OJ$5=1,OG$20=1), OT93, OR93)</f>
        <v>0</v>
      </c>
      <c r="OL93" s="12">
        <f>OL$22 * IF(AND(OK$5=1,OG$20=1), OT93, OR93)</f>
        <v>0</v>
      </c>
      <c r="OM93" s="12">
        <f>OM$22 * IF(AND(OL$5=1,OG$20=1), OT93, OR93)</f>
        <v>0</v>
      </c>
      <c r="ON93" s="12">
        <f>ON$22 * IF(AND(OM$5=1,OG$20=1), OT93, OR93)</f>
        <v>0</v>
      </c>
      <c r="OO93" s="12">
        <f>OO$22 * IF(AND(ON$5=1,OG$20=1), OT93, OR93)</f>
        <v>0</v>
      </c>
      <c r="OQ93" t="s">
        <v>1303</v>
      </c>
      <c r="OR93">
        <f>_xlfn.XLOOKUP(OQ93,'KPI Impacts'!$B$2:$H$2,'KPI Impacts'!$B93:$H93)</f>
        <v>0</v>
      </c>
      <c r="OS93" s="9" t="s">
        <v>1303</v>
      </c>
      <c r="OT93">
        <f>_xlfn.XLOOKUP(OS93,'KPI Impacts'!$B$2:$H$2,'KPI Impacts'!$B93:$H93)</f>
        <v>0</v>
      </c>
    </row>
    <row r="94" spans="1:410" x14ac:dyDescent="0.2">
      <c r="A94" s="9" t="s">
        <v>1711</v>
      </c>
      <c r="B94" s="12">
        <f t="shared" si="532"/>
        <v>0</v>
      </c>
      <c r="C94" s="12">
        <f t="shared" si="532"/>
        <v>0</v>
      </c>
      <c r="D94" s="12">
        <f t="shared" si="532"/>
        <v>0</v>
      </c>
      <c r="E94" s="12">
        <f t="shared" si="532"/>
        <v>0</v>
      </c>
      <c r="F94" s="12">
        <f t="shared" si="532"/>
        <v>0</v>
      </c>
      <c r="G94" s="12">
        <f t="shared" si="532"/>
        <v>0</v>
      </c>
      <c r="H94" s="12">
        <f t="shared" si="532"/>
        <v>0</v>
      </c>
      <c r="I94" s="12">
        <f t="shared" si="533"/>
        <v>0</v>
      </c>
      <c r="J94" s="12">
        <f t="shared" si="533"/>
        <v>0</v>
      </c>
      <c r="M94">
        <f>M$5*V94</f>
        <v>0</v>
      </c>
      <c r="N94">
        <f>N$5*V94</f>
        <v>0</v>
      </c>
      <c r="O94">
        <f>O$5*V94</f>
        <v>0</v>
      </c>
      <c r="P94">
        <f>P$5*V94</f>
        <v>0</v>
      </c>
      <c r="Q94">
        <f>Q$5*V94</f>
        <v>0</v>
      </c>
      <c r="R94">
        <f>R$5*V94</f>
        <v>0</v>
      </c>
      <c r="S94">
        <f>S$5*V94</f>
        <v>0</v>
      </c>
      <c r="U94" t="s">
        <v>1303</v>
      </c>
      <c r="V94">
        <f>_xlfn.XLOOKUP(U94,'KPI Impacts'!$B$2:$H$2,'KPI Impacts'!$B94:$H94)</f>
        <v>0</v>
      </c>
      <c r="W94" s="6"/>
      <c r="Y94" s="12" cm="1">
        <f t="array" ref="Y94">_xlfn.SWITCH(Y$4, 0,0, 1, AJ94,2,AL94,3,AN94,0)</f>
        <v>0</v>
      </c>
      <c r="Z94" s="12" cm="1">
        <f t="array" ref="Z94">_xlfn.SWITCH(Z$4, 0,0, 1, AJ94,2,AL94,3,AN94,0)+Y94</f>
        <v>0</v>
      </c>
      <c r="AA94" s="12" cm="1">
        <f t="array" ref="AA94">_xlfn.SWITCH(AA$4, 0,0, 1, AJ94,2,AL94,3,AN94,0)+Z94</f>
        <v>0</v>
      </c>
      <c r="AB94" s="12" cm="1">
        <f t="array" ref="AB94">_xlfn.SWITCH(AB$4, 0,0, 1, AJ94,2,AL94,3,AN94,0)+AA94</f>
        <v>0</v>
      </c>
      <c r="AC94" s="12" cm="1">
        <f t="array" ref="AC94">_xlfn.SWITCH(AC$4, 0,0, 1, AJ94,2,AL94,3,AN94,0)+AB94</f>
        <v>0</v>
      </c>
      <c r="AD94" s="12" cm="1">
        <f t="array" ref="AD94">_xlfn.SWITCH(AD$4, 0,0, 1, AJ94,2,AL94,3,AN94,0)+AC94</f>
        <v>0</v>
      </c>
      <c r="AE94" s="12" cm="1">
        <f t="array" ref="AE94">_xlfn.SWITCH(AE$4, 0,0, 1, AJ94,2,AL94,3,AN94,0)+AD94</f>
        <v>0</v>
      </c>
      <c r="AF94" s="12" cm="1">
        <f t="array" ref="AF94">_xlfn.SWITCH(AF$4, 0,0, 1, AJ94,2,AL94,3,AN94,0)+AE94</f>
        <v>0</v>
      </c>
      <c r="AG94" s="12" cm="1">
        <f t="array" ref="AG94">_xlfn.SWITCH(AG$4, 0,0, 1, AJ94,2,AL94,3,AN94,0)+AF94</f>
        <v>0</v>
      </c>
      <c r="AI94" t="s">
        <v>1303</v>
      </c>
      <c r="AJ94">
        <f>_xlfn.XLOOKUP(AI94,'KPI Impacts'!$K$2:$Q$2,'KPI Impacts'!$K94:$Q94)</f>
        <v>0</v>
      </c>
      <c r="AK94" t="s">
        <v>1303</v>
      </c>
      <c r="AL94">
        <f>_xlfn.XLOOKUP(AK94,'KPI Impacts'!$K$2:$Q$2,'KPI Impacts'!$K94:$Q94)</f>
        <v>0</v>
      </c>
      <c r="AM94" t="s">
        <v>1303</v>
      </c>
      <c r="AN94">
        <f>_xlfn.XLOOKUP(AM94,'KPI Impacts'!$K$2:$Q$2,'KPI Impacts'!$K94:$Q94)</f>
        <v>0</v>
      </c>
      <c r="AQ94" s="12" cm="1">
        <f t="array" ref="AQ94">_xlfn.SWITCH(AQ$4, 0,0, 1, BB94,2,BD94,3,BF94,0)</f>
        <v>0</v>
      </c>
      <c r="AR94" s="12" cm="1">
        <f t="array" ref="AR94">_xlfn.SWITCH(AR$4, 0,0, 1, BB94,2,BD94,3,BF94,0)+AQ94</f>
        <v>0</v>
      </c>
      <c r="AS94" s="12" cm="1">
        <f t="array" ref="AS94">_xlfn.SWITCH(AS$4, 0,0, 1, BB94,2,BD94,3,BF94,0)+AR94</f>
        <v>0</v>
      </c>
      <c r="AT94" s="12" cm="1">
        <f t="array" ref="AT94">_xlfn.SWITCH(AT$4, 0,0, 1, BB94,2,BD94,3,BF94,0)+AS94</f>
        <v>0</v>
      </c>
      <c r="AU94" s="12" cm="1">
        <f t="array" ref="AU94">_xlfn.SWITCH(AU$4, 0,0, 1, BB94,2,BD94,3,BF94,0)+AT94</f>
        <v>0</v>
      </c>
      <c r="AV94" s="12" cm="1">
        <f t="array" ref="AV94">_xlfn.SWITCH(AV$4, 0,0, 1, BB94,2,BD94,3,BF94,0)+AU94</f>
        <v>0</v>
      </c>
      <c r="AW94" s="12" cm="1">
        <f t="array" ref="AW94">_xlfn.SWITCH(AW$4, 0,0, 1, BB94,2,BD94,3,BF94,0)+AV94</f>
        <v>0</v>
      </c>
      <c r="AX94" s="12" cm="1">
        <f t="array" ref="AX94">_xlfn.SWITCH(AX$4, 0,0, 1, BB94,2,BD94,3,BF94,0)+AW94</f>
        <v>0</v>
      </c>
      <c r="AY94" s="12" cm="1">
        <f t="array" ref="AY94">_xlfn.SWITCH(AY$4, 0,0, 1, BB94,2,BD94,3,BF94,0)+AX94</f>
        <v>0</v>
      </c>
      <c r="BA94" t="s">
        <v>1303</v>
      </c>
      <c r="BB94">
        <f>_xlfn.XLOOKUP(BA94,'KPI Impacts'!$K$2:$Q$2,'KPI Impacts'!$K94:$Q94)</f>
        <v>0</v>
      </c>
      <c r="BC94" t="s">
        <v>1303</v>
      </c>
      <c r="BD94">
        <f>_xlfn.XLOOKUP(BC94,'KPI Impacts'!$K$2:$Q$2,'KPI Impacts'!$K94:$Q94)</f>
        <v>0</v>
      </c>
      <c r="BE94" t="s">
        <v>1303</v>
      </c>
      <c r="BF94">
        <f>_xlfn.XLOOKUP(BE94,'KPI Impacts'!$K$2:$Q$2,'KPI Impacts'!$K94:$Q94)</f>
        <v>0</v>
      </c>
      <c r="BI94" s="12">
        <f>BI$22*BT94</f>
        <v>0</v>
      </c>
      <c r="BJ94" s="12">
        <f>BJ$22 * IF(AND(BI$5=1,BI$20=1), BV94, BT94)</f>
        <v>0</v>
      </c>
      <c r="BK94" s="12">
        <f>BK$22 * IF(AND(BJ$5=1,BI$20=1), BV94, BT94)</f>
        <v>0</v>
      </c>
      <c r="BL94" s="12">
        <f>BL$22 * IF(AND(BK$5=1,BI$20=1), BV94, BT94)</f>
        <v>0</v>
      </c>
      <c r="BM94" s="12">
        <f>BM$22 * IF(AND(BL$5=1,BI$20=1), BV94, BT94)</f>
        <v>0</v>
      </c>
      <c r="BN94" s="12">
        <f>BN$22 * IF(AND(BM$5=1,BI$20=1), BV94, BT94)</f>
        <v>0</v>
      </c>
      <c r="BO94" s="12">
        <f>BO$22 * IF(AND(BN$5=1,BI$20=1), BV94, BT94)</f>
        <v>0</v>
      </c>
      <c r="BP94" s="12">
        <f>BP$22 * IF(AND(BO$5=1,BI$20=1), BV94, BT94)</f>
        <v>0</v>
      </c>
      <c r="BQ94" s="12">
        <f>BQ$22 * IF(AND(BP$5=1,BI$20=1), BV94, BT94)</f>
        <v>0</v>
      </c>
      <c r="BS94" s="16" t="s">
        <v>1303</v>
      </c>
      <c r="BT94">
        <f>_xlfn.XLOOKUP(BS94,'KPI Impacts'!$B$2:$H$2,'KPI Impacts'!$B94:$H94)</f>
        <v>0</v>
      </c>
      <c r="BU94" s="35" t="s">
        <v>1303</v>
      </c>
      <c r="BV94">
        <f>_xlfn.XLOOKUP(BU94,'KPI Impacts'!$B$2:$H$2,'KPI Impacts'!$B94:$H94)</f>
        <v>0</v>
      </c>
      <c r="BY94" s="12">
        <f>BY$22*CJ94</f>
        <v>0</v>
      </c>
      <c r="BZ94" s="12">
        <f>BZ$22 * IF(AND(BY$5=1,BY$20=1), CL94, CJ94)</f>
        <v>0</v>
      </c>
      <c r="CA94" s="12">
        <f>CA$22 * IF(AND(BZ$5=1,BY$20=1), CL94, CJ94)</f>
        <v>0</v>
      </c>
      <c r="CB94" s="12">
        <f>CB$22 * IF(AND(CA$5=1,BY$20=1), CL94, CJ94)</f>
        <v>0</v>
      </c>
      <c r="CC94" s="12">
        <f>CC$22 * IF(AND(CB$5=1,BY$20=1), CL94, CJ94)</f>
        <v>0</v>
      </c>
      <c r="CD94" s="12">
        <f>CD$22 * IF(AND(CC$5=1,BY$20=1), CL94, CJ94)</f>
        <v>0</v>
      </c>
      <c r="CE94" s="12">
        <f>CE$22 * IF(AND(CD$5=1,BY$20=1), CL94, CJ94)</f>
        <v>0</v>
      </c>
      <c r="CF94" s="12">
        <f>CF$22 * IF(AND(CE$5=1,BY$20=1), CL94, CJ94)</f>
        <v>0</v>
      </c>
      <c r="CG94" s="12">
        <f>CG$22 * IF(AND(CF$5=1,BY$20=1), CL94, CJ94)</f>
        <v>0</v>
      </c>
      <c r="CI94" s="16" t="s">
        <v>1303</v>
      </c>
      <c r="CJ94">
        <f>_xlfn.XLOOKUP(CI94,'KPI Impacts'!$B$2:$H$2,'KPI Impacts'!$B94:$H94)</f>
        <v>0</v>
      </c>
      <c r="CK94" s="35" t="s">
        <v>1303</v>
      </c>
      <c r="CL94">
        <f>_xlfn.XLOOKUP(CK94,'KPI Impacts'!$B$2:$H$2,'KPI Impacts'!$B94:$H94)</f>
        <v>0</v>
      </c>
      <c r="CO94" s="12">
        <f>CO$22*CZ94</f>
        <v>0</v>
      </c>
      <c r="CP94" s="12">
        <f>CP$22 * IF(AND(CO$5=1,CO$20=1), DB94, CZ94)</f>
        <v>0</v>
      </c>
      <c r="CQ94" s="12">
        <f>CQ$22 * IF(AND(CP$5=1,CO$20=1), DB94, CZ94)</f>
        <v>0</v>
      </c>
      <c r="CR94" s="12">
        <f>CR$22 * IF(AND(CQ$5=1,CO$20=1), DB94, CZ94)</f>
        <v>0</v>
      </c>
      <c r="CS94" s="12">
        <f>CS$22 * IF(AND(CR$5=1,CO$20=1), DB94, CZ94)</f>
        <v>0</v>
      </c>
      <c r="CT94" s="12">
        <f>CT$22 * IF(AND(CS$5=1,CO$20=1), DB94, CZ94)</f>
        <v>0</v>
      </c>
      <c r="CU94" s="12">
        <f>CU$22 * IF(AND(CT$5=1,CO$20=1), DB94, CZ94)</f>
        <v>0</v>
      </c>
      <c r="CV94" s="12">
        <f>CV$22 * IF(AND(CU$5=1,CO$20=1), DB94, CZ94)</f>
        <v>0</v>
      </c>
      <c r="CW94" s="12">
        <f>CW$22 * IF(AND(CV$5=1,CO$20=1), DB94, CZ94)</f>
        <v>0</v>
      </c>
      <c r="CY94" s="16" t="s">
        <v>1303</v>
      </c>
      <c r="CZ94">
        <f>_xlfn.XLOOKUP(CY94,'KPI Impacts'!$B$2:$H$2,'KPI Impacts'!$B94:$H94)</f>
        <v>0</v>
      </c>
      <c r="DA94" s="35" t="s">
        <v>1303</v>
      </c>
      <c r="DB94">
        <f>_xlfn.XLOOKUP(DA94,'KPI Impacts'!$B$2:$H$2,'KPI Impacts'!$B94:$H94)</f>
        <v>0</v>
      </c>
      <c r="DE94" s="12">
        <f>DE$22*DP94</f>
        <v>0</v>
      </c>
      <c r="DF94" s="12">
        <f>DF$22 * IF(AND(DE$5=1,DE$20=1), DR94, DP94)</f>
        <v>0</v>
      </c>
      <c r="DG94" s="12">
        <f>DG$22 * IF(AND(DF$5=1,DE$20=1), DR94, DP94)</f>
        <v>0</v>
      </c>
      <c r="DH94" s="12">
        <f>DH$22 * IF(AND(DG$5=1,DE$20=1), DR94, DP94)</f>
        <v>0</v>
      </c>
      <c r="DI94" s="12">
        <f>DI$22 * IF(AND(DH$5=1,DE$20=1), DR94, DP94)</f>
        <v>0</v>
      </c>
      <c r="DJ94" s="12">
        <f>DJ$22 * IF(AND(DI$5=1,DE$20=1), DR94, DP94)</f>
        <v>0</v>
      </c>
      <c r="DK94" s="12">
        <f>DK$22 * IF(AND(DJ$5=1,DE$20=1), DR94, DP94)</f>
        <v>0</v>
      </c>
      <c r="DL94" s="12">
        <f>DL$22 * IF(AND(DK$5=1,DE$20=1), DR94, DP94)</f>
        <v>0</v>
      </c>
      <c r="DM94" s="12">
        <f>DM$22 * IF(AND(DL$5=1,DE$20=1), DR94, DP94)</f>
        <v>0</v>
      </c>
      <c r="DO94" s="16" t="s">
        <v>1303</v>
      </c>
      <c r="DP94">
        <f>_xlfn.XLOOKUP(DO94,'KPI Impacts'!$B$2:$H$2,'KPI Impacts'!$B94:$H94)</f>
        <v>0</v>
      </c>
      <c r="DQ94" s="35" t="s">
        <v>1303</v>
      </c>
      <c r="DR94">
        <f>_xlfn.XLOOKUP(DQ94,'KPI Impacts'!$B$2:$H$2,'KPI Impacts'!$B94:$H94)</f>
        <v>0</v>
      </c>
      <c r="DU94" s="12">
        <f>DU$22*EF94</f>
        <v>0</v>
      </c>
      <c r="DV94" s="12">
        <f>DV$22 * IF(AND(DU$5=1,DU$20=1), EH94, EF94)</f>
        <v>0</v>
      </c>
      <c r="DW94" s="12">
        <f>DW$22 * IF(AND(DV$5=1,DU$20=1), EH94, EF94)</f>
        <v>0</v>
      </c>
      <c r="DX94" s="12">
        <f>DX$22 * IF(AND(DW$5=1,DU$20=1), EH94, EF94)</f>
        <v>0</v>
      </c>
      <c r="DY94" s="12">
        <f>DY$22 * IF(AND(DX$5=1,DU$20=1), EH94, EF94)</f>
        <v>0</v>
      </c>
      <c r="DZ94" s="12">
        <f>DZ$22 * IF(AND(DY$5=1,DU$20=1), EH94, EF94)</f>
        <v>0</v>
      </c>
      <c r="EA94" s="12">
        <f>EA$22 * IF(AND(DZ$5=1,DU$20=1), EH94, EF94)</f>
        <v>0</v>
      </c>
      <c r="EB94" s="12">
        <f>EB$22 * IF(AND(EA$5=1,DU$20=1), EH94, EF94)</f>
        <v>0</v>
      </c>
      <c r="EC94" s="12">
        <f>EC$22 * IF(AND(EB$5=1,DU$20=1), EH94, EF94)</f>
        <v>0</v>
      </c>
      <c r="EE94" s="16" t="s">
        <v>1303</v>
      </c>
      <c r="EF94">
        <f>_xlfn.XLOOKUP(EE94,'KPI Impacts'!$B$2:$H$2,'KPI Impacts'!$B94:$H94)</f>
        <v>0</v>
      </c>
      <c r="EG94" s="35" t="s">
        <v>1303</v>
      </c>
      <c r="EH94">
        <f>_xlfn.XLOOKUP(EG94,'KPI Impacts'!$B$2:$H$2,'KPI Impacts'!$B94:$H94)</f>
        <v>0</v>
      </c>
      <c r="EK94" s="12">
        <f>EK$22*EV94</f>
        <v>0</v>
      </c>
      <c r="EL94" s="12">
        <f>EL$22 * IF(AND(EK$5=1,EK$20=1), EX94, EV94)</f>
        <v>0</v>
      </c>
      <c r="EM94" s="12">
        <f>EM$22 * IF(AND(EL$5=1,EK$20=1), EX94, EV94)</f>
        <v>0</v>
      </c>
      <c r="EN94" s="12">
        <f>EN$22 * IF(AND(EM$5=1,EK$20=1), EX94, EV94)</f>
        <v>0</v>
      </c>
      <c r="EO94" s="12">
        <f>EO$22 * IF(AND(EN$5=1,EK$20=1), EX94, EV94)</f>
        <v>0</v>
      </c>
      <c r="EP94" s="12">
        <f>EP$22 * IF(AND(EO$5=1,EK$20=1), EX94, EV94)</f>
        <v>0</v>
      </c>
      <c r="EQ94" s="12">
        <f>EQ$22 * IF(AND(EP$5=1,EK$20=1), EX94, EV94)</f>
        <v>0</v>
      </c>
      <c r="ER94" s="12">
        <f>ER$22 * IF(AND(EQ$5=1,EK$20=1), EX94, EV94)</f>
        <v>0</v>
      </c>
      <c r="ES94" s="12">
        <f>ES$22 * IF(AND(ER$5=1,EK$20=1), EX94, EV94)</f>
        <v>0</v>
      </c>
      <c r="EU94" s="16" t="s">
        <v>1303</v>
      </c>
      <c r="EV94">
        <f>_xlfn.XLOOKUP(EU94,'KPI Impacts'!$B$2:$H$2,'KPI Impacts'!$B94:$H94)</f>
        <v>0</v>
      </c>
      <c r="EW94" s="35" t="s">
        <v>1303</v>
      </c>
      <c r="EX94">
        <f>_xlfn.XLOOKUP(EW94,'KPI Impacts'!$B$2:$H$2,'KPI Impacts'!$B94:$H94)</f>
        <v>0</v>
      </c>
      <c r="FA94" s="12">
        <f>FA$22*FL94</f>
        <v>0</v>
      </c>
      <c r="FB94" s="12">
        <f>FB$22 * IF(AND(FA$5=1,FA$20=1), FN94, FL94)</f>
        <v>0</v>
      </c>
      <c r="FC94" s="12">
        <f>FC$22 * IF(AND(FB$5=1,FA$20=1), FN94, FL94)</f>
        <v>0</v>
      </c>
      <c r="FD94" s="12">
        <f>FD$22 * IF(AND(FC$5=1,FA$20=1), FN94, FL94)</f>
        <v>0</v>
      </c>
      <c r="FE94" s="12">
        <f>FE$22 * IF(AND(FD$5=1,FA$20=1), FN94, FL94)</f>
        <v>0</v>
      </c>
      <c r="FF94" s="12">
        <f>FF$22 * IF(AND(FE$5=1,FA$20=1), FN94, FL94)</f>
        <v>0</v>
      </c>
      <c r="FG94" s="12">
        <f>FG$22 * IF(AND(FF$5=1,FA$20=1), FN94, FL94)</f>
        <v>0</v>
      </c>
      <c r="FH94" s="12">
        <f>FH$22 * IF(AND(FG$5=1,FA$20=1), FN94, FL94)</f>
        <v>0</v>
      </c>
      <c r="FI94" s="12">
        <f>FI$22 * IF(AND(FH$5=1,FA$20=1), FN94, FL94)</f>
        <v>0</v>
      </c>
      <c r="FK94" s="16" t="s">
        <v>1303</v>
      </c>
      <c r="FL94">
        <f>_xlfn.XLOOKUP(FK94,'KPI Impacts'!$B$2:$H$2,'KPI Impacts'!$B94:$H94)</f>
        <v>0</v>
      </c>
      <c r="FM94" s="16" t="s">
        <v>1303</v>
      </c>
      <c r="FN94">
        <f>_xlfn.XLOOKUP(FM94,'KPI Impacts'!$B$2:$H$2,'KPI Impacts'!$B94:$H94)</f>
        <v>0</v>
      </c>
      <c r="FQ94" s="12">
        <f>FQ$22*GB94</f>
        <v>0</v>
      </c>
      <c r="FR94" s="12">
        <f>FR$22 * IF(AND(FQ$5=1,FQ$20=1), GD94, GB94)</f>
        <v>0</v>
      </c>
      <c r="FS94" s="12">
        <f>FS$22 * IF(AND(FR$5=1,FQ$20=1), GD94, GB94)</f>
        <v>0</v>
      </c>
      <c r="FT94" s="12">
        <f>FT$22 * IF(AND(FS$5=1,FQ$20=1), GD94, GB94)</f>
        <v>0</v>
      </c>
      <c r="FU94" s="12">
        <f>FU$22 * IF(AND(FT$5=1,FQ$20=1), GD94, GB94)</f>
        <v>0</v>
      </c>
      <c r="FV94" s="12">
        <f>FV$22 * IF(AND(FU$5=1,FQ$20=1), GD94, GB94)</f>
        <v>0</v>
      </c>
      <c r="FW94" s="12">
        <f>FW$22 * IF(AND(FV$5=1,FQ$20=1), GD94, GB94)</f>
        <v>0</v>
      </c>
      <c r="FX94" s="12">
        <f>FX$22 * IF(AND(FW$5=1,FQ$20=1), GD94, GB94)</f>
        <v>0</v>
      </c>
      <c r="FY94" s="12">
        <f>FY$22 * IF(AND(FX$5=1,FQ$20=1), GD94, GB94)</f>
        <v>0</v>
      </c>
      <c r="GA94" s="16" t="s">
        <v>1303</v>
      </c>
      <c r="GB94">
        <f>_xlfn.XLOOKUP(GA94,'KPI Impacts'!$B$2:$H$2,'KPI Impacts'!$B94:$H94)</f>
        <v>0</v>
      </c>
      <c r="GC94" s="9" t="s">
        <v>1303</v>
      </c>
      <c r="GD94">
        <f>_xlfn.XLOOKUP(GC94,'KPI Impacts'!$B$2:$H$2,'KPI Impacts'!$B94:$H94)</f>
        <v>0</v>
      </c>
      <c r="GG94" s="12">
        <f>GG$22*GR94</f>
        <v>0</v>
      </c>
      <c r="GH94" s="12">
        <f>GH$22 * IF(AND(GG$5=1,GG$20=1), GT94, GR94)</f>
        <v>0</v>
      </c>
      <c r="GI94" s="12">
        <f>GI$22 * IF(AND(GH$5=1,GG$20=1), GT94, GR94)</f>
        <v>0</v>
      </c>
      <c r="GJ94" s="12">
        <f>GJ$22 * IF(AND(GI$5=1,GG$20=1), GT94, GR94)</f>
        <v>0</v>
      </c>
      <c r="GK94" s="12">
        <f>GK$22 * IF(AND(GJ$5=1,GG$20=1), GT94, GR94)</f>
        <v>0</v>
      </c>
      <c r="GL94" s="12">
        <f>GL$22 * IF(AND(GK$5=1,GG$20=1), GT94, GR94)</f>
        <v>0</v>
      </c>
      <c r="GM94" s="12">
        <f>GM$22 * IF(AND(GL$5=1,GG$20=1), GT94, GR94)</f>
        <v>0</v>
      </c>
      <c r="GN94" s="12">
        <f>GN$22 * IF(AND(GM$5=1,GG$20=1), GT94, GR94)</f>
        <v>0</v>
      </c>
      <c r="GO94" s="12">
        <f>GO$22 * IF(AND(GN$5=1,GG$20=1), GT94, GR94)</f>
        <v>0</v>
      </c>
      <c r="GQ94" s="16" t="s">
        <v>1303</v>
      </c>
      <c r="GR94">
        <f>_xlfn.XLOOKUP(GQ94,'KPI Impacts'!$B$2:$H$2,'KPI Impacts'!$B94:$H94)</f>
        <v>0</v>
      </c>
      <c r="GS94" s="9" t="s">
        <v>1303</v>
      </c>
      <c r="GT94">
        <f>_xlfn.XLOOKUP(GS94,'KPI Impacts'!$B$2:$H$2,'KPI Impacts'!$B94:$H94)</f>
        <v>0</v>
      </c>
      <c r="GW94" s="12">
        <f>GW$22*HH94</f>
        <v>0</v>
      </c>
      <c r="GX94" s="12">
        <f>GX$22 * IF(AND(GW$5=1,GW$20=1), HJ94, HH94)</f>
        <v>0</v>
      </c>
      <c r="GY94" s="12">
        <f>GY$22 * IF(AND(GX$5=1,GW$20=1), HJ94, HH94)</f>
        <v>0</v>
      </c>
      <c r="GZ94" s="12">
        <f>GZ$22 * IF(AND(GY$5=1,GW$20=1), HJ94, HH94)</f>
        <v>0</v>
      </c>
      <c r="HA94" s="12">
        <f>HA$22 * IF(AND(GZ$5=1,GW$20=1), HJ94, HH94)</f>
        <v>0</v>
      </c>
      <c r="HB94" s="12">
        <f>HB$22 * IF(AND(HA$5=1,GW$20=1), HJ94, HH94)</f>
        <v>0</v>
      </c>
      <c r="HC94" s="12">
        <f>HC$22 * IF(AND(HB$5=1,GW$20=1), HJ94, HH94)</f>
        <v>0</v>
      </c>
      <c r="HD94" s="12">
        <f>HD$22 * IF(AND(HC$5=1,GW$20=1), HJ94, HH94)</f>
        <v>0</v>
      </c>
      <c r="HE94" s="12">
        <f>HE$22 * IF(AND(HD$5=1,GW$20=1), HJ94, HH94)</f>
        <v>0</v>
      </c>
      <c r="HG94" s="16" t="s">
        <v>1303</v>
      </c>
      <c r="HH94">
        <f>_xlfn.XLOOKUP(HG94,'KPI Impacts'!$B$2:$H$2,'KPI Impacts'!$B94:$H94)</f>
        <v>0</v>
      </c>
      <c r="HI94" s="9" t="s">
        <v>1303</v>
      </c>
      <c r="HJ94">
        <f>_xlfn.XLOOKUP(HI94,'KPI Impacts'!$B$2:$H$2,'KPI Impacts'!$B94:$H94)</f>
        <v>0</v>
      </c>
      <c r="HM94" s="12">
        <f>HM$22*HX94</f>
        <v>0</v>
      </c>
      <c r="HN94" s="12">
        <f>HN$22 * IF(AND(HM$5=1,HM$20=1), HZ94, HX94)</f>
        <v>0</v>
      </c>
      <c r="HO94" s="12">
        <f>HO$22 * IF(AND(HN$5=1,HM$20=1), HZ94, HX94)</f>
        <v>0</v>
      </c>
      <c r="HP94" s="12">
        <f>HP$22 * IF(AND(HO$5=1,HM$20=1), HZ94, HX94)</f>
        <v>0</v>
      </c>
      <c r="HQ94" s="12">
        <f>HQ$22 * IF(AND(HP$5=1,HM$20=1), HZ94, HX94)</f>
        <v>0</v>
      </c>
      <c r="HR94" s="12">
        <f>HR$22 * IF(AND(HQ$5=1,HM$20=1), HZ94, HX94)</f>
        <v>0</v>
      </c>
      <c r="HS94" s="12">
        <f>HS$22 * IF(AND(HR$5=1,HM$20=1), HZ94, HX94)</f>
        <v>0</v>
      </c>
      <c r="HT94" s="12">
        <f>HT$22 * IF(AND(HS$5=1,HM$20=1), HZ94, HX94)</f>
        <v>0</v>
      </c>
      <c r="HU94" s="12">
        <f>HU$22 * IF(AND(HT$5=1,HM$20=1), HZ94, HX94)</f>
        <v>0</v>
      </c>
      <c r="HW94" s="16" t="s">
        <v>1303</v>
      </c>
      <c r="HX94">
        <f>_xlfn.XLOOKUP(HW94,'KPI Impacts'!$B$2:$H$2,'KPI Impacts'!$B94:$H94)</f>
        <v>0</v>
      </c>
      <c r="HY94" s="9" t="s">
        <v>1303</v>
      </c>
      <c r="HZ94">
        <f>_xlfn.XLOOKUP(HY94,'KPI Impacts'!$B$2:$H$2,'KPI Impacts'!$B94:$H94)</f>
        <v>0</v>
      </c>
      <c r="IC94" s="12">
        <f>IC$22*IN94</f>
        <v>0</v>
      </c>
      <c r="ID94" s="12">
        <f>ID$22 * IF(AND(IC$5=1,IC$20=1), IP94, IN94)</f>
        <v>0</v>
      </c>
      <c r="IE94" s="12">
        <f>IE$22 * IF(AND(ID$5=1,IC$20=1), IP94, IN94)</f>
        <v>0</v>
      </c>
      <c r="IF94" s="12">
        <f>IF$22 * IF(AND(IE$5=1,IC$20=1), IP94, IN94)</f>
        <v>0</v>
      </c>
      <c r="IG94" s="12">
        <f>IG$22 * IF(AND(IF$5=1,IC$20=1), IP94, IN94)</f>
        <v>0</v>
      </c>
      <c r="IH94" s="12">
        <f>IH$22 * IF(AND(IG$5=1,IC$20=1), IP94, IN94)</f>
        <v>0</v>
      </c>
      <c r="II94" s="12">
        <f>II$22 * IF(AND(IH$5=1,IC$20=1), IP94, IN94)</f>
        <v>0</v>
      </c>
      <c r="IJ94" s="12">
        <f>IJ$22 * IF(AND(II$5=1,IC$20=1), IP94, IN94)</f>
        <v>0</v>
      </c>
      <c r="IK94" s="12">
        <f>IK$22 * IF(AND(IJ$5=1,IC$20=1), IP94, IN94)</f>
        <v>0</v>
      </c>
      <c r="IM94" s="16" t="s">
        <v>1303</v>
      </c>
      <c r="IN94">
        <f>_xlfn.XLOOKUP(IM94,'KPI Impacts'!$B$2:$H$2,'KPI Impacts'!$B94:$H94)</f>
        <v>0</v>
      </c>
      <c r="IO94" s="9" t="s">
        <v>1303</v>
      </c>
      <c r="IP94">
        <f>_xlfn.XLOOKUP(IO94,'KPI Impacts'!$B$2:$H$2,'KPI Impacts'!$B94:$H94)</f>
        <v>0</v>
      </c>
      <c r="IS94" s="12">
        <f>IS$22*JD94</f>
        <v>0</v>
      </c>
      <c r="IT94" s="12">
        <f>IT$22 * IF(AND(IS$5=1,IS$20=1), JF94, JD94)</f>
        <v>0</v>
      </c>
      <c r="IU94" s="12">
        <f>IU$22 * IF(AND(IT$5=1,IS$20=1), JF94, JD94)</f>
        <v>0</v>
      </c>
      <c r="IV94" s="12">
        <f>IV$22 * IF(AND(IU$5=1,IS$20=1), JF94, JD94)</f>
        <v>0</v>
      </c>
      <c r="IW94" s="12">
        <f>IW$22 * IF(AND(IV$5=1,IS$20=1), JF94, JD94)</f>
        <v>0</v>
      </c>
      <c r="IX94" s="12">
        <f>IX$22 * IF(AND(IW$5=1,IS$20=1), JF94, JD94)</f>
        <v>0</v>
      </c>
      <c r="IY94" s="12">
        <f>IY$22 * IF(AND(IX$5=1,IS$20=1), JF94, JD94)</f>
        <v>0</v>
      </c>
      <c r="IZ94" s="12">
        <f>IZ$22 * IF(AND(IY$5=1,IS$20=1), JF94, JD94)</f>
        <v>0</v>
      </c>
      <c r="JA94" s="12">
        <f>JA$22 * IF(AND(IZ$5=1,IS$20=1), JF94, JD94)</f>
        <v>0</v>
      </c>
      <c r="JC94" t="s">
        <v>1303</v>
      </c>
      <c r="JD94">
        <f>_xlfn.XLOOKUP(JC94,'KPI Impacts'!$B$2:$H$2,'KPI Impacts'!$B94:$H94)</f>
        <v>0</v>
      </c>
      <c r="JE94" s="9" t="s">
        <v>1303</v>
      </c>
      <c r="JF94">
        <f>_xlfn.XLOOKUP(JE94,'KPI Impacts'!$B$2:$H$2,'KPI Impacts'!$B94:$H94)</f>
        <v>0</v>
      </c>
      <c r="JI94" s="12">
        <f>JI$22*JT94</f>
        <v>0</v>
      </c>
      <c r="JJ94" s="12">
        <f>JJ$22 * IF(AND(JI$5=1,JI$20=1), JV94, JT94)</f>
        <v>0</v>
      </c>
      <c r="JK94" s="12">
        <f>JK$22 * IF(AND(JJ$5=1,JI$20=1), JV94, JT94)</f>
        <v>0</v>
      </c>
      <c r="JL94" s="12">
        <f>JL$22 * IF(AND(JK$5=1,JI$20=1), JV94, JT94)</f>
        <v>0</v>
      </c>
      <c r="JM94" s="12">
        <f>JM$22 * IF(AND(JL$5=1,JI$20=1), JV94, JT94)</f>
        <v>0</v>
      </c>
      <c r="JN94" s="12">
        <f>JN$22 * IF(AND(JM$5=1,JI$20=1), JV94, JT94)</f>
        <v>0</v>
      </c>
      <c r="JO94" s="12">
        <f>JO$22 * IF(AND(JN$5=1,JI$20=1), JV94, JT94)</f>
        <v>0</v>
      </c>
      <c r="JP94" s="12">
        <f>JP$22 * IF(AND(JO$5=1,JI$20=1), JV94, JT94)</f>
        <v>0</v>
      </c>
      <c r="JQ94" s="12">
        <f>JQ$22 * IF(AND(JP$5=1,JI$20=1), JV94, JT94)</f>
        <v>0</v>
      </c>
      <c r="JS94" t="s">
        <v>1303</v>
      </c>
      <c r="JT94">
        <f>_xlfn.XLOOKUP(JS94,'KPI Impacts'!$B$2:$H$2,'KPI Impacts'!$B94:$H94)</f>
        <v>0</v>
      </c>
      <c r="JU94" s="9" t="s">
        <v>1303</v>
      </c>
      <c r="JV94">
        <f>_xlfn.XLOOKUP(JU94,'KPI Impacts'!$B$2:$H$2,'KPI Impacts'!$B94:$H94)</f>
        <v>0</v>
      </c>
      <c r="JY94" s="12">
        <f>JY$22*KJ94</f>
        <v>0</v>
      </c>
      <c r="JZ94" s="12">
        <f>JZ$22 * IF(AND(JY$5=1,JY$20=1), KL94, KJ94)</f>
        <v>0</v>
      </c>
      <c r="KA94" s="12">
        <f>KA$22 * IF(AND(JZ$5=1,JY$20=1), KL94, KJ94)</f>
        <v>0</v>
      </c>
      <c r="KB94" s="12">
        <f>KB$22 * IF(AND(KA$5=1,JY$20=1), KL94, KJ94)</f>
        <v>0</v>
      </c>
      <c r="KC94" s="12">
        <f>KC$22 * IF(AND(KB$5=1,JY$20=1), KL94, KJ94)</f>
        <v>0</v>
      </c>
      <c r="KD94" s="12">
        <f>KD$22 * IF(AND(KC$5=1,JY$20=1), KL94, KJ94)</f>
        <v>0</v>
      </c>
      <c r="KE94" s="12">
        <f>KE$22 * IF(AND(KD$5=1,JY$20=1), KL94, KJ94)</f>
        <v>0</v>
      </c>
      <c r="KF94" s="12">
        <f>KF$22 * IF(AND(KE$5=1,JY$20=1), KL94, KJ94)</f>
        <v>0</v>
      </c>
      <c r="KG94" s="12">
        <f>KG$22 * IF(AND(KF$5=1,JY$20=1), KL94, KJ94)</f>
        <v>0</v>
      </c>
      <c r="KI94" t="s">
        <v>1303</v>
      </c>
      <c r="KJ94">
        <f>_xlfn.XLOOKUP(KI94,'KPI Impacts'!$B$2:$H$2,'KPI Impacts'!$B94:$H94)</f>
        <v>0</v>
      </c>
      <c r="KK94" s="9" t="s">
        <v>1303</v>
      </c>
      <c r="KL94">
        <f>_xlfn.XLOOKUP(KK94,'KPI Impacts'!$B$2:$H$2,'KPI Impacts'!$B94:$H94)</f>
        <v>0</v>
      </c>
      <c r="KO94" s="12">
        <f>KO$22*KZ94</f>
        <v>0</v>
      </c>
      <c r="KP94" s="12">
        <f>KP$22 * IF(AND(KO$5=1,KO$20=1), LB94, KZ94)</f>
        <v>0</v>
      </c>
      <c r="KQ94" s="12">
        <f>KQ$22 * IF(AND(KP$5=1,KO$20=1), LB94, KZ94)</f>
        <v>0</v>
      </c>
      <c r="KR94" s="12">
        <f>KR$22 * IF(AND(KQ$5=1,KO$20=1), LB94, KZ94)</f>
        <v>0</v>
      </c>
      <c r="KS94" s="12">
        <f>KS$22 * IF(AND(KR$5=1,KO$20=1), LB94, KZ94)</f>
        <v>0</v>
      </c>
      <c r="KT94" s="12">
        <f>KT$22 * IF(AND(KS$5=1,KO$20=1), LB94, KZ94)</f>
        <v>0</v>
      </c>
      <c r="KU94" s="12">
        <f>KU$22 * IF(AND(KT$5=1,KO$20=1), LB94, KZ94)</f>
        <v>0</v>
      </c>
      <c r="KV94" s="12">
        <f>KV$22 * IF(AND(KU$5=1,KO$20=1), LB94, KZ94)</f>
        <v>0</v>
      </c>
      <c r="KW94" s="12">
        <f>KW$22 * IF(AND(KV$5=1,KO$20=1), LB94, KZ94)</f>
        <v>0</v>
      </c>
      <c r="KY94" t="s">
        <v>1303</v>
      </c>
      <c r="KZ94">
        <f>_xlfn.XLOOKUP(KY94,'KPI Impacts'!$B$2:$H$2,'KPI Impacts'!$B94:$H94)</f>
        <v>0</v>
      </c>
      <c r="LA94" s="9" t="s">
        <v>1303</v>
      </c>
      <c r="LB94">
        <f>_xlfn.XLOOKUP(LA94,'KPI Impacts'!$B$2:$H$2,'KPI Impacts'!$B94:$H94)</f>
        <v>0</v>
      </c>
      <c r="LE94" s="12">
        <f>LE$22*LP94</f>
        <v>0</v>
      </c>
      <c r="LF94" s="12">
        <f>LF$22 * IF(AND(LE$5=1,LE$20=1), LR94, LP94)</f>
        <v>0</v>
      </c>
      <c r="LG94" s="12">
        <f>LG$22 * IF(AND(LF$5=1,LE$20=1), LR94, LP94)</f>
        <v>0</v>
      </c>
      <c r="LH94" s="12">
        <f>LH$22 * IF(AND(LG$5=1,LE$20=1), LR94, LP94)</f>
        <v>0</v>
      </c>
      <c r="LI94" s="12">
        <f>LI$22 * IF(AND(LH$5=1,LE$20=1), LR94, LP94)</f>
        <v>0</v>
      </c>
      <c r="LJ94" s="12">
        <f>LJ$22 * IF(AND(LI$5=1,LE$20=1), LR94, LP94)</f>
        <v>0</v>
      </c>
      <c r="LK94" s="12">
        <f>LK$22 * IF(AND(LJ$5=1,LE$20=1), LR94, LP94)</f>
        <v>0</v>
      </c>
      <c r="LL94" s="12">
        <f>LL$22 * IF(AND(LK$5=1,LE$20=1), LR94, LP94)</f>
        <v>0</v>
      </c>
      <c r="LM94" s="12">
        <f>LM$22 * IF(AND(LL$5=1,LE$20=1), LR94, LP94)</f>
        <v>0</v>
      </c>
      <c r="LO94" t="s">
        <v>1303</v>
      </c>
      <c r="LP94">
        <f>_xlfn.XLOOKUP(LO94,'KPI Impacts'!$B$2:$H$2,'KPI Impacts'!$B94:$H94)</f>
        <v>0</v>
      </c>
      <c r="LQ94" s="9" t="s">
        <v>1303</v>
      </c>
      <c r="LR94">
        <f>_xlfn.XLOOKUP(LQ94,'KPI Impacts'!$B$2:$H$2,'KPI Impacts'!$B94:$H94)</f>
        <v>0</v>
      </c>
      <c r="LU94" s="12">
        <f>LU$22*MF94</f>
        <v>0</v>
      </c>
      <c r="LV94" s="12">
        <f>LV$22 * IF(AND(LU$5=1,LU$20=1), MH94, MF94)</f>
        <v>0</v>
      </c>
      <c r="LW94" s="12">
        <f>LW$22 * IF(AND(LV$5=1,LU$20=1), MH94, MF94)</f>
        <v>0</v>
      </c>
      <c r="LX94" s="12">
        <f>LX$22 * IF(AND(LW$5=1,LU$20=1), MH94, MF94)</f>
        <v>0</v>
      </c>
      <c r="LY94" s="12">
        <f>LY$22 * IF(AND(LX$5=1,LU$20=1), MH94, MF94)</f>
        <v>0</v>
      </c>
      <c r="LZ94" s="12">
        <f>LZ$22 * IF(AND(LY$5=1,LU$20=1), MH94, MF94)</f>
        <v>0</v>
      </c>
      <c r="MA94" s="12">
        <f>MA$22 * IF(AND(LZ$5=1,LU$20=1), MH94, MF94)</f>
        <v>0</v>
      </c>
      <c r="MB94" s="12">
        <f>MB$22 * IF(AND(MA$5=1,LU$20=1), MH94, MF94)</f>
        <v>0</v>
      </c>
      <c r="MC94" s="12">
        <f>MC$22 * IF(AND(MB$5=1,LU$20=1), MH94, MF94)</f>
        <v>0</v>
      </c>
      <c r="ME94" t="s">
        <v>1303</v>
      </c>
      <c r="MF94">
        <f>_xlfn.XLOOKUP(ME94,'KPI Impacts'!$B$2:$H$2,'KPI Impacts'!$B94:$H94)</f>
        <v>0</v>
      </c>
      <c r="MG94" s="9" t="s">
        <v>1303</v>
      </c>
      <c r="MH94">
        <f>_xlfn.XLOOKUP(MG94,'KPI Impacts'!$B$2:$H$2,'KPI Impacts'!$B94:$H94)</f>
        <v>0</v>
      </c>
      <c r="MK94" s="12">
        <f>MK$22*MV94</f>
        <v>0</v>
      </c>
      <c r="ML94" s="12">
        <f>ML$22 * IF(AND(MK$5=1,MK$20=1), MX94, MV94)</f>
        <v>0</v>
      </c>
      <c r="MM94" s="12">
        <f>MM$22 * IF(AND(ML$5=1,MK$20=1), MX94, MV94)</f>
        <v>0</v>
      </c>
      <c r="MN94" s="12">
        <f>MN$22 * IF(AND(MM$5=1,MK$20=1), MX94, MV94)</f>
        <v>0</v>
      </c>
      <c r="MO94" s="12">
        <f>MO$22 * IF(AND(MN$5=1,MK$20=1), MX94, MV94)</f>
        <v>0</v>
      </c>
      <c r="MP94" s="12">
        <f>MP$22 * IF(AND(MO$5=1,MK$20=1), MX94, MV94)</f>
        <v>0</v>
      </c>
      <c r="MQ94" s="12">
        <f>MQ$22 * IF(AND(MP$5=1,MK$20=1), MX94, MV94)</f>
        <v>0</v>
      </c>
      <c r="MR94" s="12">
        <f>MR$22 * IF(AND(MQ$5=1,MK$20=1), MX94, MV94)</f>
        <v>0</v>
      </c>
      <c r="MS94" s="12">
        <f>MS$22 * IF(AND(MR$5=1,MK$20=1), MX94, MV94)</f>
        <v>0</v>
      </c>
      <c r="MU94" t="s">
        <v>1303</v>
      </c>
      <c r="MV94">
        <f>_xlfn.XLOOKUP(MU94,'KPI Impacts'!$B$2:$H$2,'KPI Impacts'!$B94:$H94)</f>
        <v>0</v>
      </c>
      <c r="MW94" s="9" t="s">
        <v>1303</v>
      </c>
      <c r="MX94">
        <f>_xlfn.XLOOKUP(MW94,'KPI Impacts'!$B$2:$H$2,'KPI Impacts'!$B94:$H94)</f>
        <v>0</v>
      </c>
      <c r="NA94" s="12">
        <f>NA$22*NL94</f>
        <v>0</v>
      </c>
      <c r="NB94" s="12">
        <f>NB$22 * IF(AND(NA$5=1,NA$20=1), NN94, NL94)</f>
        <v>0</v>
      </c>
      <c r="NC94" s="12">
        <f>NC$22 * IF(AND(NB$5=1,NA$20=1), NN94, NL94)</f>
        <v>0</v>
      </c>
      <c r="ND94" s="12">
        <f>ND$22 * IF(AND(NC$5=1,NA$20=1), NN94, NL94)</f>
        <v>0</v>
      </c>
      <c r="NE94" s="12">
        <f>NE$22 * IF(AND(ND$5=1,NA$20=1), NN94, NL94)</f>
        <v>0</v>
      </c>
      <c r="NF94" s="12">
        <f>NF$22 * IF(AND(NE$5=1,NA$20=1), NN94, NL94)</f>
        <v>0</v>
      </c>
      <c r="NG94" s="12">
        <f>NG$22 * IF(AND(NF$5=1,NA$20=1), NN94, NL94)</f>
        <v>0</v>
      </c>
      <c r="NH94" s="12">
        <f>NH$22 * IF(AND(NG$5=1,NA$20=1), NN94, NL94)</f>
        <v>0</v>
      </c>
      <c r="NI94" s="12">
        <f>NI$22 * IF(AND(NH$5=1,NA$20=1), NN94, NL94)</f>
        <v>0</v>
      </c>
      <c r="NK94" t="s">
        <v>1303</v>
      </c>
      <c r="NL94">
        <f>_xlfn.XLOOKUP(NK94,'KPI Impacts'!$B$2:$H$2,'KPI Impacts'!$B94:$H94)</f>
        <v>0</v>
      </c>
      <c r="NM94" s="9" t="s">
        <v>1303</v>
      </c>
      <c r="NN94">
        <f>_xlfn.XLOOKUP(NM94,'KPI Impacts'!$B$2:$H$2,'KPI Impacts'!$B94:$H94)</f>
        <v>0</v>
      </c>
      <c r="NQ94" s="12">
        <f>NQ$22*OB94</f>
        <v>0</v>
      </c>
      <c r="NR94" s="12">
        <f>NR$22 * IF(AND(NQ$5=1,NQ$20=1), OD94, OB94)</f>
        <v>0</v>
      </c>
      <c r="NS94" s="12">
        <f>NS$22 * IF(AND(NR$5=1,NQ$20=1), OD94, OB94)</f>
        <v>0</v>
      </c>
      <c r="NT94" s="12">
        <f>NT$22 * IF(AND(NS$5=1,NQ$20=1), OD94, OB94)</f>
        <v>0</v>
      </c>
      <c r="NU94" s="12">
        <f>NU$22 * IF(AND(NT$5=1,NQ$20=1), OD94, OB94)</f>
        <v>0</v>
      </c>
      <c r="NV94" s="12">
        <f>NV$22 * IF(AND(NU$5=1,NQ$20=1), OD94, OB94)</f>
        <v>0</v>
      </c>
      <c r="NW94" s="12">
        <f>NW$22 * IF(AND(NV$5=1,NQ$20=1), OD94, OB94)</f>
        <v>0</v>
      </c>
      <c r="NX94" s="12">
        <f>NX$22 * IF(AND(NW$5=1,NQ$20=1), OD94, OB94)</f>
        <v>0</v>
      </c>
      <c r="NY94" s="12">
        <f>NY$22 * IF(AND(NX$5=1,NQ$20=1), OD94, OB94)</f>
        <v>0</v>
      </c>
      <c r="OA94" t="s">
        <v>1303</v>
      </c>
      <c r="OB94">
        <f>_xlfn.XLOOKUP(OA94,'KPI Impacts'!$B$2:$H$2,'KPI Impacts'!$B94:$H94)</f>
        <v>0</v>
      </c>
      <c r="OC94" s="9" t="s">
        <v>1303</v>
      </c>
      <c r="OD94">
        <f>_xlfn.XLOOKUP(OC94,'KPI Impacts'!$B$2:$H$2,'KPI Impacts'!$B94:$H94)</f>
        <v>0</v>
      </c>
      <c r="OG94" s="12">
        <f>OG$22*OR94</f>
        <v>0</v>
      </c>
      <c r="OH94" s="12">
        <f>OH$22 * IF(AND(OG$5=1,OG$20=1), OT94, OR94)</f>
        <v>0</v>
      </c>
      <c r="OI94" s="12">
        <f>OI$22 * IF(AND(OH$5=1,OG$20=1), OT94, OR94)</f>
        <v>0</v>
      </c>
      <c r="OJ94" s="12">
        <f>OJ$22 * IF(AND(OI$5=1,OG$20=1), OT94, OR94)</f>
        <v>0</v>
      </c>
      <c r="OK94" s="12">
        <f>OK$22 * IF(AND(OJ$5=1,OG$20=1), OT94, OR94)</f>
        <v>0</v>
      </c>
      <c r="OL94" s="12">
        <f>OL$22 * IF(AND(OK$5=1,OG$20=1), OT94, OR94)</f>
        <v>0</v>
      </c>
      <c r="OM94" s="12">
        <f>OM$22 * IF(AND(OL$5=1,OG$20=1), OT94, OR94)</f>
        <v>0</v>
      </c>
      <c r="ON94" s="12">
        <f>ON$22 * IF(AND(OM$5=1,OG$20=1), OT94, OR94)</f>
        <v>0</v>
      </c>
      <c r="OO94" s="12">
        <f>OO$22 * IF(AND(ON$5=1,OG$20=1), OT94, OR94)</f>
        <v>0</v>
      </c>
      <c r="OQ94" t="s">
        <v>1303</v>
      </c>
      <c r="OR94">
        <f>_xlfn.XLOOKUP(OQ94,'KPI Impacts'!$B$2:$H$2,'KPI Impacts'!$B94:$H94)</f>
        <v>0</v>
      </c>
      <c r="OS94" s="9" t="s">
        <v>1303</v>
      </c>
      <c r="OT94">
        <f>_xlfn.XLOOKUP(OS94,'KPI Impacts'!$B$2:$H$2,'KPI Impacts'!$B94:$H94)</f>
        <v>0</v>
      </c>
    </row>
    <row r="95" spans="1:410" x14ac:dyDescent="0.2">
      <c r="A95" t="s">
        <v>1316</v>
      </c>
      <c r="B95" s="12">
        <f t="shared" si="532"/>
        <v>0</v>
      </c>
      <c r="C95" s="12">
        <f t="shared" si="532"/>
        <v>0</v>
      </c>
      <c r="D95" s="12">
        <f t="shared" si="532"/>
        <v>0</v>
      </c>
      <c r="E95" s="12">
        <f t="shared" si="532"/>
        <v>0</v>
      </c>
      <c r="F95" s="12">
        <f t="shared" si="532"/>
        <v>0</v>
      </c>
      <c r="G95" s="12">
        <f t="shared" si="532"/>
        <v>0</v>
      </c>
      <c r="H95" s="12">
        <f t="shared" si="532"/>
        <v>0</v>
      </c>
      <c r="I95" s="12">
        <f t="shared" si="533"/>
        <v>0</v>
      </c>
      <c r="J95" s="12">
        <f t="shared" si="533"/>
        <v>0</v>
      </c>
      <c r="M95">
        <f>M$5*V95</f>
        <v>0</v>
      </c>
      <c r="N95">
        <f>N$5*V95</f>
        <v>0</v>
      </c>
      <c r="O95">
        <f>O$5*V95</f>
        <v>0</v>
      </c>
      <c r="P95">
        <f>P$5*V95</f>
        <v>0</v>
      </c>
      <c r="Q95">
        <f>Q$5*V95</f>
        <v>0</v>
      </c>
      <c r="R95">
        <f>R$5*V95</f>
        <v>0</v>
      </c>
      <c r="S95">
        <f>S$5*V95</f>
        <v>0</v>
      </c>
      <c r="U95" t="s">
        <v>1303</v>
      </c>
      <c r="V95">
        <f>_xlfn.XLOOKUP(U95,'KPI Impacts'!$B$2:$H$2,'KPI Impacts'!$B95:$H95)</f>
        <v>0</v>
      </c>
      <c r="W95" s="6"/>
      <c r="Y95" s="12" cm="1">
        <f t="array" ref="Y95">_xlfn.SWITCH(Y$4, 0,0, 1, AJ95,2,AL95,3,AN95,0)</f>
        <v>0</v>
      </c>
      <c r="Z95" s="12" cm="1">
        <f t="array" ref="Z95">_xlfn.SWITCH(Z$4, 0,0, 1, AJ95,2,AL95,3,AN95,0)+Y95</f>
        <v>0</v>
      </c>
      <c r="AA95" s="12" cm="1">
        <f t="array" ref="AA95">_xlfn.SWITCH(AA$4, 0,0, 1, AJ95,2,AL95,3,AN95,0)+Z95</f>
        <v>0</v>
      </c>
      <c r="AB95" s="12" cm="1">
        <f t="array" ref="AB95">_xlfn.SWITCH(AB$4, 0,0, 1, AJ95,2,AL95,3,AN95,0)+AA95</f>
        <v>0</v>
      </c>
      <c r="AC95" s="12" cm="1">
        <f t="array" ref="AC95">_xlfn.SWITCH(AC$4, 0,0, 1, AJ95,2,AL95,3,AN95,0)+AB95</f>
        <v>0</v>
      </c>
      <c r="AD95" s="12" cm="1">
        <f t="array" ref="AD95">_xlfn.SWITCH(AD$4, 0,0, 1, AJ95,2,AL95,3,AN95,0)+AC95</f>
        <v>0</v>
      </c>
      <c r="AE95" s="12" cm="1">
        <f t="array" ref="AE95">_xlfn.SWITCH(AE$4, 0,0, 1, AJ95,2,AL95,3,AN95,0)+AD95</f>
        <v>0</v>
      </c>
      <c r="AF95" s="12" cm="1">
        <f t="array" ref="AF95">_xlfn.SWITCH(AF$4, 0,0, 1, AJ95,2,AL95,3,AN95,0)+AE95</f>
        <v>0</v>
      </c>
      <c r="AG95" s="12" cm="1">
        <f t="array" ref="AG95">_xlfn.SWITCH(AG$4, 0,0, 1, AJ95,2,AL95,3,AN95,0)+AF95</f>
        <v>0</v>
      </c>
      <c r="AI95" t="s">
        <v>1303</v>
      </c>
      <c r="AJ95">
        <f>_xlfn.XLOOKUP(AI95,'KPI Impacts'!$K$2:$Q$2,'KPI Impacts'!$K95:$Q95)</f>
        <v>0</v>
      </c>
      <c r="AK95" t="s">
        <v>1303</v>
      </c>
      <c r="AL95">
        <f>_xlfn.XLOOKUP(AK95,'KPI Impacts'!$K$2:$Q$2,'KPI Impacts'!$K95:$Q95)</f>
        <v>0</v>
      </c>
      <c r="AM95" t="s">
        <v>1303</v>
      </c>
      <c r="AN95">
        <f>_xlfn.XLOOKUP(AM95,'KPI Impacts'!$K$2:$Q$2,'KPI Impacts'!$K95:$Q95)</f>
        <v>0</v>
      </c>
      <c r="AQ95" s="12" cm="1">
        <f t="array" ref="AQ95">_xlfn.SWITCH(AQ$4, 0,0, 1, BB95,2,BD95,3,BF95,0)</f>
        <v>0</v>
      </c>
      <c r="AR95" s="12" cm="1">
        <f t="array" ref="AR95">_xlfn.SWITCH(AR$4, 0,0, 1, BB95,2,BD95,3,BF95,0)+AQ95</f>
        <v>0</v>
      </c>
      <c r="AS95" s="12" cm="1">
        <f t="array" ref="AS95">_xlfn.SWITCH(AS$4, 0,0, 1, BB95,2,BD95,3,BF95,0)+AR95</f>
        <v>0</v>
      </c>
      <c r="AT95" s="12" cm="1">
        <f t="array" ref="AT95">_xlfn.SWITCH(AT$4, 0,0, 1, BB95,2,BD95,3,BF95,0)+AS95</f>
        <v>0</v>
      </c>
      <c r="AU95" s="12" cm="1">
        <f t="array" ref="AU95">_xlfn.SWITCH(AU$4, 0,0, 1, BB95,2,BD95,3,BF95,0)+AT95</f>
        <v>0</v>
      </c>
      <c r="AV95" s="12" cm="1">
        <f t="array" ref="AV95">_xlfn.SWITCH(AV$4, 0,0, 1, BB95,2,BD95,3,BF95,0)+AU95</f>
        <v>0</v>
      </c>
      <c r="AW95" s="12" cm="1">
        <f t="array" ref="AW95">_xlfn.SWITCH(AW$4, 0,0, 1, BB95,2,BD95,3,BF95,0)+AV95</f>
        <v>0</v>
      </c>
      <c r="AX95" s="12" cm="1">
        <f t="array" ref="AX95">_xlfn.SWITCH(AX$4, 0,0, 1, BB95,2,BD95,3,BF95,0)+AW95</f>
        <v>0</v>
      </c>
      <c r="AY95" s="12" cm="1">
        <f t="array" ref="AY95">_xlfn.SWITCH(AY$4, 0,0, 1, BB95,2,BD95,3,BF95,0)+AX95</f>
        <v>0</v>
      </c>
      <c r="BA95" t="s">
        <v>1303</v>
      </c>
      <c r="BB95">
        <f>_xlfn.XLOOKUP(BA95,'KPI Impacts'!$K$2:$Q$2,'KPI Impacts'!$K95:$Q95)</f>
        <v>0</v>
      </c>
      <c r="BC95" t="s">
        <v>1303</v>
      </c>
      <c r="BD95">
        <f>_xlfn.XLOOKUP(BC95,'KPI Impacts'!$K$2:$Q$2,'KPI Impacts'!$K95:$Q95)</f>
        <v>0</v>
      </c>
      <c r="BE95" t="s">
        <v>1303</v>
      </c>
      <c r="BF95">
        <f>_xlfn.XLOOKUP(BE95,'KPI Impacts'!$K$2:$Q$2,'KPI Impacts'!$K95:$Q95)</f>
        <v>0</v>
      </c>
      <c r="BI95" s="12">
        <f>BI$22*BT95</f>
        <v>0</v>
      </c>
      <c r="BJ95" s="12">
        <f>BJ$22 * IF(AND(BI$5=1,BI$20=1), BV95, BT95)</f>
        <v>0</v>
      </c>
      <c r="BK95" s="12">
        <f>BK$22 * IF(AND(BJ$5=1,BI$20=1), BV95, BT95)</f>
        <v>0</v>
      </c>
      <c r="BL95" s="12">
        <f>BL$22 * IF(AND(BK$5=1,BI$20=1), BV95, BT95)</f>
        <v>0</v>
      </c>
      <c r="BM95" s="12">
        <f>BM$22 * IF(AND(BL$5=1,BI$20=1), BV95, BT95)</f>
        <v>0</v>
      </c>
      <c r="BN95" s="12">
        <f>BN$22 * IF(AND(BM$5=1,BI$20=1), BV95, BT95)</f>
        <v>0</v>
      </c>
      <c r="BO95" s="12">
        <f>BO$22 * IF(AND(BN$5=1,BI$20=1), BV95, BT95)</f>
        <v>0</v>
      </c>
      <c r="BP95" s="12">
        <f>BP$22 * IF(AND(BO$5=1,BI$20=1), BV95, BT95)</f>
        <v>0</v>
      </c>
      <c r="BQ95" s="12">
        <f>BQ$22 * IF(AND(BP$5=1,BI$20=1), BV95, BT95)</f>
        <v>0</v>
      </c>
      <c r="BS95" s="16" t="s">
        <v>1303</v>
      </c>
      <c r="BT95">
        <f>_xlfn.XLOOKUP(BS95,'KPI Impacts'!$B$2:$H$2,'KPI Impacts'!$B95:$H95)</f>
        <v>0</v>
      </c>
      <c r="BU95" s="35" t="s">
        <v>1303</v>
      </c>
      <c r="BV95">
        <f>_xlfn.XLOOKUP(BU95,'KPI Impacts'!$B$2:$H$2,'KPI Impacts'!$B95:$H95)</f>
        <v>0</v>
      </c>
      <c r="BY95" s="12">
        <f>BY$22*CJ95</f>
        <v>0</v>
      </c>
      <c r="BZ95" s="12">
        <f>BZ$22 * IF(AND(BY$5=1,BY$20=1), CL95, CJ95)</f>
        <v>0</v>
      </c>
      <c r="CA95" s="12">
        <f>CA$22 * IF(AND(BZ$5=1,BY$20=1), CL95, CJ95)</f>
        <v>0</v>
      </c>
      <c r="CB95" s="12">
        <f>CB$22 * IF(AND(CA$5=1,BY$20=1), CL95, CJ95)</f>
        <v>0</v>
      </c>
      <c r="CC95" s="12">
        <f>CC$22 * IF(AND(CB$5=1,BY$20=1), CL95, CJ95)</f>
        <v>0</v>
      </c>
      <c r="CD95" s="12">
        <f>CD$22 * IF(AND(CC$5=1,BY$20=1), CL95, CJ95)</f>
        <v>0</v>
      </c>
      <c r="CE95" s="12">
        <f>CE$22 * IF(AND(CD$5=1,BY$20=1), CL95, CJ95)</f>
        <v>0</v>
      </c>
      <c r="CF95" s="12">
        <f>CF$22 * IF(AND(CE$5=1,BY$20=1), CL95, CJ95)</f>
        <v>0</v>
      </c>
      <c r="CG95" s="12">
        <f>CG$22 * IF(AND(CF$5=1,BY$20=1), CL95, CJ95)</f>
        <v>0</v>
      </c>
      <c r="CI95" s="16" t="s">
        <v>1303</v>
      </c>
      <c r="CJ95">
        <f>_xlfn.XLOOKUP(CI95,'KPI Impacts'!$B$2:$H$2,'KPI Impacts'!$B95:$H95)</f>
        <v>0</v>
      </c>
      <c r="CK95" s="35" t="s">
        <v>1303</v>
      </c>
      <c r="CL95">
        <f>_xlfn.XLOOKUP(CK95,'KPI Impacts'!$B$2:$H$2,'KPI Impacts'!$B95:$H95)</f>
        <v>0</v>
      </c>
      <c r="CO95" s="12">
        <f>CO$22*CZ95</f>
        <v>0</v>
      </c>
      <c r="CP95" s="12">
        <f>CP$22 * IF(AND(CO$5=1,CO$20=1), DB95, CZ95)</f>
        <v>0</v>
      </c>
      <c r="CQ95" s="12">
        <f>CQ$22 * IF(AND(CP$5=1,CO$20=1), DB95, CZ95)</f>
        <v>0</v>
      </c>
      <c r="CR95" s="12">
        <f>CR$22 * IF(AND(CQ$5=1,CO$20=1), DB95, CZ95)</f>
        <v>0</v>
      </c>
      <c r="CS95" s="12">
        <f>CS$22 * IF(AND(CR$5=1,CO$20=1), DB95, CZ95)</f>
        <v>0</v>
      </c>
      <c r="CT95" s="12">
        <f>CT$22 * IF(AND(CS$5=1,CO$20=1), DB95, CZ95)</f>
        <v>0</v>
      </c>
      <c r="CU95" s="12">
        <f>CU$22 * IF(AND(CT$5=1,CO$20=1), DB95, CZ95)</f>
        <v>0</v>
      </c>
      <c r="CV95" s="12">
        <f>CV$22 * IF(AND(CU$5=1,CO$20=1), DB95, CZ95)</f>
        <v>0</v>
      </c>
      <c r="CW95" s="12">
        <f>CW$22 * IF(AND(CV$5=1,CO$20=1), DB95, CZ95)</f>
        <v>0</v>
      </c>
      <c r="CY95" s="16" t="s">
        <v>1303</v>
      </c>
      <c r="CZ95">
        <f>_xlfn.XLOOKUP(CY95,'KPI Impacts'!$B$2:$H$2,'KPI Impacts'!$B95:$H95)</f>
        <v>0</v>
      </c>
      <c r="DA95" s="35" t="s">
        <v>1303</v>
      </c>
      <c r="DB95">
        <f>_xlfn.XLOOKUP(DA95,'KPI Impacts'!$B$2:$H$2,'KPI Impacts'!$B95:$H95)</f>
        <v>0</v>
      </c>
      <c r="DE95" s="12">
        <f>DE$22*DP95</f>
        <v>0</v>
      </c>
      <c r="DF95" s="12">
        <f>DF$22 * IF(AND(DE$5=1,DE$20=1), DR95, DP95)</f>
        <v>0</v>
      </c>
      <c r="DG95" s="12">
        <f>DG$22 * IF(AND(DF$5=1,DE$20=1), DR95, DP95)</f>
        <v>0</v>
      </c>
      <c r="DH95" s="12">
        <f>DH$22 * IF(AND(DG$5=1,DE$20=1), DR95, DP95)</f>
        <v>0</v>
      </c>
      <c r="DI95" s="12">
        <f>DI$22 * IF(AND(DH$5=1,DE$20=1), DR95, DP95)</f>
        <v>0</v>
      </c>
      <c r="DJ95" s="12">
        <f>DJ$22 * IF(AND(DI$5=1,DE$20=1), DR95, DP95)</f>
        <v>0</v>
      </c>
      <c r="DK95" s="12">
        <f>DK$22 * IF(AND(DJ$5=1,DE$20=1), DR95, DP95)</f>
        <v>0</v>
      </c>
      <c r="DL95" s="12">
        <f>DL$22 * IF(AND(DK$5=1,DE$20=1), DR95, DP95)</f>
        <v>0</v>
      </c>
      <c r="DM95" s="12">
        <f>DM$22 * IF(AND(DL$5=1,DE$20=1), DR95, DP95)</f>
        <v>0</v>
      </c>
      <c r="DO95" s="16" t="s">
        <v>1303</v>
      </c>
      <c r="DP95">
        <f>_xlfn.XLOOKUP(DO95,'KPI Impacts'!$B$2:$H$2,'KPI Impacts'!$B95:$H95)</f>
        <v>0</v>
      </c>
      <c r="DQ95" s="35" t="s">
        <v>1303</v>
      </c>
      <c r="DR95">
        <f>_xlfn.XLOOKUP(DQ95,'KPI Impacts'!$B$2:$H$2,'KPI Impacts'!$B95:$H95)</f>
        <v>0</v>
      </c>
      <c r="DU95" s="12">
        <f>DU$22*EF95</f>
        <v>0</v>
      </c>
      <c r="DV95" s="12">
        <f>DV$22 * IF(AND(DU$5=1,DU$20=1), EH95, EF95)</f>
        <v>0</v>
      </c>
      <c r="DW95" s="12">
        <f>DW$22 * IF(AND(DV$5=1,DU$20=1), EH95, EF95)</f>
        <v>0</v>
      </c>
      <c r="DX95" s="12">
        <f>DX$22 * IF(AND(DW$5=1,DU$20=1), EH95, EF95)</f>
        <v>0</v>
      </c>
      <c r="DY95" s="12">
        <f>DY$22 * IF(AND(DX$5=1,DU$20=1), EH95, EF95)</f>
        <v>0</v>
      </c>
      <c r="DZ95" s="12">
        <f>DZ$22 * IF(AND(DY$5=1,DU$20=1), EH95, EF95)</f>
        <v>0</v>
      </c>
      <c r="EA95" s="12">
        <f>EA$22 * IF(AND(DZ$5=1,DU$20=1), EH95, EF95)</f>
        <v>0</v>
      </c>
      <c r="EB95" s="12">
        <f>EB$22 * IF(AND(EA$5=1,DU$20=1), EH95, EF95)</f>
        <v>0</v>
      </c>
      <c r="EC95" s="12">
        <f>EC$22 * IF(AND(EB$5=1,DU$20=1), EH95, EF95)</f>
        <v>0</v>
      </c>
      <c r="EE95" s="16" t="s">
        <v>1303</v>
      </c>
      <c r="EF95">
        <f>_xlfn.XLOOKUP(EE95,'KPI Impacts'!$B$2:$H$2,'KPI Impacts'!$B95:$H95)</f>
        <v>0</v>
      </c>
      <c r="EG95" s="35" t="s">
        <v>1303</v>
      </c>
      <c r="EH95">
        <f>_xlfn.XLOOKUP(EG95,'KPI Impacts'!$B$2:$H$2,'KPI Impacts'!$B95:$H95)</f>
        <v>0</v>
      </c>
      <c r="EK95" s="12">
        <f>EK$22*EV95</f>
        <v>0</v>
      </c>
      <c r="EL95" s="12">
        <f>EL$22 * IF(AND(EK$5=1,EK$20=1), EX95, EV95)</f>
        <v>0</v>
      </c>
      <c r="EM95" s="12">
        <f>EM$22 * IF(AND(EL$5=1,EK$20=1), EX95, EV95)</f>
        <v>0</v>
      </c>
      <c r="EN95" s="12">
        <f>EN$22 * IF(AND(EM$5=1,EK$20=1), EX95, EV95)</f>
        <v>0</v>
      </c>
      <c r="EO95" s="12">
        <f>EO$22 * IF(AND(EN$5=1,EK$20=1), EX95, EV95)</f>
        <v>0</v>
      </c>
      <c r="EP95" s="12">
        <f>EP$22 * IF(AND(EO$5=1,EK$20=1), EX95, EV95)</f>
        <v>0</v>
      </c>
      <c r="EQ95" s="12">
        <f>EQ$22 * IF(AND(EP$5=1,EK$20=1), EX95, EV95)</f>
        <v>0</v>
      </c>
      <c r="ER95" s="12">
        <f>ER$22 * IF(AND(EQ$5=1,EK$20=1), EX95, EV95)</f>
        <v>0</v>
      </c>
      <c r="ES95" s="12">
        <f>ES$22 * IF(AND(ER$5=1,EK$20=1), EX95, EV95)</f>
        <v>0</v>
      </c>
      <c r="EU95" s="16" t="s">
        <v>1303</v>
      </c>
      <c r="EV95">
        <f>_xlfn.XLOOKUP(EU95,'KPI Impacts'!$B$2:$H$2,'KPI Impacts'!$B95:$H95)</f>
        <v>0</v>
      </c>
      <c r="EW95" s="35" t="s">
        <v>1303</v>
      </c>
      <c r="EX95">
        <f>_xlfn.XLOOKUP(EW95,'KPI Impacts'!$B$2:$H$2,'KPI Impacts'!$B95:$H95)</f>
        <v>0</v>
      </c>
      <c r="FA95" s="12">
        <f>FA$22*FL95</f>
        <v>0</v>
      </c>
      <c r="FB95" s="12">
        <f>FB$22 * IF(AND(FA$5=1,FA$20=1), FN95, FL95)</f>
        <v>0</v>
      </c>
      <c r="FC95" s="12">
        <f>FC$22 * IF(AND(FB$5=1,FA$20=1), FN95, FL95)</f>
        <v>0</v>
      </c>
      <c r="FD95" s="12">
        <f>FD$22 * IF(AND(FC$5=1,FA$20=1), FN95, FL95)</f>
        <v>0</v>
      </c>
      <c r="FE95" s="12">
        <f>FE$22 * IF(AND(FD$5=1,FA$20=1), FN95, FL95)</f>
        <v>0</v>
      </c>
      <c r="FF95" s="12">
        <f>FF$22 * IF(AND(FE$5=1,FA$20=1), FN95, FL95)</f>
        <v>0</v>
      </c>
      <c r="FG95" s="12">
        <f>FG$22 * IF(AND(FF$5=1,FA$20=1), FN95, FL95)</f>
        <v>0</v>
      </c>
      <c r="FH95" s="12">
        <f>FH$22 * IF(AND(FG$5=1,FA$20=1), FN95, FL95)</f>
        <v>0</v>
      </c>
      <c r="FI95" s="12">
        <f>FI$22 * IF(AND(FH$5=1,FA$20=1), FN95, FL95)</f>
        <v>0</v>
      </c>
      <c r="FK95" s="16" t="s">
        <v>1303</v>
      </c>
      <c r="FL95">
        <f>_xlfn.XLOOKUP(FK95,'KPI Impacts'!$B$2:$H$2,'KPI Impacts'!$B95:$H95)</f>
        <v>0</v>
      </c>
      <c r="FM95" s="16" t="s">
        <v>1303</v>
      </c>
      <c r="FN95">
        <f>_xlfn.XLOOKUP(FM95,'KPI Impacts'!$B$2:$H$2,'KPI Impacts'!$B95:$H95)</f>
        <v>0</v>
      </c>
      <c r="FQ95" s="12">
        <f>FQ$22*GB95</f>
        <v>0</v>
      </c>
      <c r="FR95" s="12">
        <f>FR$22 * IF(AND(FQ$5=1,FQ$20=1), GD95, GB95)</f>
        <v>0</v>
      </c>
      <c r="FS95" s="12">
        <f>FS$22 * IF(AND(FR$5=1,FQ$20=1), GD95, GB95)</f>
        <v>0</v>
      </c>
      <c r="FT95" s="12">
        <f>FT$22 * IF(AND(FS$5=1,FQ$20=1), GD95, GB95)</f>
        <v>0</v>
      </c>
      <c r="FU95" s="12">
        <f>FU$22 * IF(AND(FT$5=1,FQ$20=1), GD95, GB95)</f>
        <v>0</v>
      </c>
      <c r="FV95" s="12">
        <f>FV$22 * IF(AND(FU$5=1,FQ$20=1), GD95, GB95)</f>
        <v>0</v>
      </c>
      <c r="FW95" s="12">
        <f>FW$22 * IF(AND(FV$5=1,FQ$20=1), GD95, GB95)</f>
        <v>0</v>
      </c>
      <c r="FX95" s="12">
        <f>FX$22 * IF(AND(FW$5=1,FQ$20=1), GD95, GB95)</f>
        <v>0</v>
      </c>
      <c r="FY95" s="12">
        <f>FY$22 * IF(AND(FX$5=1,FQ$20=1), GD95, GB95)</f>
        <v>0</v>
      </c>
      <c r="GA95" s="16" t="s">
        <v>1303</v>
      </c>
      <c r="GB95">
        <f>_xlfn.XLOOKUP(GA95,'KPI Impacts'!$B$2:$H$2,'KPI Impacts'!$B95:$H95)</f>
        <v>0</v>
      </c>
      <c r="GC95" s="9" t="s">
        <v>1303</v>
      </c>
      <c r="GD95">
        <f>_xlfn.XLOOKUP(GC95,'KPI Impacts'!$B$2:$H$2,'KPI Impacts'!$B95:$H95)</f>
        <v>0</v>
      </c>
      <c r="GG95" s="12">
        <f>GG$22*GR95</f>
        <v>0</v>
      </c>
      <c r="GH95" s="12">
        <f>GH$22 * IF(AND(GG$5=1,GG$20=1), GT95, GR95)</f>
        <v>0</v>
      </c>
      <c r="GI95" s="12">
        <f>GI$22 * IF(AND(GH$5=1,GG$20=1), GT95, GR95)</f>
        <v>0</v>
      </c>
      <c r="GJ95" s="12">
        <f>GJ$22 * IF(AND(GI$5=1,GG$20=1), GT95, GR95)</f>
        <v>0</v>
      </c>
      <c r="GK95" s="12">
        <f>GK$22 * IF(AND(GJ$5=1,GG$20=1), GT95, GR95)</f>
        <v>0</v>
      </c>
      <c r="GL95" s="12">
        <f>GL$22 * IF(AND(GK$5=1,GG$20=1), GT95, GR95)</f>
        <v>0</v>
      </c>
      <c r="GM95" s="12">
        <f>GM$22 * IF(AND(GL$5=1,GG$20=1), GT95, GR95)</f>
        <v>0</v>
      </c>
      <c r="GN95" s="12">
        <f>GN$22 * IF(AND(GM$5=1,GG$20=1), GT95, GR95)</f>
        <v>0</v>
      </c>
      <c r="GO95" s="12">
        <f>GO$22 * IF(AND(GN$5=1,GG$20=1), GT95, GR95)</f>
        <v>0</v>
      </c>
      <c r="GQ95" s="16" t="s">
        <v>1303</v>
      </c>
      <c r="GR95">
        <f>_xlfn.XLOOKUP(GQ95,'KPI Impacts'!$B$2:$H$2,'KPI Impacts'!$B95:$H95)</f>
        <v>0</v>
      </c>
      <c r="GS95" s="9" t="s">
        <v>1303</v>
      </c>
      <c r="GT95">
        <f>_xlfn.XLOOKUP(GS95,'KPI Impacts'!$B$2:$H$2,'KPI Impacts'!$B95:$H95)</f>
        <v>0</v>
      </c>
      <c r="GW95" s="12">
        <f>GW$22*HH95</f>
        <v>0</v>
      </c>
      <c r="GX95" s="12">
        <f>GX$22 * IF(AND(GW$5=1,GW$20=1), HJ95, HH95)</f>
        <v>0</v>
      </c>
      <c r="GY95" s="12">
        <f>GY$22 * IF(AND(GX$5=1,GW$20=1), HJ95, HH95)</f>
        <v>0</v>
      </c>
      <c r="GZ95" s="12">
        <f>GZ$22 * IF(AND(GY$5=1,GW$20=1), HJ95, HH95)</f>
        <v>0</v>
      </c>
      <c r="HA95" s="12">
        <f>HA$22 * IF(AND(GZ$5=1,GW$20=1), HJ95, HH95)</f>
        <v>0</v>
      </c>
      <c r="HB95" s="12">
        <f>HB$22 * IF(AND(HA$5=1,GW$20=1), HJ95, HH95)</f>
        <v>0</v>
      </c>
      <c r="HC95" s="12">
        <f>HC$22 * IF(AND(HB$5=1,GW$20=1), HJ95, HH95)</f>
        <v>0</v>
      </c>
      <c r="HD95" s="12">
        <f>HD$22 * IF(AND(HC$5=1,GW$20=1), HJ95, HH95)</f>
        <v>0</v>
      </c>
      <c r="HE95" s="12">
        <f>HE$22 * IF(AND(HD$5=1,GW$20=1), HJ95, HH95)</f>
        <v>0</v>
      </c>
      <c r="HG95" s="16" t="s">
        <v>1303</v>
      </c>
      <c r="HH95">
        <f>_xlfn.XLOOKUP(HG95,'KPI Impacts'!$B$2:$H$2,'KPI Impacts'!$B95:$H95)</f>
        <v>0</v>
      </c>
      <c r="HI95" s="9" t="s">
        <v>1303</v>
      </c>
      <c r="HJ95">
        <f>_xlfn.XLOOKUP(HI95,'KPI Impacts'!$B$2:$H$2,'KPI Impacts'!$B95:$H95)</f>
        <v>0</v>
      </c>
      <c r="HM95" s="12">
        <f>HM$22*HX95</f>
        <v>0</v>
      </c>
      <c r="HN95" s="12">
        <f>HN$22 * IF(AND(HM$5=1,HM$20=1), HZ95, HX95)</f>
        <v>0</v>
      </c>
      <c r="HO95" s="12">
        <f>HO$22 * IF(AND(HN$5=1,HM$20=1), HZ95, HX95)</f>
        <v>0</v>
      </c>
      <c r="HP95" s="12">
        <f>HP$22 * IF(AND(HO$5=1,HM$20=1), HZ95, HX95)</f>
        <v>0</v>
      </c>
      <c r="HQ95" s="12">
        <f>HQ$22 * IF(AND(HP$5=1,HM$20=1), HZ95, HX95)</f>
        <v>0</v>
      </c>
      <c r="HR95" s="12">
        <f>HR$22 * IF(AND(HQ$5=1,HM$20=1), HZ95, HX95)</f>
        <v>0</v>
      </c>
      <c r="HS95" s="12">
        <f>HS$22 * IF(AND(HR$5=1,HM$20=1), HZ95, HX95)</f>
        <v>0</v>
      </c>
      <c r="HT95" s="12">
        <f>HT$22 * IF(AND(HS$5=1,HM$20=1), HZ95, HX95)</f>
        <v>0</v>
      </c>
      <c r="HU95" s="12">
        <f>HU$22 * IF(AND(HT$5=1,HM$20=1), HZ95, HX95)</f>
        <v>0</v>
      </c>
      <c r="HW95" s="16" t="s">
        <v>1303</v>
      </c>
      <c r="HX95">
        <f>_xlfn.XLOOKUP(HW95,'KPI Impacts'!$B$2:$H$2,'KPI Impacts'!$B95:$H95)</f>
        <v>0</v>
      </c>
      <c r="HY95" s="9" t="s">
        <v>1303</v>
      </c>
      <c r="HZ95">
        <f>_xlfn.XLOOKUP(HY95,'KPI Impacts'!$B$2:$H$2,'KPI Impacts'!$B95:$H95)</f>
        <v>0</v>
      </c>
      <c r="IC95" s="12">
        <f>IC$22*IN95</f>
        <v>0</v>
      </c>
      <c r="ID95" s="12">
        <f>ID$22 * IF(AND(IC$5=1,IC$20=1), IP95, IN95)</f>
        <v>0</v>
      </c>
      <c r="IE95" s="12">
        <f>IE$22 * IF(AND(ID$5=1,IC$20=1), IP95, IN95)</f>
        <v>0</v>
      </c>
      <c r="IF95" s="12">
        <f>IF$22 * IF(AND(IE$5=1,IC$20=1), IP95, IN95)</f>
        <v>0</v>
      </c>
      <c r="IG95" s="12">
        <f>IG$22 * IF(AND(IF$5=1,IC$20=1), IP95, IN95)</f>
        <v>0</v>
      </c>
      <c r="IH95" s="12">
        <f>IH$22 * IF(AND(IG$5=1,IC$20=1), IP95, IN95)</f>
        <v>0</v>
      </c>
      <c r="II95" s="12">
        <f>II$22 * IF(AND(IH$5=1,IC$20=1), IP95, IN95)</f>
        <v>0</v>
      </c>
      <c r="IJ95" s="12">
        <f>IJ$22 * IF(AND(II$5=1,IC$20=1), IP95, IN95)</f>
        <v>0</v>
      </c>
      <c r="IK95" s="12">
        <f>IK$22 * IF(AND(IJ$5=1,IC$20=1), IP95, IN95)</f>
        <v>0</v>
      </c>
      <c r="IM95" s="16" t="s">
        <v>1303</v>
      </c>
      <c r="IN95">
        <f>_xlfn.XLOOKUP(IM95,'KPI Impacts'!$B$2:$H$2,'KPI Impacts'!$B95:$H95)</f>
        <v>0</v>
      </c>
      <c r="IO95" s="9" t="s">
        <v>1303</v>
      </c>
      <c r="IP95">
        <f>_xlfn.XLOOKUP(IO95,'KPI Impacts'!$B$2:$H$2,'KPI Impacts'!$B95:$H95)</f>
        <v>0</v>
      </c>
      <c r="IS95" s="12">
        <f>IS$22*JD95</f>
        <v>0</v>
      </c>
      <c r="IT95" s="12">
        <f>IT$22 * IF(AND(IS$5=1,IS$20=1), JF95, JD95)</f>
        <v>0</v>
      </c>
      <c r="IU95" s="12">
        <f>IU$22 * IF(AND(IT$5=1,IS$20=1), JF95, JD95)</f>
        <v>0</v>
      </c>
      <c r="IV95" s="12">
        <f>IV$22 * IF(AND(IU$5=1,IS$20=1), JF95, JD95)</f>
        <v>0</v>
      </c>
      <c r="IW95" s="12">
        <f>IW$22 * IF(AND(IV$5=1,IS$20=1), JF95, JD95)</f>
        <v>0</v>
      </c>
      <c r="IX95" s="12">
        <f>IX$22 * IF(AND(IW$5=1,IS$20=1), JF95, JD95)</f>
        <v>0</v>
      </c>
      <c r="IY95" s="12">
        <f>IY$22 * IF(AND(IX$5=1,IS$20=1), JF95, JD95)</f>
        <v>0</v>
      </c>
      <c r="IZ95" s="12">
        <f>IZ$22 * IF(AND(IY$5=1,IS$20=1), JF95, JD95)</f>
        <v>0</v>
      </c>
      <c r="JA95" s="12">
        <f>JA$22 * IF(AND(IZ$5=1,IS$20=1), JF95, JD95)</f>
        <v>0</v>
      </c>
      <c r="JC95" t="s">
        <v>1303</v>
      </c>
      <c r="JD95">
        <f>_xlfn.XLOOKUP(JC95,'KPI Impacts'!$B$2:$H$2,'KPI Impacts'!$B95:$H95)</f>
        <v>0</v>
      </c>
      <c r="JE95" s="9" t="s">
        <v>1303</v>
      </c>
      <c r="JF95">
        <f>_xlfn.XLOOKUP(JE95,'KPI Impacts'!$B$2:$H$2,'KPI Impacts'!$B95:$H95)</f>
        <v>0</v>
      </c>
      <c r="JI95" s="12">
        <f>JI$22*JT95</f>
        <v>0</v>
      </c>
      <c r="JJ95" s="12">
        <f>JJ$22 * IF(AND(JI$5=1,JI$20=1), JV95, JT95)</f>
        <v>0</v>
      </c>
      <c r="JK95" s="12">
        <f>JK$22 * IF(AND(JJ$5=1,JI$20=1), JV95, JT95)</f>
        <v>0</v>
      </c>
      <c r="JL95" s="12">
        <f>JL$22 * IF(AND(JK$5=1,JI$20=1), JV95, JT95)</f>
        <v>0</v>
      </c>
      <c r="JM95" s="12">
        <f>JM$22 * IF(AND(JL$5=1,JI$20=1), JV95, JT95)</f>
        <v>0</v>
      </c>
      <c r="JN95" s="12">
        <f>JN$22 * IF(AND(JM$5=1,JI$20=1), JV95, JT95)</f>
        <v>0</v>
      </c>
      <c r="JO95" s="12">
        <f>JO$22 * IF(AND(JN$5=1,JI$20=1), JV95, JT95)</f>
        <v>0</v>
      </c>
      <c r="JP95" s="12">
        <f>JP$22 * IF(AND(JO$5=1,JI$20=1), JV95, JT95)</f>
        <v>0</v>
      </c>
      <c r="JQ95" s="12">
        <f>JQ$22 * IF(AND(JP$5=1,JI$20=1), JV95, JT95)</f>
        <v>0</v>
      </c>
      <c r="JS95" t="s">
        <v>1303</v>
      </c>
      <c r="JT95">
        <f>_xlfn.XLOOKUP(JS95,'KPI Impacts'!$B$2:$H$2,'KPI Impacts'!$B95:$H95)</f>
        <v>0</v>
      </c>
      <c r="JU95" s="9" t="s">
        <v>1303</v>
      </c>
      <c r="JV95">
        <f>_xlfn.XLOOKUP(JU95,'KPI Impacts'!$B$2:$H$2,'KPI Impacts'!$B95:$H95)</f>
        <v>0</v>
      </c>
      <c r="JY95" s="12">
        <f>JY$22*KJ95</f>
        <v>0</v>
      </c>
      <c r="JZ95" s="12">
        <f>JZ$22 * IF(AND(JY$5=1,JY$20=1), KL95, KJ95)</f>
        <v>0</v>
      </c>
      <c r="KA95" s="12">
        <f>KA$22 * IF(AND(JZ$5=1,JY$20=1), KL95, KJ95)</f>
        <v>0</v>
      </c>
      <c r="KB95" s="12">
        <f>KB$22 * IF(AND(KA$5=1,JY$20=1), KL95, KJ95)</f>
        <v>0</v>
      </c>
      <c r="KC95" s="12">
        <f>KC$22 * IF(AND(KB$5=1,JY$20=1), KL95, KJ95)</f>
        <v>0</v>
      </c>
      <c r="KD95" s="12">
        <f>KD$22 * IF(AND(KC$5=1,JY$20=1), KL95, KJ95)</f>
        <v>0</v>
      </c>
      <c r="KE95" s="12">
        <f>KE$22 * IF(AND(KD$5=1,JY$20=1), KL95, KJ95)</f>
        <v>0</v>
      </c>
      <c r="KF95" s="12">
        <f>KF$22 * IF(AND(KE$5=1,JY$20=1), KL95, KJ95)</f>
        <v>0</v>
      </c>
      <c r="KG95" s="12">
        <f>KG$22 * IF(AND(KF$5=1,JY$20=1), KL95, KJ95)</f>
        <v>0</v>
      </c>
      <c r="KI95" t="s">
        <v>1303</v>
      </c>
      <c r="KJ95">
        <f>_xlfn.XLOOKUP(KI95,'KPI Impacts'!$B$2:$H$2,'KPI Impacts'!$B95:$H95)</f>
        <v>0</v>
      </c>
      <c r="KK95" s="9" t="s">
        <v>1303</v>
      </c>
      <c r="KL95">
        <f>_xlfn.XLOOKUP(KK95,'KPI Impacts'!$B$2:$H$2,'KPI Impacts'!$B95:$H95)</f>
        <v>0</v>
      </c>
      <c r="KO95" s="12">
        <f>KO$22*KZ95</f>
        <v>0</v>
      </c>
      <c r="KP95" s="12">
        <f>KP$22 * IF(AND(KO$5=1,KO$20=1), LB95, KZ95)</f>
        <v>0</v>
      </c>
      <c r="KQ95" s="12">
        <f>KQ$22 * IF(AND(KP$5=1,KO$20=1), LB95, KZ95)</f>
        <v>0</v>
      </c>
      <c r="KR95" s="12">
        <f>KR$22 * IF(AND(KQ$5=1,KO$20=1), LB95, KZ95)</f>
        <v>0</v>
      </c>
      <c r="KS95" s="12">
        <f>KS$22 * IF(AND(KR$5=1,KO$20=1), LB95, KZ95)</f>
        <v>0</v>
      </c>
      <c r="KT95" s="12">
        <f>KT$22 * IF(AND(KS$5=1,KO$20=1), LB95, KZ95)</f>
        <v>0</v>
      </c>
      <c r="KU95" s="12">
        <f>KU$22 * IF(AND(KT$5=1,KO$20=1), LB95, KZ95)</f>
        <v>0</v>
      </c>
      <c r="KV95" s="12">
        <f>KV$22 * IF(AND(KU$5=1,KO$20=1), LB95, KZ95)</f>
        <v>0</v>
      </c>
      <c r="KW95" s="12">
        <f>KW$22 * IF(AND(KV$5=1,KO$20=1), LB95, KZ95)</f>
        <v>0</v>
      </c>
      <c r="KY95" t="s">
        <v>1303</v>
      </c>
      <c r="KZ95">
        <f>_xlfn.XLOOKUP(KY95,'KPI Impacts'!$B$2:$H$2,'KPI Impacts'!$B95:$H95)</f>
        <v>0</v>
      </c>
      <c r="LA95" s="9" t="s">
        <v>1303</v>
      </c>
      <c r="LB95">
        <f>_xlfn.XLOOKUP(LA95,'KPI Impacts'!$B$2:$H$2,'KPI Impacts'!$B95:$H95)</f>
        <v>0</v>
      </c>
      <c r="LE95" s="12">
        <f>LE$22*LP95</f>
        <v>0</v>
      </c>
      <c r="LF95" s="12">
        <f>LF$22 * IF(AND(LE$5=1,LE$20=1), LR95, LP95)</f>
        <v>0</v>
      </c>
      <c r="LG95" s="12">
        <f>LG$22 * IF(AND(LF$5=1,LE$20=1), LR95, LP95)</f>
        <v>0</v>
      </c>
      <c r="LH95" s="12">
        <f>LH$22 * IF(AND(LG$5=1,LE$20=1), LR95, LP95)</f>
        <v>0</v>
      </c>
      <c r="LI95" s="12">
        <f>LI$22 * IF(AND(LH$5=1,LE$20=1), LR95, LP95)</f>
        <v>0</v>
      </c>
      <c r="LJ95" s="12">
        <f>LJ$22 * IF(AND(LI$5=1,LE$20=1), LR95, LP95)</f>
        <v>0</v>
      </c>
      <c r="LK95" s="12">
        <f>LK$22 * IF(AND(LJ$5=1,LE$20=1), LR95, LP95)</f>
        <v>0</v>
      </c>
      <c r="LL95" s="12">
        <f>LL$22 * IF(AND(LK$5=1,LE$20=1), LR95, LP95)</f>
        <v>0</v>
      </c>
      <c r="LM95" s="12">
        <f>LM$22 * IF(AND(LL$5=1,LE$20=1), LR95, LP95)</f>
        <v>0</v>
      </c>
      <c r="LO95" t="s">
        <v>1303</v>
      </c>
      <c r="LP95">
        <f>_xlfn.XLOOKUP(LO95,'KPI Impacts'!$B$2:$H$2,'KPI Impacts'!$B95:$H95)</f>
        <v>0</v>
      </c>
      <c r="LQ95" s="9" t="s">
        <v>1303</v>
      </c>
      <c r="LR95">
        <f>_xlfn.XLOOKUP(LQ95,'KPI Impacts'!$B$2:$H$2,'KPI Impacts'!$B95:$H95)</f>
        <v>0</v>
      </c>
      <c r="LU95" s="12">
        <f>LU$22*MF95</f>
        <v>0</v>
      </c>
      <c r="LV95" s="12">
        <f>LV$22 * IF(AND(LU$5=1,LU$20=1), MH95, MF95)</f>
        <v>0</v>
      </c>
      <c r="LW95" s="12">
        <f>LW$22 * IF(AND(LV$5=1,LU$20=1), MH95, MF95)</f>
        <v>0</v>
      </c>
      <c r="LX95" s="12">
        <f>LX$22 * IF(AND(LW$5=1,LU$20=1), MH95, MF95)</f>
        <v>0</v>
      </c>
      <c r="LY95" s="12">
        <f>LY$22 * IF(AND(LX$5=1,LU$20=1), MH95, MF95)</f>
        <v>0</v>
      </c>
      <c r="LZ95" s="12">
        <f>LZ$22 * IF(AND(LY$5=1,LU$20=1), MH95, MF95)</f>
        <v>0</v>
      </c>
      <c r="MA95" s="12">
        <f>MA$22 * IF(AND(LZ$5=1,LU$20=1), MH95, MF95)</f>
        <v>0</v>
      </c>
      <c r="MB95" s="12">
        <f>MB$22 * IF(AND(MA$5=1,LU$20=1), MH95, MF95)</f>
        <v>0</v>
      </c>
      <c r="MC95" s="12">
        <f>MC$22 * IF(AND(MB$5=1,LU$20=1), MH95, MF95)</f>
        <v>0</v>
      </c>
      <c r="ME95" t="s">
        <v>1303</v>
      </c>
      <c r="MF95">
        <f>_xlfn.XLOOKUP(ME95,'KPI Impacts'!$B$2:$H$2,'KPI Impacts'!$B95:$H95)</f>
        <v>0</v>
      </c>
      <c r="MG95" s="9" t="s">
        <v>1303</v>
      </c>
      <c r="MH95">
        <f>_xlfn.XLOOKUP(MG95,'KPI Impacts'!$B$2:$H$2,'KPI Impacts'!$B95:$H95)</f>
        <v>0</v>
      </c>
      <c r="MK95" s="12">
        <f>MK$22*MV95</f>
        <v>0</v>
      </c>
      <c r="ML95" s="12">
        <f>ML$22 * IF(AND(MK$5=1,MK$20=1), MX95, MV95)</f>
        <v>0</v>
      </c>
      <c r="MM95" s="12">
        <f>MM$22 * IF(AND(ML$5=1,MK$20=1), MX95, MV95)</f>
        <v>0</v>
      </c>
      <c r="MN95" s="12">
        <f>MN$22 * IF(AND(MM$5=1,MK$20=1), MX95, MV95)</f>
        <v>0</v>
      </c>
      <c r="MO95" s="12">
        <f>MO$22 * IF(AND(MN$5=1,MK$20=1), MX95, MV95)</f>
        <v>0</v>
      </c>
      <c r="MP95" s="12">
        <f>MP$22 * IF(AND(MO$5=1,MK$20=1), MX95, MV95)</f>
        <v>0</v>
      </c>
      <c r="MQ95" s="12">
        <f>MQ$22 * IF(AND(MP$5=1,MK$20=1), MX95, MV95)</f>
        <v>0</v>
      </c>
      <c r="MR95" s="12">
        <f>MR$22 * IF(AND(MQ$5=1,MK$20=1), MX95, MV95)</f>
        <v>0</v>
      </c>
      <c r="MS95" s="12">
        <f>MS$22 * IF(AND(MR$5=1,MK$20=1), MX95, MV95)</f>
        <v>0</v>
      </c>
      <c r="MU95" t="s">
        <v>1303</v>
      </c>
      <c r="MV95">
        <f>_xlfn.XLOOKUP(MU95,'KPI Impacts'!$B$2:$H$2,'KPI Impacts'!$B95:$H95)</f>
        <v>0</v>
      </c>
      <c r="MW95" s="9" t="s">
        <v>1303</v>
      </c>
      <c r="MX95">
        <f>_xlfn.XLOOKUP(MW95,'KPI Impacts'!$B$2:$H$2,'KPI Impacts'!$B95:$H95)</f>
        <v>0</v>
      </c>
      <c r="NA95" s="12">
        <f>NA$22*NL95</f>
        <v>0</v>
      </c>
      <c r="NB95" s="12">
        <f>NB$22 * IF(AND(NA$5=1,NA$20=1), NN95, NL95)</f>
        <v>0</v>
      </c>
      <c r="NC95" s="12">
        <f>NC$22 * IF(AND(NB$5=1,NA$20=1), NN95, NL95)</f>
        <v>0</v>
      </c>
      <c r="ND95" s="12">
        <f>ND$22 * IF(AND(NC$5=1,NA$20=1), NN95, NL95)</f>
        <v>0</v>
      </c>
      <c r="NE95" s="12">
        <f>NE$22 * IF(AND(ND$5=1,NA$20=1), NN95, NL95)</f>
        <v>0</v>
      </c>
      <c r="NF95" s="12">
        <f>NF$22 * IF(AND(NE$5=1,NA$20=1), NN95, NL95)</f>
        <v>0</v>
      </c>
      <c r="NG95" s="12">
        <f>NG$22 * IF(AND(NF$5=1,NA$20=1), NN95, NL95)</f>
        <v>0</v>
      </c>
      <c r="NH95" s="12">
        <f>NH$22 * IF(AND(NG$5=1,NA$20=1), NN95, NL95)</f>
        <v>0</v>
      </c>
      <c r="NI95" s="12">
        <f>NI$22 * IF(AND(NH$5=1,NA$20=1), NN95, NL95)</f>
        <v>0</v>
      </c>
      <c r="NK95" t="s">
        <v>1303</v>
      </c>
      <c r="NL95">
        <f>_xlfn.XLOOKUP(NK95,'KPI Impacts'!$B$2:$H$2,'KPI Impacts'!$B95:$H95)</f>
        <v>0</v>
      </c>
      <c r="NM95" s="9" t="s">
        <v>1303</v>
      </c>
      <c r="NN95">
        <f>_xlfn.XLOOKUP(NM95,'KPI Impacts'!$B$2:$H$2,'KPI Impacts'!$B95:$H95)</f>
        <v>0</v>
      </c>
      <c r="NQ95" s="12">
        <f>NQ$22*OB95</f>
        <v>0</v>
      </c>
      <c r="NR95" s="12">
        <f>NR$22 * IF(AND(NQ$5=1,NQ$20=1), OD95, OB95)</f>
        <v>0</v>
      </c>
      <c r="NS95" s="12">
        <f>NS$22 * IF(AND(NR$5=1,NQ$20=1), OD95, OB95)</f>
        <v>0</v>
      </c>
      <c r="NT95" s="12">
        <f>NT$22 * IF(AND(NS$5=1,NQ$20=1), OD95, OB95)</f>
        <v>0</v>
      </c>
      <c r="NU95" s="12">
        <f>NU$22 * IF(AND(NT$5=1,NQ$20=1), OD95, OB95)</f>
        <v>0</v>
      </c>
      <c r="NV95" s="12">
        <f>NV$22 * IF(AND(NU$5=1,NQ$20=1), OD95, OB95)</f>
        <v>0</v>
      </c>
      <c r="NW95" s="12">
        <f>NW$22 * IF(AND(NV$5=1,NQ$20=1), OD95, OB95)</f>
        <v>0</v>
      </c>
      <c r="NX95" s="12">
        <f>NX$22 * IF(AND(NW$5=1,NQ$20=1), OD95, OB95)</f>
        <v>0</v>
      </c>
      <c r="NY95" s="12">
        <f>NY$22 * IF(AND(NX$5=1,NQ$20=1), OD95, OB95)</f>
        <v>0</v>
      </c>
      <c r="OA95" t="s">
        <v>1303</v>
      </c>
      <c r="OB95">
        <f>_xlfn.XLOOKUP(OA95,'KPI Impacts'!$B$2:$H$2,'KPI Impacts'!$B95:$H95)</f>
        <v>0</v>
      </c>
      <c r="OC95" s="9" t="s">
        <v>1303</v>
      </c>
      <c r="OD95">
        <f>_xlfn.XLOOKUP(OC95,'KPI Impacts'!$B$2:$H$2,'KPI Impacts'!$B95:$H95)</f>
        <v>0</v>
      </c>
      <c r="OG95" s="12">
        <f>OG$22*OR95</f>
        <v>0</v>
      </c>
      <c r="OH95" s="12">
        <f>OH$22 * IF(AND(OG$5=1,OG$20=1), OT95, OR95)</f>
        <v>0</v>
      </c>
      <c r="OI95" s="12">
        <f>OI$22 * IF(AND(OH$5=1,OG$20=1), OT95, OR95)</f>
        <v>0</v>
      </c>
      <c r="OJ95" s="12">
        <f>OJ$22 * IF(AND(OI$5=1,OG$20=1), OT95, OR95)</f>
        <v>0</v>
      </c>
      <c r="OK95" s="12">
        <f>OK$22 * IF(AND(OJ$5=1,OG$20=1), OT95, OR95)</f>
        <v>0</v>
      </c>
      <c r="OL95" s="12">
        <f>OL$22 * IF(AND(OK$5=1,OG$20=1), OT95, OR95)</f>
        <v>0</v>
      </c>
      <c r="OM95" s="12">
        <f>OM$22 * IF(AND(OL$5=1,OG$20=1), OT95, OR95)</f>
        <v>0</v>
      </c>
      <c r="ON95" s="12">
        <f>ON$22 * IF(AND(OM$5=1,OG$20=1), OT95, OR95)</f>
        <v>0</v>
      </c>
      <c r="OO95" s="12">
        <f>OO$22 * IF(AND(ON$5=1,OG$20=1), OT95, OR95)</f>
        <v>0</v>
      </c>
      <c r="OQ95" t="s">
        <v>1303</v>
      </c>
      <c r="OR95">
        <f>_xlfn.XLOOKUP(OQ95,'KPI Impacts'!$B$2:$H$2,'KPI Impacts'!$B95:$H95)</f>
        <v>0</v>
      </c>
      <c r="OS95" s="9" t="s">
        <v>1303</v>
      </c>
      <c r="OT95">
        <f>_xlfn.XLOOKUP(OS95,'KPI Impacts'!$B$2:$H$2,'KPI Impacts'!$B95:$H95)</f>
        <v>0</v>
      </c>
    </row>
    <row r="96" spans="1:410" x14ac:dyDescent="0.2">
      <c r="A96" t="s">
        <v>1317</v>
      </c>
      <c r="B96" s="12">
        <f t="shared" si="532"/>
        <v>0</v>
      </c>
      <c r="C96" s="12">
        <f t="shared" si="532"/>
        <v>0</v>
      </c>
      <c r="D96" s="12">
        <f t="shared" si="532"/>
        <v>0</v>
      </c>
      <c r="E96" s="12">
        <f t="shared" si="532"/>
        <v>0</v>
      </c>
      <c r="F96" s="12">
        <f t="shared" si="532"/>
        <v>0</v>
      </c>
      <c r="G96" s="12">
        <f t="shared" si="532"/>
        <v>0</v>
      </c>
      <c r="H96" s="12">
        <f t="shared" si="532"/>
        <v>0</v>
      </c>
      <c r="I96" s="12">
        <f t="shared" si="533"/>
        <v>0</v>
      </c>
      <c r="J96" s="12">
        <f t="shared" si="533"/>
        <v>0</v>
      </c>
      <c r="M96">
        <f>M$5*V96</f>
        <v>0</v>
      </c>
      <c r="N96">
        <f>N$5*V96</f>
        <v>0</v>
      </c>
      <c r="O96">
        <f>O$5*V96</f>
        <v>0</v>
      </c>
      <c r="P96">
        <f>P$5*V96</f>
        <v>0</v>
      </c>
      <c r="Q96">
        <f>Q$5*V96</f>
        <v>0</v>
      </c>
      <c r="R96">
        <f>R$5*V96</f>
        <v>0</v>
      </c>
      <c r="S96">
        <f>S$5*V96</f>
        <v>0</v>
      </c>
      <c r="U96" t="s">
        <v>1303</v>
      </c>
      <c r="V96">
        <f>_xlfn.XLOOKUP(U96,'KPI Impacts'!$B$2:$H$2,'KPI Impacts'!$B96:$H96)</f>
        <v>0</v>
      </c>
      <c r="W96" s="6"/>
      <c r="Y96" s="12" cm="1">
        <f t="array" ref="Y96">_xlfn.SWITCH(Y$4, 0,0, 1, AJ96,2,AL96,3,AN96,0)</f>
        <v>0</v>
      </c>
      <c r="Z96" s="12" cm="1">
        <f t="array" ref="Z96">_xlfn.SWITCH(Z$4, 0,0, 1, AJ96,2,AL96,3,AN96,0)+Y96</f>
        <v>0</v>
      </c>
      <c r="AA96" s="12" cm="1">
        <f t="array" ref="AA96">_xlfn.SWITCH(AA$4, 0,0, 1, AJ96,2,AL96,3,AN96,0)+Z96</f>
        <v>0</v>
      </c>
      <c r="AB96" s="12" cm="1">
        <f t="array" ref="AB96">_xlfn.SWITCH(AB$4, 0,0, 1, AJ96,2,AL96,3,AN96,0)+AA96</f>
        <v>0</v>
      </c>
      <c r="AC96" s="12" cm="1">
        <f t="array" ref="AC96">_xlfn.SWITCH(AC$4, 0,0, 1, AJ96,2,AL96,3,AN96,0)+AB96</f>
        <v>0</v>
      </c>
      <c r="AD96" s="12" cm="1">
        <f t="array" ref="AD96">_xlfn.SWITCH(AD$4, 0,0, 1, AJ96,2,AL96,3,AN96,0)+AC96</f>
        <v>0</v>
      </c>
      <c r="AE96" s="12" cm="1">
        <f t="array" ref="AE96">_xlfn.SWITCH(AE$4, 0,0, 1, AJ96,2,AL96,3,AN96,0)+AD96</f>
        <v>0</v>
      </c>
      <c r="AF96" s="12" cm="1">
        <f t="array" ref="AF96">_xlfn.SWITCH(AF$4, 0,0, 1, AJ96,2,AL96,3,AN96,0)+AE96</f>
        <v>0</v>
      </c>
      <c r="AG96" s="12" cm="1">
        <f t="array" ref="AG96">_xlfn.SWITCH(AG$4, 0,0, 1, AJ96,2,AL96,3,AN96,0)+AF96</f>
        <v>0</v>
      </c>
      <c r="AI96" t="s">
        <v>1303</v>
      </c>
      <c r="AJ96">
        <f>_xlfn.XLOOKUP(AI96,'KPI Impacts'!$K$2:$Q$2,'KPI Impacts'!$K96:$Q96)</f>
        <v>0</v>
      </c>
      <c r="AK96" t="s">
        <v>1303</v>
      </c>
      <c r="AL96">
        <f>_xlfn.XLOOKUP(AK96,'KPI Impacts'!$K$2:$Q$2,'KPI Impacts'!$K96:$Q96)</f>
        <v>0</v>
      </c>
      <c r="AM96" t="s">
        <v>1303</v>
      </c>
      <c r="AN96">
        <f>_xlfn.XLOOKUP(AM96,'KPI Impacts'!$K$2:$Q$2,'KPI Impacts'!$K96:$Q96)</f>
        <v>0</v>
      </c>
      <c r="AQ96" s="12" cm="1">
        <f t="array" ref="AQ96">_xlfn.SWITCH(AQ$4, 0,0, 1, BB96,2,BD96,3,BF96,0)</f>
        <v>0</v>
      </c>
      <c r="AR96" s="12" cm="1">
        <f t="array" ref="AR96">_xlfn.SWITCH(AR$4, 0,0, 1, BB96,2,BD96,3,BF96,0)+AQ96</f>
        <v>0</v>
      </c>
      <c r="AS96" s="12" cm="1">
        <f t="array" ref="AS96">_xlfn.SWITCH(AS$4, 0,0, 1, BB96,2,BD96,3,BF96,0)+AR96</f>
        <v>0</v>
      </c>
      <c r="AT96" s="12" cm="1">
        <f t="array" ref="AT96">_xlfn.SWITCH(AT$4, 0,0, 1, BB96,2,BD96,3,BF96,0)+AS96</f>
        <v>0</v>
      </c>
      <c r="AU96" s="12" cm="1">
        <f t="array" ref="AU96">_xlfn.SWITCH(AU$4, 0,0, 1, BB96,2,BD96,3,BF96,0)+AT96</f>
        <v>0</v>
      </c>
      <c r="AV96" s="12" cm="1">
        <f t="array" ref="AV96">_xlfn.SWITCH(AV$4, 0,0, 1, BB96,2,BD96,3,BF96,0)+AU96</f>
        <v>0</v>
      </c>
      <c r="AW96" s="12" cm="1">
        <f t="array" ref="AW96">_xlfn.SWITCH(AW$4, 0,0, 1, BB96,2,BD96,3,BF96,0)+AV96</f>
        <v>0</v>
      </c>
      <c r="AX96" s="12" cm="1">
        <f t="array" ref="AX96">_xlfn.SWITCH(AX$4, 0,0, 1, BB96,2,BD96,3,BF96,0)+AW96</f>
        <v>0</v>
      </c>
      <c r="AY96" s="12" cm="1">
        <f t="array" ref="AY96">_xlfn.SWITCH(AY$4, 0,0, 1, BB96,2,BD96,3,BF96,0)+AX96</f>
        <v>0</v>
      </c>
      <c r="BA96" t="s">
        <v>1303</v>
      </c>
      <c r="BB96">
        <f>_xlfn.XLOOKUP(BA96,'KPI Impacts'!$K$2:$Q$2,'KPI Impacts'!$K96:$Q96)</f>
        <v>0</v>
      </c>
      <c r="BC96" t="s">
        <v>1303</v>
      </c>
      <c r="BD96">
        <f>_xlfn.XLOOKUP(BC96,'KPI Impacts'!$K$2:$Q$2,'KPI Impacts'!$K96:$Q96)</f>
        <v>0</v>
      </c>
      <c r="BE96" t="s">
        <v>1303</v>
      </c>
      <c r="BF96">
        <f>_xlfn.XLOOKUP(BE96,'KPI Impacts'!$K$2:$Q$2,'KPI Impacts'!$K96:$Q96)</f>
        <v>0</v>
      </c>
      <c r="BI96" s="12">
        <f>BI$22*BT96</f>
        <v>0</v>
      </c>
      <c r="BJ96" s="12">
        <f>BJ$22 * IF(AND(BI$5=1,BI$20=1), BV96, BT96)</f>
        <v>0</v>
      </c>
      <c r="BK96" s="12">
        <f>BK$22 * IF(AND(BJ$5=1,BI$20=1), BV96, BT96)</f>
        <v>0</v>
      </c>
      <c r="BL96" s="12">
        <f>BL$22 * IF(AND(BK$5=1,BI$20=1), BV96, BT96)</f>
        <v>0</v>
      </c>
      <c r="BM96" s="12">
        <f>BM$22 * IF(AND(BL$5=1,BI$20=1), BV96, BT96)</f>
        <v>0</v>
      </c>
      <c r="BN96" s="12">
        <f>BN$22 * IF(AND(BM$5=1,BI$20=1), BV96, BT96)</f>
        <v>0</v>
      </c>
      <c r="BO96" s="12">
        <f>BO$22 * IF(AND(BN$5=1,BI$20=1), BV96, BT96)</f>
        <v>0</v>
      </c>
      <c r="BP96" s="12">
        <f>BP$22 * IF(AND(BO$5=1,BI$20=1), BV96, BT96)</f>
        <v>0</v>
      </c>
      <c r="BQ96" s="12">
        <f>BQ$22 * IF(AND(BP$5=1,BI$20=1), BV96, BT96)</f>
        <v>0</v>
      </c>
      <c r="BS96" s="16" t="s">
        <v>1303</v>
      </c>
      <c r="BT96">
        <f>_xlfn.XLOOKUP(BS96,'KPI Impacts'!$B$2:$H$2,'KPI Impacts'!$B96:$H96)</f>
        <v>0</v>
      </c>
      <c r="BU96" s="35" t="s">
        <v>1303</v>
      </c>
      <c r="BV96">
        <f>_xlfn.XLOOKUP(BU96,'KPI Impacts'!$B$2:$H$2,'KPI Impacts'!$B96:$H96)</f>
        <v>0</v>
      </c>
      <c r="BY96" s="12">
        <f>BY$22*CJ96</f>
        <v>0</v>
      </c>
      <c r="BZ96" s="12">
        <f>BZ$22 * IF(AND(BY$5=1,BY$20=1), CL96, CJ96)</f>
        <v>0</v>
      </c>
      <c r="CA96" s="12">
        <f>CA$22 * IF(AND(BZ$5=1,BY$20=1), CL96, CJ96)</f>
        <v>0</v>
      </c>
      <c r="CB96" s="12">
        <f>CB$22 * IF(AND(CA$5=1,BY$20=1), CL96, CJ96)</f>
        <v>0</v>
      </c>
      <c r="CC96" s="12">
        <f>CC$22 * IF(AND(CB$5=1,BY$20=1), CL96, CJ96)</f>
        <v>0</v>
      </c>
      <c r="CD96" s="12">
        <f>CD$22 * IF(AND(CC$5=1,BY$20=1), CL96, CJ96)</f>
        <v>0</v>
      </c>
      <c r="CE96" s="12">
        <f>CE$22 * IF(AND(CD$5=1,BY$20=1), CL96, CJ96)</f>
        <v>0</v>
      </c>
      <c r="CF96" s="12">
        <f>CF$22 * IF(AND(CE$5=1,BY$20=1), CL96, CJ96)</f>
        <v>0</v>
      </c>
      <c r="CG96" s="12">
        <f>CG$22 * IF(AND(CF$5=1,BY$20=1), CL96, CJ96)</f>
        <v>0</v>
      </c>
      <c r="CI96" s="16" t="s">
        <v>1303</v>
      </c>
      <c r="CJ96">
        <f>_xlfn.XLOOKUP(CI96,'KPI Impacts'!$B$2:$H$2,'KPI Impacts'!$B96:$H96)</f>
        <v>0</v>
      </c>
      <c r="CK96" s="35" t="s">
        <v>1303</v>
      </c>
      <c r="CL96">
        <f>_xlfn.XLOOKUP(CK96,'KPI Impacts'!$B$2:$H$2,'KPI Impacts'!$B96:$H96)</f>
        <v>0</v>
      </c>
      <c r="CO96" s="12">
        <f>CO$22*CZ96</f>
        <v>0</v>
      </c>
      <c r="CP96" s="12">
        <f>CP$22 * IF(AND(CO$5=1,CO$20=1), DB96, CZ96)</f>
        <v>0</v>
      </c>
      <c r="CQ96" s="12">
        <f>CQ$22 * IF(AND(CP$5=1,CO$20=1), DB96, CZ96)</f>
        <v>0</v>
      </c>
      <c r="CR96" s="12">
        <f>CR$22 * IF(AND(CQ$5=1,CO$20=1), DB96, CZ96)</f>
        <v>0</v>
      </c>
      <c r="CS96" s="12">
        <f>CS$22 * IF(AND(CR$5=1,CO$20=1), DB96, CZ96)</f>
        <v>0</v>
      </c>
      <c r="CT96" s="12">
        <f>CT$22 * IF(AND(CS$5=1,CO$20=1), DB96, CZ96)</f>
        <v>0</v>
      </c>
      <c r="CU96" s="12">
        <f>CU$22 * IF(AND(CT$5=1,CO$20=1), DB96, CZ96)</f>
        <v>0</v>
      </c>
      <c r="CV96" s="12">
        <f>CV$22 * IF(AND(CU$5=1,CO$20=1), DB96, CZ96)</f>
        <v>0</v>
      </c>
      <c r="CW96" s="12">
        <f>CW$22 * IF(AND(CV$5=1,CO$20=1), DB96, CZ96)</f>
        <v>0</v>
      </c>
      <c r="CY96" s="16" t="s">
        <v>1303</v>
      </c>
      <c r="CZ96">
        <f>_xlfn.XLOOKUP(CY96,'KPI Impacts'!$B$2:$H$2,'KPI Impacts'!$B96:$H96)</f>
        <v>0</v>
      </c>
      <c r="DA96" s="35" t="s">
        <v>1303</v>
      </c>
      <c r="DB96">
        <f>_xlfn.XLOOKUP(DA96,'KPI Impacts'!$B$2:$H$2,'KPI Impacts'!$B96:$H96)</f>
        <v>0</v>
      </c>
      <c r="DE96" s="12">
        <f>DE$22*DP96</f>
        <v>0</v>
      </c>
      <c r="DF96" s="12">
        <f>DF$22 * IF(AND(DE$5=1,DE$20=1), DR96, DP96)</f>
        <v>0</v>
      </c>
      <c r="DG96" s="12">
        <f>DG$22 * IF(AND(DF$5=1,DE$20=1), DR96, DP96)</f>
        <v>0</v>
      </c>
      <c r="DH96" s="12">
        <f>DH$22 * IF(AND(DG$5=1,DE$20=1), DR96, DP96)</f>
        <v>0</v>
      </c>
      <c r="DI96" s="12">
        <f>DI$22 * IF(AND(DH$5=1,DE$20=1), DR96, DP96)</f>
        <v>0</v>
      </c>
      <c r="DJ96" s="12">
        <f>DJ$22 * IF(AND(DI$5=1,DE$20=1), DR96, DP96)</f>
        <v>0</v>
      </c>
      <c r="DK96" s="12">
        <f>DK$22 * IF(AND(DJ$5=1,DE$20=1), DR96, DP96)</f>
        <v>0</v>
      </c>
      <c r="DL96" s="12">
        <f>DL$22 * IF(AND(DK$5=1,DE$20=1), DR96, DP96)</f>
        <v>0</v>
      </c>
      <c r="DM96" s="12">
        <f>DM$22 * IF(AND(DL$5=1,DE$20=1), DR96, DP96)</f>
        <v>0</v>
      </c>
      <c r="DO96" s="16" t="s">
        <v>1303</v>
      </c>
      <c r="DP96">
        <f>_xlfn.XLOOKUP(DO96,'KPI Impacts'!$B$2:$H$2,'KPI Impacts'!$B96:$H96)</f>
        <v>0</v>
      </c>
      <c r="DQ96" s="35" t="s">
        <v>1303</v>
      </c>
      <c r="DR96">
        <f>_xlfn.XLOOKUP(DQ96,'KPI Impacts'!$B$2:$H$2,'KPI Impacts'!$B96:$H96)</f>
        <v>0</v>
      </c>
      <c r="DU96" s="12">
        <f>DU$22*EF96</f>
        <v>0</v>
      </c>
      <c r="DV96" s="12">
        <f>DV$22 * IF(AND(DU$5=1,DU$20=1), EH96, EF96)</f>
        <v>0</v>
      </c>
      <c r="DW96" s="12">
        <f>DW$22 * IF(AND(DV$5=1,DU$20=1), EH96, EF96)</f>
        <v>0</v>
      </c>
      <c r="DX96" s="12">
        <f>DX$22 * IF(AND(DW$5=1,DU$20=1), EH96, EF96)</f>
        <v>0</v>
      </c>
      <c r="DY96" s="12">
        <f>DY$22 * IF(AND(DX$5=1,DU$20=1), EH96, EF96)</f>
        <v>0</v>
      </c>
      <c r="DZ96" s="12">
        <f>DZ$22 * IF(AND(DY$5=1,DU$20=1), EH96, EF96)</f>
        <v>0</v>
      </c>
      <c r="EA96" s="12">
        <f>EA$22 * IF(AND(DZ$5=1,DU$20=1), EH96, EF96)</f>
        <v>0</v>
      </c>
      <c r="EB96" s="12">
        <f>EB$22 * IF(AND(EA$5=1,DU$20=1), EH96, EF96)</f>
        <v>0</v>
      </c>
      <c r="EC96" s="12">
        <f>EC$22 * IF(AND(EB$5=1,DU$20=1), EH96, EF96)</f>
        <v>0</v>
      </c>
      <c r="EE96" s="16" t="s">
        <v>1303</v>
      </c>
      <c r="EF96">
        <f>_xlfn.XLOOKUP(EE96,'KPI Impacts'!$B$2:$H$2,'KPI Impacts'!$B96:$H96)</f>
        <v>0</v>
      </c>
      <c r="EG96" s="35" t="s">
        <v>1303</v>
      </c>
      <c r="EH96">
        <f>_xlfn.XLOOKUP(EG96,'KPI Impacts'!$B$2:$H$2,'KPI Impacts'!$B96:$H96)</f>
        <v>0</v>
      </c>
      <c r="EK96" s="12">
        <f>EK$22*EV96</f>
        <v>0</v>
      </c>
      <c r="EL96" s="12">
        <f>EL$22 * IF(AND(EK$5=1,EK$20=1), EX96, EV96)</f>
        <v>0</v>
      </c>
      <c r="EM96" s="12">
        <f>EM$22 * IF(AND(EL$5=1,EK$20=1), EX96, EV96)</f>
        <v>0</v>
      </c>
      <c r="EN96" s="12">
        <f>EN$22 * IF(AND(EM$5=1,EK$20=1), EX96, EV96)</f>
        <v>0</v>
      </c>
      <c r="EO96" s="12">
        <f>EO$22 * IF(AND(EN$5=1,EK$20=1), EX96, EV96)</f>
        <v>0</v>
      </c>
      <c r="EP96" s="12">
        <f>EP$22 * IF(AND(EO$5=1,EK$20=1), EX96, EV96)</f>
        <v>0</v>
      </c>
      <c r="EQ96" s="12">
        <f>EQ$22 * IF(AND(EP$5=1,EK$20=1), EX96, EV96)</f>
        <v>0</v>
      </c>
      <c r="ER96" s="12">
        <f>ER$22 * IF(AND(EQ$5=1,EK$20=1), EX96, EV96)</f>
        <v>0</v>
      </c>
      <c r="ES96" s="12">
        <f>ES$22 * IF(AND(ER$5=1,EK$20=1), EX96, EV96)</f>
        <v>0</v>
      </c>
      <c r="EU96" s="16" t="s">
        <v>1303</v>
      </c>
      <c r="EV96">
        <f>_xlfn.XLOOKUP(EU96,'KPI Impacts'!$B$2:$H$2,'KPI Impacts'!$B96:$H96)</f>
        <v>0</v>
      </c>
      <c r="EW96" s="35" t="s">
        <v>1303</v>
      </c>
      <c r="EX96">
        <f>_xlfn.XLOOKUP(EW96,'KPI Impacts'!$B$2:$H$2,'KPI Impacts'!$B96:$H96)</f>
        <v>0</v>
      </c>
      <c r="FA96" s="12">
        <f>FA$22*FL96</f>
        <v>0</v>
      </c>
      <c r="FB96" s="12">
        <f>FB$22 * IF(AND(FA$5=1,FA$20=1), FN96, FL96)</f>
        <v>0</v>
      </c>
      <c r="FC96" s="12">
        <f>FC$22 * IF(AND(FB$5=1,FA$20=1), FN96, FL96)</f>
        <v>0</v>
      </c>
      <c r="FD96" s="12">
        <f>FD$22 * IF(AND(FC$5=1,FA$20=1), FN96, FL96)</f>
        <v>0</v>
      </c>
      <c r="FE96" s="12">
        <f>FE$22 * IF(AND(FD$5=1,FA$20=1), FN96, FL96)</f>
        <v>0</v>
      </c>
      <c r="FF96" s="12">
        <f>FF$22 * IF(AND(FE$5=1,FA$20=1), FN96, FL96)</f>
        <v>0</v>
      </c>
      <c r="FG96" s="12">
        <f>FG$22 * IF(AND(FF$5=1,FA$20=1), FN96, FL96)</f>
        <v>0</v>
      </c>
      <c r="FH96" s="12">
        <f>FH$22 * IF(AND(FG$5=1,FA$20=1), FN96, FL96)</f>
        <v>0</v>
      </c>
      <c r="FI96" s="12">
        <f>FI$22 * IF(AND(FH$5=1,FA$20=1), FN96, FL96)</f>
        <v>0</v>
      </c>
      <c r="FK96" s="16" t="s">
        <v>1303</v>
      </c>
      <c r="FL96">
        <f>_xlfn.XLOOKUP(FK96,'KPI Impacts'!$B$2:$H$2,'KPI Impacts'!$B96:$H96)</f>
        <v>0</v>
      </c>
      <c r="FM96" s="16" t="s">
        <v>1303</v>
      </c>
      <c r="FN96">
        <f>_xlfn.XLOOKUP(FM96,'KPI Impacts'!$B$2:$H$2,'KPI Impacts'!$B96:$H96)</f>
        <v>0</v>
      </c>
      <c r="FQ96" s="12">
        <f>FQ$22*GB96</f>
        <v>0</v>
      </c>
      <c r="FR96" s="12">
        <f>FR$22 * IF(AND(FQ$5=1,FQ$20=1), GD96, GB96)</f>
        <v>0</v>
      </c>
      <c r="FS96" s="12">
        <f>FS$22 * IF(AND(FR$5=1,FQ$20=1), GD96, GB96)</f>
        <v>0</v>
      </c>
      <c r="FT96" s="12">
        <f>FT$22 * IF(AND(FS$5=1,FQ$20=1), GD96, GB96)</f>
        <v>0</v>
      </c>
      <c r="FU96" s="12">
        <f>FU$22 * IF(AND(FT$5=1,FQ$20=1), GD96, GB96)</f>
        <v>0</v>
      </c>
      <c r="FV96" s="12">
        <f>FV$22 * IF(AND(FU$5=1,FQ$20=1), GD96, GB96)</f>
        <v>0</v>
      </c>
      <c r="FW96" s="12">
        <f>FW$22 * IF(AND(FV$5=1,FQ$20=1), GD96, GB96)</f>
        <v>0</v>
      </c>
      <c r="FX96" s="12">
        <f>FX$22 * IF(AND(FW$5=1,FQ$20=1), GD96, GB96)</f>
        <v>0</v>
      </c>
      <c r="FY96" s="12">
        <f>FY$22 * IF(AND(FX$5=1,FQ$20=1), GD96, GB96)</f>
        <v>0</v>
      </c>
      <c r="GA96" s="16" t="s">
        <v>1303</v>
      </c>
      <c r="GB96">
        <f>_xlfn.XLOOKUP(GA96,'KPI Impacts'!$B$2:$H$2,'KPI Impacts'!$B96:$H96)</f>
        <v>0</v>
      </c>
      <c r="GC96" s="9" t="s">
        <v>1303</v>
      </c>
      <c r="GD96">
        <f>_xlfn.XLOOKUP(GC96,'KPI Impacts'!$B$2:$H$2,'KPI Impacts'!$B96:$H96)</f>
        <v>0</v>
      </c>
      <c r="GG96" s="12">
        <f>GG$22*GR96</f>
        <v>0</v>
      </c>
      <c r="GH96" s="12">
        <f>GH$22 * IF(AND(GG$5=1,GG$20=1), GT96, GR96)</f>
        <v>0</v>
      </c>
      <c r="GI96" s="12">
        <f>GI$22 * IF(AND(GH$5=1,GG$20=1), GT96, GR96)</f>
        <v>0</v>
      </c>
      <c r="GJ96" s="12">
        <f>GJ$22 * IF(AND(GI$5=1,GG$20=1), GT96, GR96)</f>
        <v>0</v>
      </c>
      <c r="GK96" s="12">
        <f>GK$22 * IF(AND(GJ$5=1,GG$20=1), GT96, GR96)</f>
        <v>0</v>
      </c>
      <c r="GL96" s="12">
        <f>GL$22 * IF(AND(GK$5=1,GG$20=1), GT96, GR96)</f>
        <v>0</v>
      </c>
      <c r="GM96" s="12">
        <f>GM$22 * IF(AND(GL$5=1,GG$20=1), GT96, GR96)</f>
        <v>0</v>
      </c>
      <c r="GN96" s="12">
        <f>GN$22 * IF(AND(GM$5=1,GG$20=1), GT96, GR96)</f>
        <v>0</v>
      </c>
      <c r="GO96" s="12">
        <f>GO$22 * IF(AND(GN$5=1,GG$20=1), GT96, GR96)</f>
        <v>0</v>
      </c>
      <c r="GQ96" s="16" t="s">
        <v>1303</v>
      </c>
      <c r="GR96">
        <f>_xlfn.XLOOKUP(GQ96,'KPI Impacts'!$B$2:$H$2,'KPI Impacts'!$B96:$H96)</f>
        <v>0</v>
      </c>
      <c r="GS96" s="9" t="s">
        <v>1303</v>
      </c>
      <c r="GT96">
        <f>_xlfn.XLOOKUP(GS96,'KPI Impacts'!$B$2:$H$2,'KPI Impacts'!$B96:$H96)</f>
        <v>0</v>
      </c>
      <c r="GW96" s="12">
        <f>GW$22*HH96</f>
        <v>0</v>
      </c>
      <c r="GX96" s="12">
        <f>GX$22 * IF(AND(GW$5=1,GW$20=1), HJ96, HH96)</f>
        <v>0</v>
      </c>
      <c r="GY96" s="12">
        <f>GY$22 * IF(AND(GX$5=1,GW$20=1), HJ96, HH96)</f>
        <v>0</v>
      </c>
      <c r="GZ96" s="12">
        <f>GZ$22 * IF(AND(GY$5=1,GW$20=1), HJ96, HH96)</f>
        <v>0</v>
      </c>
      <c r="HA96" s="12">
        <f>HA$22 * IF(AND(GZ$5=1,GW$20=1), HJ96, HH96)</f>
        <v>0</v>
      </c>
      <c r="HB96" s="12">
        <f>HB$22 * IF(AND(HA$5=1,GW$20=1), HJ96, HH96)</f>
        <v>0</v>
      </c>
      <c r="HC96" s="12">
        <f>HC$22 * IF(AND(HB$5=1,GW$20=1), HJ96, HH96)</f>
        <v>0</v>
      </c>
      <c r="HD96" s="12">
        <f>HD$22 * IF(AND(HC$5=1,GW$20=1), HJ96, HH96)</f>
        <v>0</v>
      </c>
      <c r="HE96" s="12">
        <f>HE$22 * IF(AND(HD$5=1,GW$20=1), HJ96, HH96)</f>
        <v>0</v>
      </c>
      <c r="HG96" s="16" t="s">
        <v>1303</v>
      </c>
      <c r="HH96">
        <f>_xlfn.XLOOKUP(HG96,'KPI Impacts'!$B$2:$H$2,'KPI Impacts'!$B96:$H96)</f>
        <v>0</v>
      </c>
      <c r="HI96" s="9" t="s">
        <v>1303</v>
      </c>
      <c r="HJ96">
        <f>_xlfn.XLOOKUP(HI96,'KPI Impacts'!$B$2:$H$2,'KPI Impacts'!$B96:$H96)</f>
        <v>0</v>
      </c>
      <c r="HM96" s="12">
        <f>HM$22*HX96</f>
        <v>0</v>
      </c>
      <c r="HN96" s="12">
        <f>HN$22 * IF(AND(HM$5=1,HM$20=1), HZ96, HX96)</f>
        <v>0</v>
      </c>
      <c r="HO96" s="12">
        <f>HO$22 * IF(AND(HN$5=1,HM$20=1), HZ96, HX96)</f>
        <v>0</v>
      </c>
      <c r="HP96" s="12">
        <f>HP$22 * IF(AND(HO$5=1,HM$20=1), HZ96, HX96)</f>
        <v>0</v>
      </c>
      <c r="HQ96" s="12">
        <f>HQ$22 * IF(AND(HP$5=1,HM$20=1), HZ96, HX96)</f>
        <v>0</v>
      </c>
      <c r="HR96" s="12">
        <f>HR$22 * IF(AND(HQ$5=1,HM$20=1), HZ96, HX96)</f>
        <v>0</v>
      </c>
      <c r="HS96" s="12">
        <f>HS$22 * IF(AND(HR$5=1,HM$20=1), HZ96, HX96)</f>
        <v>0</v>
      </c>
      <c r="HT96" s="12">
        <f>HT$22 * IF(AND(HS$5=1,HM$20=1), HZ96, HX96)</f>
        <v>0</v>
      </c>
      <c r="HU96" s="12">
        <f>HU$22 * IF(AND(HT$5=1,HM$20=1), HZ96, HX96)</f>
        <v>0</v>
      </c>
      <c r="HW96" s="16" t="s">
        <v>1303</v>
      </c>
      <c r="HX96">
        <f>_xlfn.XLOOKUP(HW96,'KPI Impacts'!$B$2:$H$2,'KPI Impacts'!$B96:$H96)</f>
        <v>0</v>
      </c>
      <c r="HY96" s="9" t="s">
        <v>1303</v>
      </c>
      <c r="HZ96">
        <f>_xlfn.XLOOKUP(HY96,'KPI Impacts'!$B$2:$H$2,'KPI Impacts'!$B96:$H96)</f>
        <v>0</v>
      </c>
      <c r="IC96" s="12">
        <f>IC$22*IN96</f>
        <v>0</v>
      </c>
      <c r="ID96" s="12">
        <f>ID$22 * IF(AND(IC$5=1,IC$20=1), IP96, IN96)</f>
        <v>0</v>
      </c>
      <c r="IE96" s="12">
        <f>IE$22 * IF(AND(ID$5=1,IC$20=1), IP96, IN96)</f>
        <v>0</v>
      </c>
      <c r="IF96" s="12">
        <f>IF$22 * IF(AND(IE$5=1,IC$20=1), IP96, IN96)</f>
        <v>0</v>
      </c>
      <c r="IG96" s="12">
        <f>IG$22 * IF(AND(IF$5=1,IC$20=1), IP96, IN96)</f>
        <v>0</v>
      </c>
      <c r="IH96" s="12">
        <f>IH$22 * IF(AND(IG$5=1,IC$20=1), IP96, IN96)</f>
        <v>0</v>
      </c>
      <c r="II96" s="12">
        <f>II$22 * IF(AND(IH$5=1,IC$20=1), IP96, IN96)</f>
        <v>0</v>
      </c>
      <c r="IJ96" s="12">
        <f>IJ$22 * IF(AND(II$5=1,IC$20=1), IP96, IN96)</f>
        <v>0</v>
      </c>
      <c r="IK96" s="12">
        <f>IK$22 * IF(AND(IJ$5=1,IC$20=1), IP96, IN96)</f>
        <v>0</v>
      </c>
      <c r="IM96" s="16" t="s">
        <v>1303</v>
      </c>
      <c r="IN96">
        <f>_xlfn.XLOOKUP(IM96,'KPI Impacts'!$B$2:$H$2,'KPI Impacts'!$B96:$H96)</f>
        <v>0</v>
      </c>
      <c r="IO96" s="9" t="s">
        <v>1303</v>
      </c>
      <c r="IP96">
        <f>_xlfn.XLOOKUP(IO96,'KPI Impacts'!$B$2:$H$2,'KPI Impacts'!$B96:$H96)</f>
        <v>0</v>
      </c>
      <c r="IS96" s="12">
        <f>IS$22*JD96</f>
        <v>0</v>
      </c>
      <c r="IT96" s="12">
        <f>IT$22 * IF(AND(IS$5=1,IS$20=1), JF96, JD96)</f>
        <v>0</v>
      </c>
      <c r="IU96" s="12">
        <f>IU$22 * IF(AND(IT$5=1,IS$20=1), JF96, JD96)</f>
        <v>0</v>
      </c>
      <c r="IV96" s="12">
        <f>IV$22 * IF(AND(IU$5=1,IS$20=1), JF96, JD96)</f>
        <v>0</v>
      </c>
      <c r="IW96" s="12">
        <f>IW$22 * IF(AND(IV$5=1,IS$20=1), JF96, JD96)</f>
        <v>0</v>
      </c>
      <c r="IX96" s="12">
        <f>IX$22 * IF(AND(IW$5=1,IS$20=1), JF96, JD96)</f>
        <v>0</v>
      </c>
      <c r="IY96" s="12">
        <f>IY$22 * IF(AND(IX$5=1,IS$20=1), JF96, JD96)</f>
        <v>0</v>
      </c>
      <c r="IZ96" s="12">
        <f>IZ$22 * IF(AND(IY$5=1,IS$20=1), JF96, JD96)</f>
        <v>0</v>
      </c>
      <c r="JA96" s="12">
        <f>JA$22 * IF(AND(IZ$5=1,IS$20=1), JF96, JD96)</f>
        <v>0</v>
      </c>
      <c r="JC96" t="s">
        <v>1303</v>
      </c>
      <c r="JD96">
        <f>_xlfn.XLOOKUP(JC96,'KPI Impacts'!$B$2:$H$2,'KPI Impacts'!$B96:$H96)</f>
        <v>0</v>
      </c>
      <c r="JE96" s="9" t="s">
        <v>1303</v>
      </c>
      <c r="JF96">
        <f>_xlfn.XLOOKUP(JE96,'KPI Impacts'!$B$2:$H$2,'KPI Impacts'!$B96:$H96)</f>
        <v>0</v>
      </c>
      <c r="JI96" s="12">
        <f>JI$22*JT96</f>
        <v>0</v>
      </c>
      <c r="JJ96" s="12">
        <f>JJ$22 * IF(AND(JI$5=1,JI$20=1), JV96, JT96)</f>
        <v>0</v>
      </c>
      <c r="JK96" s="12">
        <f>JK$22 * IF(AND(JJ$5=1,JI$20=1), JV96, JT96)</f>
        <v>0</v>
      </c>
      <c r="JL96" s="12">
        <f>JL$22 * IF(AND(JK$5=1,JI$20=1), JV96, JT96)</f>
        <v>0</v>
      </c>
      <c r="JM96" s="12">
        <f>JM$22 * IF(AND(JL$5=1,JI$20=1), JV96, JT96)</f>
        <v>0</v>
      </c>
      <c r="JN96" s="12">
        <f>JN$22 * IF(AND(JM$5=1,JI$20=1), JV96, JT96)</f>
        <v>0</v>
      </c>
      <c r="JO96" s="12">
        <f>JO$22 * IF(AND(JN$5=1,JI$20=1), JV96, JT96)</f>
        <v>0</v>
      </c>
      <c r="JP96" s="12">
        <f>JP$22 * IF(AND(JO$5=1,JI$20=1), JV96, JT96)</f>
        <v>0</v>
      </c>
      <c r="JQ96" s="12">
        <f>JQ$22 * IF(AND(JP$5=1,JI$20=1), JV96, JT96)</f>
        <v>0</v>
      </c>
      <c r="JS96" t="s">
        <v>1303</v>
      </c>
      <c r="JT96">
        <f>_xlfn.XLOOKUP(JS96,'KPI Impacts'!$B$2:$H$2,'KPI Impacts'!$B96:$H96)</f>
        <v>0</v>
      </c>
      <c r="JU96" s="9" t="s">
        <v>1303</v>
      </c>
      <c r="JV96">
        <f>_xlfn.XLOOKUP(JU96,'KPI Impacts'!$B$2:$H$2,'KPI Impacts'!$B96:$H96)</f>
        <v>0</v>
      </c>
      <c r="JY96" s="12">
        <f>JY$22*KJ96</f>
        <v>0</v>
      </c>
      <c r="JZ96" s="12">
        <f>JZ$22 * IF(AND(JY$5=1,JY$20=1), KL96, KJ96)</f>
        <v>0</v>
      </c>
      <c r="KA96" s="12">
        <f>KA$22 * IF(AND(JZ$5=1,JY$20=1), KL96, KJ96)</f>
        <v>0</v>
      </c>
      <c r="KB96" s="12">
        <f>KB$22 * IF(AND(KA$5=1,JY$20=1), KL96, KJ96)</f>
        <v>0</v>
      </c>
      <c r="KC96" s="12">
        <f>KC$22 * IF(AND(KB$5=1,JY$20=1), KL96, KJ96)</f>
        <v>0</v>
      </c>
      <c r="KD96" s="12">
        <f>KD$22 * IF(AND(KC$5=1,JY$20=1), KL96, KJ96)</f>
        <v>0</v>
      </c>
      <c r="KE96" s="12">
        <f>KE$22 * IF(AND(KD$5=1,JY$20=1), KL96, KJ96)</f>
        <v>0</v>
      </c>
      <c r="KF96" s="12">
        <f>KF$22 * IF(AND(KE$5=1,JY$20=1), KL96, KJ96)</f>
        <v>0</v>
      </c>
      <c r="KG96" s="12">
        <f>KG$22 * IF(AND(KF$5=1,JY$20=1), KL96, KJ96)</f>
        <v>0</v>
      </c>
      <c r="KI96" t="s">
        <v>1303</v>
      </c>
      <c r="KJ96">
        <f>_xlfn.XLOOKUP(KI96,'KPI Impacts'!$B$2:$H$2,'KPI Impacts'!$B96:$H96)</f>
        <v>0</v>
      </c>
      <c r="KK96" s="9" t="s">
        <v>1303</v>
      </c>
      <c r="KL96">
        <f>_xlfn.XLOOKUP(KK96,'KPI Impacts'!$B$2:$H$2,'KPI Impacts'!$B96:$H96)</f>
        <v>0</v>
      </c>
      <c r="KO96" s="12">
        <f>KO$22*KZ96</f>
        <v>0</v>
      </c>
      <c r="KP96" s="12">
        <f>KP$22 * IF(AND(KO$5=1,KO$20=1), LB96, KZ96)</f>
        <v>0</v>
      </c>
      <c r="KQ96" s="12">
        <f>KQ$22 * IF(AND(KP$5=1,KO$20=1), LB96, KZ96)</f>
        <v>0</v>
      </c>
      <c r="KR96" s="12">
        <f>KR$22 * IF(AND(KQ$5=1,KO$20=1), LB96, KZ96)</f>
        <v>0</v>
      </c>
      <c r="KS96" s="12">
        <f>KS$22 * IF(AND(KR$5=1,KO$20=1), LB96, KZ96)</f>
        <v>0</v>
      </c>
      <c r="KT96" s="12">
        <f>KT$22 * IF(AND(KS$5=1,KO$20=1), LB96, KZ96)</f>
        <v>0</v>
      </c>
      <c r="KU96" s="12">
        <f>KU$22 * IF(AND(KT$5=1,KO$20=1), LB96, KZ96)</f>
        <v>0</v>
      </c>
      <c r="KV96" s="12">
        <f>KV$22 * IF(AND(KU$5=1,KO$20=1), LB96, KZ96)</f>
        <v>0</v>
      </c>
      <c r="KW96" s="12">
        <f>KW$22 * IF(AND(KV$5=1,KO$20=1), LB96, KZ96)</f>
        <v>0</v>
      </c>
      <c r="KY96" t="s">
        <v>1303</v>
      </c>
      <c r="KZ96">
        <f>_xlfn.XLOOKUP(KY96,'KPI Impacts'!$B$2:$H$2,'KPI Impacts'!$B96:$H96)</f>
        <v>0</v>
      </c>
      <c r="LA96" s="9" t="s">
        <v>1303</v>
      </c>
      <c r="LB96">
        <f>_xlfn.XLOOKUP(LA96,'KPI Impacts'!$B$2:$H$2,'KPI Impacts'!$B96:$H96)</f>
        <v>0</v>
      </c>
      <c r="LE96" s="12">
        <f>LE$22*LP96</f>
        <v>0</v>
      </c>
      <c r="LF96" s="12">
        <f>LF$22 * IF(AND(LE$5=1,LE$20=1), LR96, LP96)</f>
        <v>0</v>
      </c>
      <c r="LG96" s="12">
        <f>LG$22 * IF(AND(LF$5=1,LE$20=1), LR96, LP96)</f>
        <v>0</v>
      </c>
      <c r="LH96" s="12">
        <f>LH$22 * IF(AND(LG$5=1,LE$20=1), LR96, LP96)</f>
        <v>0</v>
      </c>
      <c r="LI96" s="12">
        <f>LI$22 * IF(AND(LH$5=1,LE$20=1), LR96, LP96)</f>
        <v>0</v>
      </c>
      <c r="LJ96" s="12">
        <f>LJ$22 * IF(AND(LI$5=1,LE$20=1), LR96, LP96)</f>
        <v>0</v>
      </c>
      <c r="LK96" s="12">
        <f>LK$22 * IF(AND(LJ$5=1,LE$20=1), LR96, LP96)</f>
        <v>0</v>
      </c>
      <c r="LL96" s="12">
        <f>LL$22 * IF(AND(LK$5=1,LE$20=1), LR96, LP96)</f>
        <v>0</v>
      </c>
      <c r="LM96" s="12">
        <f>LM$22 * IF(AND(LL$5=1,LE$20=1), LR96, LP96)</f>
        <v>0</v>
      </c>
      <c r="LO96" t="s">
        <v>1303</v>
      </c>
      <c r="LP96">
        <f>_xlfn.XLOOKUP(LO96,'KPI Impacts'!$B$2:$H$2,'KPI Impacts'!$B96:$H96)</f>
        <v>0</v>
      </c>
      <c r="LQ96" s="9" t="s">
        <v>1303</v>
      </c>
      <c r="LR96">
        <f>_xlfn.XLOOKUP(LQ96,'KPI Impacts'!$B$2:$H$2,'KPI Impacts'!$B96:$H96)</f>
        <v>0</v>
      </c>
      <c r="LU96" s="12">
        <f>LU$22*MF96</f>
        <v>0</v>
      </c>
      <c r="LV96" s="12">
        <f>LV$22 * IF(AND(LU$5=1,LU$20=1), MH96, MF96)</f>
        <v>0</v>
      </c>
      <c r="LW96" s="12">
        <f>LW$22 * IF(AND(LV$5=1,LU$20=1), MH96, MF96)</f>
        <v>0</v>
      </c>
      <c r="LX96" s="12">
        <f>LX$22 * IF(AND(LW$5=1,LU$20=1), MH96, MF96)</f>
        <v>0</v>
      </c>
      <c r="LY96" s="12">
        <f>LY$22 * IF(AND(LX$5=1,LU$20=1), MH96, MF96)</f>
        <v>0</v>
      </c>
      <c r="LZ96" s="12">
        <f>LZ$22 * IF(AND(LY$5=1,LU$20=1), MH96, MF96)</f>
        <v>0</v>
      </c>
      <c r="MA96" s="12">
        <f>MA$22 * IF(AND(LZ$5=1,LU$20=1), MH96, MF96)</f>
        <v>0</v>
      </c>
      <c r="MB96" s="12">
        <f>MB$22 * IF(AND(MA$5=1,LU$20=1), MH96, MF96)</f>
        <v>0</v>
      </c>
      <c r="MC96" s="12">
        <f>MC$22 * IF(AND(MB$5=1,LU$20=1), MH96, MF96)</f>
        <v>0</v>
      </c>
      <c r="ME96" t="s">
        <v>1303</v>
      </c>
      <c r="MF96">
        <f>_xlfn.XLOOKUP(ME96,'KPI Impacts'!$B$2:$H$2,'KPI Impacts'!$B96:$H96)</f>
        <v>0</v>
      </c>
      <c r="MG96" s="9" t="s">
        <v>1303</v>
      </c>
      <c r="MH96">
        <f>_xlfn.XLOOKUP(MG96,'KPI Impacts'!$B$2:$H$2,'KPI Impacts'!$B96:$H96)</f>
        <v>0</v>
      </c>
      <c r="MK96" s="12">
        <f>MK$22*MV96</f>
        <v>0</v>
      </c>
      <c r="ML96" s="12">
        <f>ML$22 * IF(AND(MK$5=1,MK$20=1), MX96, MV96)</f>
        <v>0</v>
      </c>
      <c r="MM96" s="12">
        <f>MM$22 * IF(AND(ML$5=1,MK$20=1), MX96, MV96)</f>
        <v>0</v>
      </c>
      <c r="MN96" s="12">
        <f>MN$22 * IF(AND(MM$5=1,MK$20=1), MX96, MV96)</f>
        <v>0</v>
      </c>
      <c r="MO96" s="12">
        <f>MO$22 * IF(AND(MN$5=1,MK$20=1), MX96, MV96)</f>
        <v>0</v>
      </c>
      <c r="MP96" s="12">
        <f>MP$22 * IF(AND(MO$5=1,MK$20=1), MX96, MV96)</f>
        <v>0</v>
      </c>
      <c r="MQ96" s="12">
        <f>MQ$22 * IF(AND(MP$5=1,MK$20=1), MX96, MV96)</f>
        <v>0</v>
      </c>
      <c r="MR96" s="12">
        <f>MR$22 * IF(AND(MQ$5=1,MK$20=1), MX96, MV96)</f>
        <v>0</v>
      </c>
      <c r="MS96" s="12">
        <f>MS$22 * IF(AND(MR$5=1,MK$20=1), MX96, MV96)</f>
        <v>0</v>
      </c>
      <c r="MU96" t="s">
        <v>1303</v>
      </c>
      <c r="MV96">
        <f>_xlfn.XLOOKUP(MU96,'KPI Impacts'!$B$2:$H$2,'KPI Impacts'!$B96:$H96)</f>
        <v>0</v>
      </c>
      <c r="MW96" s="9" t="s">
        <v>1303</v>
      </c>
      <c r="MX96">
        <f>_xlfn.XLOOKUP(MW96,'KPI Impacts'!$B$2:$H$2,'KPI Impacts'!$B96:$H96)</f>
        <v>0</v>
      </c>
      <c r="NA96" s="12">
        <f>NA$22*NL96</f>
        <v>0</v>
      </c>
      <c r="NB96" s="12">
        <f>NB$22 * IF(AND(NA$5=1,NA$20=1), NN96, NL96)</f>
        <v>0</v>
      </c>
      <c r="NC96" s="12">
        <f>NC$22 * IF(AND(NB$5=1,NA$20=1), NN96, NL96)</f>
        <v>0</v>
      </c>
      <c r="ND96" s="12">
        <f>ND$22 * IF(AND(NC$5=1,NA$20=1), NN96, NL96)</f>
        <v>0</v>
      </c>
      <c r="NE96" s="12">
        <f>NE$22 * IF(AND(ND$5=1,NA$20=1), NN96, NL96)</f>
        <v>0</v>
      </c>
      <c r="NF96" s="12">
        <f>NF$22 * IF(AND(NE$5=1,NA$20=1), NN96, NL96)</f>
        <v>0</v>
      </c>
      <c r="NG96" s="12">
        <f>NG$22 * IF(AND(NF$5=1,NA$20=1), NN96, NL96)</f>
        <v>0</v>
      </c>
      <c r="NH96" s="12">
        <f>NH$22 * IF(AND(NG$5=1,NA$20=1), NN96, NL96)</f>
        <v>0</v>
      </c>
      <c r="NI96" s="12">
        <f>NI$22 * IF(AND(NH$5=1,NA$20=1), NN96, NL96)</f>
        <v>0</v>
      </c>
      <c r="NK96" t="s">
        <v>1303</v>
      </c>
      <c r="NL96">
        <f>_xlfn.XLOOKUP(NK96,'KPI Impacts'!$B$2:$H$2,'KPI Impacts'!$B96:$H96)</f>
        <v>0</v>
      </c>
      <c r="NM96" s="9" t="s">
        <v>1303</v>
      </c>
      <c r="NN96">
        <f>_xlfn.XLOOKUP(NM96,'KPI Impacts'!$B$2:$H$2,'KPI Impacts'!$B96:$H96)</f>
        <v>0</v>
      </c>
      <c r="NQ96" s="12">
        <f>NQ$22*OB96</f>
        <v>0</v>
      </c>
      <c r="NR96" s="12">
        <f>NR$22 * IF(AND(NQ$5=1,NQ$20=1), OD96, OB96)</f>
        <v>0</v>
      </c>
      <c r="NS96" s="12">
        <f>NS$22 * IF(AND(NR$5=1,NQ$20=1), OD96, OB96)</f>
        <v>0</v>
      </c>
      <c r="NT96" s="12">
        <f>NT$22 * IF(AND(NS$5=1,NQ$20=1), OD96, OB96)</f>
        <v>0</v>
      </c>
      <c r="NU96" s="12">
        <f>NU$22 * IF(AND(NT$5=1,NQ$20=1), OD96, OB96)</f>
        <v>0</v>
      </c>
      <c r="NV96" s="12">
        <f>NV$22 * IF(AND(NU$5=1,NQ$20=1), OD96, OB96)</f>
        <v>0</v>
      </c>
      <c r="NW96" s="12">
        <f>NW$22 * IF(AND(NV$5=1,NQ$20=1), OD96, OB96)</f>
        <v>0</v>
      </c>
      <c r="NX96" s="12">
        <f>NX$22 * IF(AND(NW$5=1,NQ$20=1), OD96, OB96)</f>
        <v>0</v>
      </c>
      <c r="NY96" s="12">
        <f>NY$22 * IF(AND(NX$5=1,NQ$20=1), OD96, OB96)</f>
        <v>0</v>
      </c>
      <c r="OA96" t="s">
        <v>1303</v>
      </c>
      <c r="OB96">
        <f>_xlfn.XLOOKUP(OA96,'KPI Impacts'!$B$2:$H$2,'KPI Impacts'!$B96:$H96)</f>
        <v>0</v>
      </c>
      <c r="OC96" s="9" t="s">
        <v>1303</v>
      </c>
      <c r="OD96">
        <f>_xlfn.XLOOKUP(OC96,'KPI Impacts'!$B$2:$H$2,'KPI Impacts'!$B96:$H96)</f>
        <v>0</v>
      </c>
      <c r="OG96" s="12">
        <f>OG$22*OR96</f>
        <v>0</v>
      </c>
      <c r="OH96" s="12">
        <f>OH$22 * IF(AND(OG$5=1,OG$20=1), OT96, OR96)</f>
        <v>0</v>
      </c>
      <c r="OI96" s="12">
        <f>OI$22 * IF(AND(OH$5=1,OG$20=1), OT96, OR96)</f>
        <v>0</v>
      </c>
      <c r="OJ96" s="12">
        <f>OJ$22 * IF(AND(OI$5=1,OG$20=1), OT96, OR96)</f>
        <v>0</v>
      </c>
      <c r="OK96" s="12">
        <f>OK$22 * IF(AND(OJ$5=1,OG$20=1), OT96, OR96)</f>
        <v>0</v>
      </c>
      <c r="OL96" s="12">
        <f>OL$22 * IF(AND(OK$5=1,OG$20=1), OT96, OR96)</f>
        <v>0</v>
      </c>
      <c r="OM96" s="12">
        <f>OM$22 * IF(AND(OL$5=1,OG$20=1), OT96, OR96)</f>
        <v>0</v>
      </c>
      <c r="ON96" s="12">
        <f>ON$22 * IF(AND(OM$5=1,OG$20=1), OT96, OR96)</f>
        <v>0</v>
      </c>
      <c r="OO96" s="12">
        <f>OO$22 * IF(AND(ON$5=1,OG$20=1), OT96, OR96)</f>
        <v>0</v>
      </c>
      <c r="OQ96" t="s">
        <v>1303</v>
      </c>
      <c r="OR96">
        <f>_xlfn.XLOOKUP(OQ96,'KPI Impacts'!$B$2:$H$2,'KPI Impacts'!$B96:$H96)</f>
        <v>0</v>
      </c>
      <c r="OS96" s="9" t="s">
        <v>1303</v>
      </c>
      <c r="OT96">
        <f>_xlfn.XLOOKUP(OS96,'KPI Impacts'!$B$2:$H$2,'KPI Impacts'!$B96:$H96)</f>
        <v>0</v>
      </c>
    </row>
    <row r="97" spans="1:508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V97" s="6"/>
      <c r="W97" s="6"/>
      <c r="Y97" s="12"/>
      <c r="Z97" s="12"/>
      <c r="AA97" s="12"/>
      <c r="AB97" s="12"/>
      <c r="AC97" s="12"/>
      <c r="AD97" s="12"/>
      <c r="AE97" s="12"/>
      <c r="AF97" s="12"/>
      <c r="AG97" s="12"/>
      <c r="AQ97" s="12"/>
      <c r="AR97" s="12"/>
      <c r="AS97" s="12"/>
      <c r="AT97" s="12"/>
      <c r="AU97" s="12"/>
      <c r="AV97" s="12"/>
      <c r="AW97" s="12"/>
      <c r="AX97" s="12"/>
      <c r="AY97" s="12"/>
      <c r="BI97" s="12"/>
      <c r="BJ97" s="12"/>
      <c r="BK97" s="12"/>
      <c r="BL97" s="12"/>
      <c r="BM97" s="12"/>
      <c r="BN97" s="12"/>
      <c r="BO97" s="12"/>
      <c r="BP97" s="12"/>
      <c r="BQ97" s="12"/>
      <c r="BS97" s="16"/>
      <c r="BU97" s="35"/>
      <c r="BY97" s="12"/>
      <c r="BZ97" s="12"/>
      <c r="CA97" s="12"/>
      <c r="CB97" s="12"/>
      <c r="CC97" s="12"/>
      <c r="CD97" s="12"/>
      <c r="CE97" s="12"/>
      <c r="CF97" s="12"/>
      <c r="CG97" s="12"/>
      <c r="CI97" s="16"/>
      <c r="CK97" s="35"/>
      <c r="CO97" s="12"/>
      <c r="CP97" s="12"/>
      <c r="CQ97" s="12"/>
      <c r="CR97" s="12"/>
      <c r="CS97" s="12"/>
      <c r="CT97" s="12"/>
      <c r="CU97" s="12"/>
      <c r="CV97" s="12"/>
      <c r="CW97" s="12"/>
      <c r="CY97" s="16"/>
      <c r="DA97" s="35"/>
      <c r="DE97" s="12"/>
      <c r="DF97" s="12"/>
      <c r="DG97" s="12"/>
      <c r="DH97" s="12"/>
      <c r="DI97" s="12"/>
      <c r="DJ97" s="12"/>
      <c r="DK97" s="12"/>
      <c r="DL97" s="12"/>
      <c r="DM97" s="12"/>
      <c r="DO97" s="16"/>
      <c r="DQ97" s="35"/>
      <c r="DU97" s="12"/>
      <c r="DV97" s="12"/>
      <c r="DW97" s="12"/>
      <c r="DX97" s="12"/>
      <c r="DY97" s="12"/>
      <c r="DZ97" s="12"/>
      <c r="EA97" s="12"/>
      <c r="EB97" s="12"/>
      <c r="EC97" s="12"/>
      <c r="EE97" s="16"/>
      <c r="EG97" s="35"/>
      <c r="EK97" s="12"/>
      <c r="EL97" s="12"/>
      <c r="EM97" s="12"/>
      <c r="EN97" s="12"/>
      <c r="EO97" s="12"/>
      <c r="EP97" s="12"/>
      <c r="EQ97" s="12"/>
      <c r="ER97" s="12"/>
      <c r="ES97" s="12"/>
      <c r="EU97" s="16"/>
      <c r="EW97" s="35"/>
      <c r="FA97" s="12"/>
      <c r="FB97" s="12"/>
      <c r="FC97" s="12"/>
      <c r="FD97" s="12"/>
      <c r="FE97" s="12"/>
      <c r="FF97" s="12"/>
      <c r="FG97" s="12"/>
      <c r="FH97" s="12"/>
      <c r="FI97" s="12"/>
      <c r="FK97" s="16"/>
      <c r="FM97" s="16"/>
      <c r="FQ97" s="12"/>
      <c r="FR97" s="12"/>
      <c r="FS97" s="12"/>
      <c r="FT97" s="12"/>
      <c r="FU97" s="12"/>
      <c r="FV97" s="12"/>
      <c r="FW97" s="12"/>
      <c r="FX97" s="12"/>
      <c r="FY97" s="12"/>
      <c r="GA97" s="16"/>
      <c r="GC97" s="9"/>
      <c r="GG97" s="12"/>
      <c r="GH97" s="12"/>
      <c r="GI97" s="12"/>
      <c r="GJ97" s="12"/>
      <c r="GK97" s="12"/>
      <c r="GL97" s="12"/>
      <c r="GM97" s="12"/>
      <c r="GN97" s="12"/>
      <c r="GO97" s="12"/>
      <c r="GQ97" s="16"/>
      <c r="GS97" s="9"/>
      <c r="GW97" s="12"/>
      <c r="GX97" s="12"/>
      <c r="GY97" s="12"/>
      <c r="GZ97" s="12"/>
      <c r="HA97" s="12"/>
      <c r="HB97" s="12"/>
      <c r="HC97" s="12"/>
      <c r="HD97" s="12"/>
      <c r="HE97" s="12"/>
      <c r="HG97" s="16"/>
      <c r="HI97" s="9"/>
      <c r="HM97" s="12"/>
      <c r="HN97" s="12"/>
      <c r="HO97" s="12"/>
      <c r="HP97" s="12"/>
      <c r="HQ97" s="12"/>
      <c r="HR97" s="12"/>
      <c r="HS97" s="12"/>
      <c r="HT97" s="12"/>
      <c r="HU97" s="12"/>
      <c r="HW97" s="16"/>
      <c r="HY97" s="9"/>
      <c r="IC97" s="12"/>
      <c r="ID97" s="12"/>
      <c r="IE97" s="12"/>
      <c r="IF97" s="12"/>
      <c r="IG97" s="12"/>
      <c r="IH97" s="12"/>
      <c r="II97" s="12"/>
      <c r="IJ97" s="12"/>
      <c r="IK97" s="12"/>
      <c r="IM97" s="16"/>
      <c r="IO97" s="9"/>
      <c r="IS97" s="12"/>
      <c r="IT97" s="12"/>
      <c r="IU97" s="12"/>
      <c r="IV97" s="12"/>
      <c r="IW97" s="12"/>
      <c r="IX97" s="12"/>
      <c r="IY97" s="12"/>
      <c r="IZ97" s="12"/>
      <c r="JA97" s="12"/>
      <c r="JE97" s="9"/>
      <c r="JI97" s="12"/>
      <c r="JJ97" s="12"/>
      <c r="JK97" s="12"/>
      <c r="JL97" s="12"/>
      <c r="JM97" s="12"/>
      <c r="JN97" s="12"/>
      <c r="JO97" s="12"/>
      <c r="JP97" s="12"/>
      <c r="JQ97" s="12"/>
      <c r="JU97" s="9"/>
      <c r="JY97" s="12"/>
      <c r="JZ97" s="12"/>
      <c r="KA97" s="12"/>
      <c r="KB97" s="12"/>
      <c r="KC97" s="12"/>
      <c r="KD97" s="12"/>
      <c r="KE97" s="12"/>
      <c r="KF97" s="12"/>
      <c r="KG97" s="12"/>
      <c r="KK97" s="9"/>
      <c r="KO97" s="12"/>
      <c r="KP97" s="12"/>
      <c r="KQ97" s="12"/>
      <c r="KR97" s="12"/>
      <c r="KS97" s="12"/>
      <c r="KT97" s="12"/>
      <c r="KU97" s="12"/>
      <c r="KV97" s="12"/>
      <c r="KW97" s="12"/>
      <c r="LA97" s="9"/>
      <c r="LE97" s="12"/>
      <c r="LF97" s="12"/>
      <c r="LG97" s="12"/>
      <c r="LH97" s="12"/>
      <c r="LI97" s="12"/>
      <c r="LJ97" s="12"/>
      <c r="LK97" s="12"/>
      <c r="LL97" s="12"/>
      <c r="LM97" s="12"/>
      <c r="LQ97" s="9"/>
      <c r="LU97" s="12"/>
      <c r="LV97" s="12"/>
      <c r="LW97" s="12"/>
      <c r="LX97" s="12"/>
      <c r="LY97" s="12"/>
      <c r="LZ97" s="12"/>
      <c r="MA97" s="12"/>
      <c r="MB97" s="12"/>
      <c r="MC97" s="12"/>
      <c r="MG97" s="9"/>
      <c r="MK97" s="12"/>
      <c r="ML97" s="12"/>
      <c r="MM97" s="12"/>
      <c r="MN97" s="12"/>
      <c r="MO97" s="12"/>
      <c r="MP97" s="12"/>
      <c r="MQ97" s="12"/>
      <c r="MR97" s="12"/>
      <c r="MS97" s="12"/>
      <c r="MW97" s="9"/>
      <c r="NA97" s="12"/>
      <c r="NB97" s="12"/>
      <c r="NC97" s="12"/>
      <c r="ND97" s="12"/>
      <c r="NE97" s="12"/>
      <c r="NF97" s="12"/>
      <c r="NG97" s="12"/>
      <c r="NH97" s="12"/>
      <c r="NI97" s="12"/>
      <c r="NM97" s="9"/>
      <c r="NQ97" s="12"/>
      <c r="NR97" s="12"/>
      <c r="NS97" s="12"/>
      <c r="NT97" s="12"/>
      <c r="NU97" s="12"/>
      <c r="NV97" s="12"/>
      <c r="NW97" s="12"/>
      <c r="NX97" s="12"/>
      <c r="NY97" s="12"/>
      <c r="OC97" s="9"/>
      <c r="OG97" s="12"/>
      <c r="OH97" s="12"/>
      <c r="OI97" s="12"/>
      <c r="OJ97" s="12"/>
      <c r="OK97" s="12"/>
      <c r="OL97" s="12"/>
      <c r="OM97" s="12"/>
      <c r="ON97" s="12"/>
      <c r="OO97" s="12"/>
      <c r="OS97" s="9"/>
    </row>
    <row r="98" spans="1:508" hidden="1" x14ac:dyDescent="0.2">
      <c r="B98" s="12"/>
      <c r="Y98" s="12"/>
      <c r="Z98" s="12"/>
      <c r="AA98" s="12"/>
      <c r="AB98" s="12"/>
      <c r="AC98" s="12"/>
      <c r="AD98" s="12"/>
      <c r="AE98" s="12"/>
      <c r="AF98" s="12"/>
      <c r="AG98" s="12"/>
      <c r="AQ98" s="12"/>
      <c r="AR98" s="12"/>
      <c r="AS98" s="12"/>
      <c r="AT98" s="12"/>
      <c r="AU98" s="12"/>
      <c r="AV98" s="12"/>
      <c r="AW98" s="12"/>
      <c r="AX98" s="12"/>
      <c r="AY98" s="12"/>
      <c r="BI98" s="12"/>
      <c r="BJ98" s="12"/>
      <c r="BK98" s="12"/>
      <c r="BL98" s="12"/>
      <c r="BM98" s="12"/>
      <c r="BN98" s="12"/>
      <c r="BO98" s="12"/>
      <c r="BP98" s="12"/>
      <c r="BQ98" s="12"/>
      <c r="BS98" s="16"/>
      <c r="BU98" s="35"/>
      <c r="BY98" s="12"/>
      <c r="BZ98" s="12"/>
      <c r="CA98" s="12"/>
      <c r="CB98" s="12"/>
      <c r="CC98" s="12"/>
      <c r="CD98" s="12"/>
      <c r="CE98" s="12"/>
      <c r="CF98" s="12"/>
      <c r="CG98" s="12"/>
      <c r="CI98" s="16"/>
      <c r="CK98" s="35"/>
      <c r="CO98" s="12"/>
      <c r="CP98" s="12"/>
      <c r="CQ98" s="12"/>
      <c r="CR98" s="12"/>
      <c r="CS98" s="12"/>
      <c r="CT98" s="12"/>
      <c r="CU98" s="12"/>
      <c r="CV98" s="12"/>
      <c r="CW98" s="12"/>
      <c r="CY98" s="16"/>
      <c r="DA98" s="35"/>
      <c r="DE98" s="12"/>
      <c r="DF98" s="12"/>
      <c r="DG98" s="12"/>
      <c r="DH98" s="12"/>
      <c r="DI98" s="12"/>
      <c r="DJ98" s="12"/>
      <c r="DK98" s="12"/>
      <c r="DL98" s="12"/>
      <c r="DM98" s="12"/>
      <c r="DO98" s="16"/>
      <c r="DQ98" s="35"/>
      <c r="DU98" s="12"/>
      <c r="DV98" s="12"/>
      <c r="DW98" s="12"/>
      <c r="DX98" s="12"/>
      <c r="DY98" s="12"/>
      <c r="DZ98" s="12"/>
      <c r="EA98" s="12"/>
      <c r="EB98" s="12"/>
      <c r="EC98" s="12"/>
      <c r="EE98" s="16"/>
      <c r="EG98" s="35"/>
      <c r="EK98" s="12"/>
      <c r="EL98" s="12"/>
      <c r="EM98" s="12"/>
      <c r="EN98" s="12"/>
      <c r="EO98" s="12"/>
      <c r="EP98" s="12"/>
      <c r="EQ98" s="12"/>
      <c r="ER98" s="12"/>
      <c r="ES98" s="12"/>
      <c r="EU98" s="16"/>
      <c r="EW98" s="35"/>
      <c r="FA98" s="12"/>
      <c r="FB98" s="12"/>
      <c r="FC98" s="12"/>
      <c r="FD98" s="12"/>
      <c r="FE98" s="12"/>
      <c r="FF98" s="12"/>
      <c r="FG98" s="12"/>
      <c r="FH98" s="12"/>
      <c r="FI98" s="12"/>
      <c r="FK98" s="16"/>
      <c r="FM98" s="16"/>
      <c r="FQ98" s="12"/>
      <c r="FR98" s="12"/>
      <c r="FS98" s="12"/>
      <c r="FT98" s="12"/>
      <c r="FU98" s="12"/>
      <c r="FV98" s="12"/>
      <c r="FW98" s="12"/>
      <c r="FX98" s="12"/>
      <c r="FY98" s="12"/>
      <c r="GA98" s="16"/>
      <c r="GC98" s="9"/>
      <c r="GG98" s="12"/>
      <c r="GH98" s="12"/>
      <c r="GI98" s="12"/>
      <c r="GJ98" s="12"/>
      <c r="GK98" s="12"/>
      <c r="GL98" s="12"/>
      <c r="GM98" s="12"/>
      <c r="GN98" s="12"/>
      <c r="GO98" s="12"/>
      <c r="GQ98" s="16"/>
      <c r="GS98" s="9"/>
      <c r="GW98" s="12"/>
      <c r="GX98" s="12"/>
      <c r="GY98" s="12"/>
      <c r="GZ98" s="12"/>
      <c r="HA98" s="12"/>
      <c r="HB98" s="12"/>
      <c r="HC98" s="12"/>
      <c r="HD98" s="12"/>
      <c r="HE98" s="12"/>
      <c r="HG98" s="16"/>
      <c r="HI98" s="9"/>
      <c r="HM98" s="12"/>
      <c r="HN98" s="12"/>
      <c r="HO98" s="12"/>
      <c r="HP98" s="12"/>
      <c r="HQ98" s="12"/>
      <c r="HR98" s="12"/>
      <c r="HS98" s="12"/>
      <c r="HT98" s="12"/>
      <c r="HU98" s="12"/>
      <c r="HW98" s="16"/>
      <c r="HY98" s="9"/>
      <c r="IC98" s="12"/>
      <c r="ID98" s="12"/>
      <c r="IE98" s="12"/>
      <c r="IF98" s="12"/>
      <c r="IG98" s="12"/>
      <c r="IH98" s="12"/>
      <c r="II98" s="12"/>
      <c r="IJ98" s="12"/>
      <c r="IK98" s="12"/>
      <c r="IM98" s="16"/>
      <c r="IO98" s="9"/>
      <c r="IS98" s="12"/>
      <c r="IT98" s="12"/>
      <c r="IU98" s="12"/>
      <c r="IV98" s="12"/>
      <c r="IW98" s="12"/>
      <c r="IX98" s="12"/>
      <c r="IY98" s="12"/>
      <c r="IZ98" s="12"/>
      <c r="JA98" s="12"/>
      <c r="JE98" s="9"/>
      <c r="JI98" s="12"/>
      <c r="JJ98" s="12"/>
      <c r="JK98" s="12"/>
      <c r="JL98" s="12"/>
      <c r="JM98" s="12"/>
      <c r="JN98" s="12"/>
      <c r="JO98" s="12"/>
      <c r="JP98" s="12"/>
      <c r="JQ98" s="12"/>
      <c r="JU98" s="9"/>
      <c r="JY98" s="12"/>
      <c r="JZ98" s="12"/>
      <c r="KA98" s="12"/>
      <c r="KB98" s="12"/>
      <c r="KC98" s="12"/>
      <c r="KD98" s="12"/>
      <c r="KE98" s="12"/>
      <c r="KF98" s="12"/>
      <c r="KG98" s="12"/>
      <c r="KK98" s="9"/>
      <c r="KO98" s="12"/>
      <c r="KP98" s="12"/>
      <c r="KQ98" s="12"/>
      <c r="KR98" s="12"/>
      <c r="KS98" s="12"/>
      <c r="KT98" s="12"/>
      <c r="KU98" s="12"/>
      <c r="KV98" s="12"/>
      <c r="KW98" s="12"/>
      <c r="LA98" s="9"/>
      <c r="LE98" s="12"/>
      <c r="LF98" s="12"/>
      <c r="LG98" s="12"/>
      <c r="LH98" s="12"/>
      <c r="LI98" s="12"/>
      <c r="LJ98" s="12"/>
      <c r="LK98" s="12"/>
      <c r="LL98" s="12"/>
      <c r="LM98" s="12"/>
      <c r="LQ98" s="9"/>
      <c r="LU98" s="12"/>
      <c r="LV98" s="12"/>
      <c r="LW98" s="12"/>
      <c r="LX98" s="12"/>
      <c r="LY98" s="12"/>
      <c r="LZ98" s="12"/>
      <c r="MA98" s="12"/>
      <c r="MB98" s="12"/>
      <c r="MC98" s="12"/>
      <c r="MG98" s="9"/>
      <c r="MK98" s="12"/>
      <c r="ML98" s="12"/>
      <c r="MM98" s="12"/>
      <c r="MN98" s="12"/>
      <c r="MO98" s="12"/>
      <c r="MP98" s="12"/>
      <c r="MQ98" s="12"/>
      <c r="MR98" s="12"/>
      <c r="MS98" s="12"/>
      <c r="MW98" s="9"/>
      <c r="NA98" s="12"/>
      <c r="NB98" s="12"/>
      <c r="NC98" s="12"/>
      <c r="ND98" s="12"/>
      <c r="NE98" s="12"/>
      <c r="NF98" s="12"/>
      <c r="NG98" s="12"/>
      <c r="NH98" s="12"/>
      <c r="NI98" s="12"/>
      <c r="NM98" s="9"/>
      <c r="NQ98" s="12"/>
      <c r="NR98" s="12"/>
      <c r="NS98" s="12"/>
      <c r="NT98" s="12"/>
      <c r="NU98" s="12"/>
      <c r="NV98" s="12"/>
      <c r="NW98" s="12"/>
      <c r="NX98" s="12"/>
      <c r="NY98" s="12"/>
      <c r="OC98" s="9"/>
      <c r="OG98" s="12"/>
      <c r="OH98" s="12"/>
      <c r="OI98" s="12"/>
      <c r="OJ98" s="12"/>
      <c r="OK98" s="12"/>
      <c r="OL98" s="12"/>
      <c r="OM98" s="12"/>
      <c r="ON98" s="12"/>
      <c r="OO98" s="12"/>
      <c r="OS98" s="9"/>
    </row>
    <row r="99" spans="1:508" x14ac:dyDescent="0.2">
      <c r="B99" s="12"/>
      <c r="Y99" s="12"/>
      <c r="Z99" s="12"/>
      <c r="AA99" s="12"/>
      <c r="AB99" s="12"/>
      <c r="AC99" s="12"/>
      <c r="AD99" s="12"/>
      <c r="AE99" s="12"/>
      <c r="AF99" s="12"/>
      <c r="AG99" s="12"/>
      <c r="AQ99" s="12"/>
      <c r="AR99" s="12"/>
      <c r="AS99" s="12"/>
      <c r="AT99" s="12"/>
      <c r="AU99" s="12"/>
      <c r="AV99" s="12"/>
      <c r="AW99" s="12"/>
      <c r="AX99" s="12"/>
      <c r="AY99" s="12"/>
      <c r="BI99" s="12"/>
      <c r="BJ99" s="12"/>
      <c r="BK99" s="12"/>
      <c r="BL99" s="12"/>
      <c r="BM99" s="12"/>
      <c r="BN99" s="12"/>
      <c r="BO99" s="12"/>
      <c r="BP99" s="12"/>
      <c r="BQ99" s="12"/>
      <c r="BS99" s="16"/>
      <c r="BU99" s="35"/>
      <c r="BY99" s="12"/>
      <c r="BZ99" s="12"/>
      <c r="CA99" s="12"/>
      <c r="CB99" s="12"/>
      <c r="CC99" s="12"/>
      <c r="CD99" s="12"/>
      <c r="CE99" s="12"/>
      <c r="CF99" s="12"/>
      <c r="CG99" s="12"/>
      <c r="CI99" s="16"/>
      <c r="CK99" s="35"/>
      <c r="CO99" s="12"/>
      <c r="CP99" s="12"/>
      <c r="CQ99" s="12"/>
      <c r="CR99" s="12"/>
      <c r="CS99" s="12"/>
      <c r="CT99" s="12"/>
      <c r="CU99" s="12"/>
      <c r="CV99" s="12"/>
      <c r="CW99" s="12"/>
      <c r="CY99" s="16"/>
      <c r="DA99" s="35"/>
      <c r="DE99" s="12"/>
      <c r="DF99" s="12"/>
      <c r="DG99" s="12"/>
      <c r="DH99" s="12"/>
      <c r="DI99" s="12"/>
      <c r="DJ99" s="12"/>
      <c r="DK99" s="12"/>
      <c r="DL99" s="12"/>
      <c r="DM99" s="12"/>
      <c r="DO99" s="16"/>
      <c r="DQ99" s="35"/>
      <c r="DU99" s="12"/>
      <c r="DV99" s="12"/>
      <c r="DW99" s="12"/>
      <c r="DX99" s="12"/>
      <c r="DY99" s="12"/>
      <c r="DZ99" s="12"/>
      <c r="EA99" s="12"/>
      <c r="EB99" s="12"/>
      <c r="EC99" s="12"/>
      <c r="EE99" s="16"/>
      <c r="EG99" s="35"/>
      <c r="EK99" s="12"/>
      <c r="EL99" s="12"/>
      <c r="EM99" s="12"/>
      <c r="EN99" s="12"/>
      <c r="EO99" s="12"/>
      <c r="EP99" s="12"/>
      <c r="EQ99" s="12"/>
      <c r="ER99" s="12"/>
      <c r="ES99" s="12"/>
      <c r="EU99" s="16"/>
      <c r="EW99" s="35"/>
      <c r="FA99" s="12"/>
      <c r="FB99" s="12"/>
      <c r="FC99" s="12"/>
      <c r="FD99" s="12"/>
      <c r="FE99" s="12"/>
      <c r="FF99" s="12"/>
      <c r="FG99" s="12"/>
      <c r="FH99" s="12"/>
      <c r="FI99" s="12"/>
      <c r="FK99" s="16"/>
      <c r="FM99" s="16"/>
      <c r="FQ99" s="12"/>
      <c r="FR99" s="12"/>
      <c r="FS99" s="12"/>
      <c r="FT99" s="12"/>
      <c r="FU99" s="12"/>
      <c r="FV99" s="12"/>
      <c r="FW99" s="12"/>
      <c r="FX99" s="12"/>
      <c r="FY99" s="12"/>
      <c r="GA99" s="16"/>
      <c r="GC99" s="9"/>
      <c r="GG99" s="12"/>
      <c r="GH99" s="12"/>
      <c r="GI99" s="12"/>
      <c r="GJ99" s="12"/>
      <c r="GK99" s="12"/>
      <c r="GL99" s="12"/>
      <c r="GM99" s="12"/>
      <c r="GN99" s="12"/>
      <c r="GO99" s="12"/>
      <c r="GQ99" s="16"/>
      <c r="GS99" s="9"/>
      <c r="GW99" s="12"/>
      <c r="GX99" s="12"/>
      <c r="GY99" s="12"/>
      <c r="GZ99" s="12"/>
      <c r="HA99" s="12"/>
      <c r="HB99" s="12"/>
      <c r="HC99" s="12"/>
      <c r="HD99" s="12"/>
      <c r="HE99" s="12"/>
      <c r="HG99" s="16"/>
      <c r="HI99" s="9"/>
      <c r="HM99" s="12"/>
      <c r="HN99" s="12"/>
      <c r="HO99" s="12"/>
      <c r="HP99" s="12"/>
      <c r="HQ99" s="12"/>
      <c r="HR99" s="12"/>
      <c r="HS99" s="12"/>
      <c r="HT99" s="12"/>
      <c r="HU99" s="12"/>
      <c r="HW99" s="16"/>
      <c r="HY99" s="9"/>
      <c r="IC99" s="12"/>
      <c r="ID99" s="12"/>
      <c r="IE99" s="12"/>
      <c r="IF99" s="12"/>
      <c r="IG99" s="12"/>
      <c r="IH99" s="12"/>
      <c r="II99" s="12"/>
      <c r="IJ99" s="12"/>
      <c r="IK99" s="12"/>
      <c r="IM99" s="16"/>
      <c r="IO99" s="9"/>
      <c r="IS99" s="12"/>
      <c r="IT99" s="12"/>
      <c r="IU99" s="12"/>
      <c r="IV99" s="12"/>
      <c r="IW99" s="12"/>
      <c r="IX99" s="12"/>
      <c r="IY99" s="12"/>
      <c r="IZ99" s="12"/>
      <c r="JA99" s="12"/>
      <c r="JE99" s="9"/>
      <c r="JI99" s="12"/>
      <c r="JJ99" s="12"/>
      <c r="JK99" s="12"/>
      <c r="JL99" s="12"/>
      <c r="JM99" s="12"/>
      <c r="JN99" s="12"/>
      <c r="JO99" s="12"/>
      <c r="JP99" s="12"/>
      <c r="JQ99" s="12"/>
      <c r="JU99" s="9"/>
      <c r="JY99" s="12"/>
      <c r="JZ99" s="12"/>
      <c r="KA99" s="12"/>
      <c r="KB99" s="12"/>
      <c r="KC99" s="12"/>
      <c r="KD99" s="12"/>
      <c r="KE99" s="12"/>
      <c r="KF99" s="12"/>
      <c r="KG99" s="12"/>
      <c r="KK99" s="9"/>
      <c r="KO99" s="12"/>
      <c r="KP99" s="12"/>
      <c r="KQ99" s="12"/>
      <c r="KR99" s="12"/>
      <c r="KS99" s="12"/>
      <c r="KT99" s="12"/>
      <c r="KU99" s="12"/>
      <c r="KV99" s="12"/>
      <c r="KW99" s="12"/>
      <c r="LA99" s="9"/>
      <c r="LE99" s="12"/>
      <c r="LF99" s="12"/>
      <c r="LG99" s="12"/>
      <c r="LH99" s="12"/>
      <c r="LI99" s="12"/>
      <c r="LJ99" s="12"/>
      <c r="LK99" s="12"/>
      <c r="LL99" s="12"/>
      <c r="LM99" s="12"/>
      <c r="LQ99" s="9"/>
      <c r="LU99" s="12"/>
      <c r="LV99" s="12"/>
      <c r="LW99" s="12"/>
      <c r="LX99" s="12"/>
      <c r="LY99" s="12"/>
      <c r="LZ99" s="12"/>
      <c r="MA99" s="12"/>
      <c r="MB99" s="12"/>
      <c r="MC99" s="12"/>
      <c r="MG99" s="9"/>
      <c r="MK99" s="12"/>
      <c r="ML99" s="12"/>
      <c r="MM99" s="12"/>
      <c r="MN99" s="12"/>
      <c r="MO99" s="12"/>
      <c r="MP99" s="12"/>
      <c r="MQ99" s="12"/>
      <c r="MR99" s="12"/>
      <c r="MS99" s="12"/>
      <c r="MW99" s="9"/>
      <c r="NA99" s="12"/>
      <c r="NB99" s="12"/>
      <c r="NC99" s="12"/>
      <c r="ND99" s="12"/>
      <c r="NE99" s="12"/>
      <c r="NF99" s="12"/>
      <c r="NG99" s="12"/>
      <c r="NH99" s="12"/>
      <c r="NI99" s="12"/>
      <c r="NM99" s="9"/>
      <c r="NQ99" s="12"/>
      <c r="NR99" s="12"/>
      <c r="NS99" s="12"/>
      <c r="NT99" s="12"/>
      <c r="NU99" s="12"/>
      <c r="NV99" s="12"/>
      <c r="NW99" s="12"/>
      <c r="NX99" s="12"/>
      <c r="NY99" s="12"/>
      <c r="OC99" s="9"/>
      <c r="OG99" s="12"/>
      <c r="OH99" s="12"/>
      <c r="OI99" s="12"/>
      <c r="OJ99" s="12"/>
      <c r="OK99" s="12"/>
      <c r="OL99" s="12"/>
      <c r="OM99" s="12"/>
      <c r="ON99" s="12"/>
      <c r="OO99" s="12"/>
      <c r="OS99" s="9"/>
    </row>
    <row r="100" spans="1:508" x14ac:dyDescent="0.2">
      <c r="B100" s="12"/>
      <c r="Y100" s="12"/>
      <c r="Z100" s="12"/>
      <c r="AA100" s="12"/>
      <c r="AB100" s="12"/>
      <c r="AC100" s="12"/>
      <c r="AD100" s="12"/>
      <c r="AE100" s="12"/>
      <c r="AF100" s="12"/>
      <c r="AG100" s="12"/>
      <c r="AQ100" s="12"/>
      <c r="AR100" s="12"/>
      <c r="AS100" s="12"/>
      <c r="AT100" s="12"/>
      <c r="AU100" s="12"/>
      <c r="AV100" s="12"/>
      <c r="AW100" s="12"/>
      <c r="AX100" s="12"/>
      <c r="AY100" s="12"/>
      <c r="BI100" s="12"/>
      <c r="BJ100" s="12"/>
      <c r="BK100" s="12"/>
      <c r="BL100" s="12"/>
      <c r="BM100" s="12"/>
      <c r="BN100" s="12"/>
      <c r="BO100" s="12"/>
      <c r="BP100" s="12"/>
      <c r="BQ100" s="12"/>
      <c r="BS100" s="16"/>
      <c r="BU100" s="35"/>
      <c r="BY100" s="12"/>
      <c r="BZ100" s="12"/>
      <c r="CA100" s="12"/>
      <c r="CB100" s="12"/>
      <c r="CC100" s="12"/>
      <c r="CD100" s="12"/>
      <c r="CE100" s="12"/>
      <c r="CF100" s="12"/>
      <c r="CG100" s="12"/>
      <c r="CI100" s="16"/>
      <c r="CK100" s="35"/>
      <c r="CO100" s="12"/>
      <c r="CP100" s="12"/>
      <c r="CQ100" s="12"/>
      <c r="CR100" s="12"/>
      <c r="CS100" s="12"/>
      <c r="CT100" s="12"/>
      <c r="CU100" s="12"/>
      <c r="CV100" s="12"/>
      <c r="CW100" s="12"/>
      <c r="CY100" s="16"/>
      <c r="DA100" s="35"/>
      <c r="DE100" s="12"/>
      <c r="DF100" s="12"/>
      <c r="DG100" s="12"/>
      <c r="DH100" s="12"/>
      <c r="DI100" s="12"/>
      <c r="DJ100" s="12"/>
      <c r="DK100" s="12"/>
      <c r="DL100" s="12"/>
      <c r="DM100" s="12"/>
      <c r="DO100" s="16"/>
      <c r="DQ100" s="35"/>
      <c r="DU100" s="12"/>
      <c r="DV100" s="12"/>
      <c r="DW100" s="12"/>
      <c r="DX100" s="12"/>
      <c r="DY100" s="12"/>
      <c r="DZ100" s="12"/>
      <c r="EA100" s="12"/>
      <c r="EB100" s="12"/>
      <c r="EC100" s="12"/>
      <c r="EE100" s="16"/>
      <c r="EG100" s="35"/>
      <c r="EK100" s="12"/>
      <c r="EL100" s="12"/>
      <c r="EM100" s="12"/>
      <c r="EN100" s="12"/>
      <c r="EO100" s="12"/>
      <c r="EP100" s="12"/>
      <c r="EQ100" s="12"/>
      <c r="ER100" s="12"/>
      <c r="ES100" s="12"/>
      <c r="EU100" s="16"/>
      <c r="EW100" s="35"/>
      <c r="FA100" s="12"/>
      <c r="FB100" s="12"/>
      <c r="FC100" s="12"/>
      <c r="FD100" s="12"/>
      <c r="FE100" s="12"/>
      <c r="FF100" s="12"/>
      <c r="FG100" s="12"/>
      <c r="FH100" s="12"/>
      <c r="FI100" s="12"/>
      <c r="FK100" s="16"/>
      <c r="FM100" s="16"/>
      <c r="FQ100" s="12"/>
      <c r="FR100" s="12"/>
      <c r="FS100" s="12"/>
      <c r="FT100" s="12"/>
      <c r="FU100" s="12"/>
      <c r="FV100" s="12"/>
      <c r="FW100" s="12"/>
      <c r="FX100" s="12"/>
      <c r="FY100" s="12"/>
      <c r="GA100" s="16"/>
      <c r="GC100" s="9"/>
      <c r="GG100" s="12"/>
      <c r="GH100" s="12"/>
      <c r="GI100" s="12"/>
      <c r="GJ100" s="12"/>
      <c r="GK100" s="12"/>
      <c r="GL100" s="12"/>
      <c r="GM100" s="12"/>
      <c r="GN100" s="12"/>
      <c r="GO100" s="12"/>
      <c r="GQ100" s="16"/>
      <c r="GS100" s="9"/>
      <c r="GW100" s="12"/>
      <c r="GX100" s="12"/>
      <c r="GY100" s="12"/>
      <c r="GZ100" s="12"/>
      <c r="HA100" s="12"/>
      <c r="HB100" s="12"/>
      <c r="HC100" s="12"/>
      <c r="HD100" s="12"/>
      <c r="HE100" s="12"/>
      <c r="HG100" s="16"/>
      <c r="HI100" s="9"/>
      <c r="HM100" s="12"/>
      <c r="HN100" s="12"/>
      <c r="HO100" s="12"/>
      <c r="HP100" s="12"/>
      <c r="HQ100" s="12"/>
      <c r="HR100" s="12"/>
      <c r="HS100" s="12"/>
      <c r="HT100" s="12"/>
      <c r="HU100" s="12"/>
      <c r="HW100" s="16"/>
      <c r="HY100" s="9"/>
      <c r="IC100" s="12"/>
      <c r="ID100" s="12"/>
      <c r="IE100" s="12"/>
      <c r="IF100" s="12"/>
      <c r="IG100" s="12"/>
      <c r="IH100" s="12"/>
      <c r="II100" s="12"/>
      <c r="IJ100" s="12"/>
      <c r="IK100" s="12"/>
      <c r="IM100" s="16"/>
      <c r="IO100" s="9"/>
      <c r="IS100" s="12"/>
      <c r="IT100" s="12"/>
      <c r="IU100" s="12"/>
      <c r="IV100" s="12"/>
      <c r="IW100" s="12"/>
      <c r="IX100" s="12"/>
      <c r="IY100" s="12"/>
      <c r="IZ100" s="12"/>
      <c r="JA100" s="12"/>
      <c r="JE100" s="9"/>
      <c r="JI100" s="12"/>
      <c r="JJ100" s="12"/>
      <c r="JK100" s="12"/>
      <c r="JL100" s="12"/>
      <c r="JM100" s="12"/>
      <c r="JN100" s="12"/>
      <c r="JO100" s="12"/>
      <c r="JP100" s="12"/>
      <c r="JQ100" s="12"/>
      <c r="JU100" s="9"/>
      <c r="JY100" s="12"/>
      <c r="JZ100" s="12"/>
      <c r="KA100" s="12"/>
      <c r="KB100" s="12"/>
      <c r="KC100" s="12"/>
      <c r="KD100" s="12"/>
      <c r="KE100" s="12"/>
      <c r="KF100" s="12"/>
      <c r="KG100" s="12"/>
      <c r="KK100" s="9"/>
      <c r="KO100" s="12"/>
      <c r="KP100" s="12"/>
      <c r="KQ100" s="12"/>
      <c r="KR100" s="12"/>
      <c r="KS100" s="12"/>
      <c r="KT100" s="12"/>
      <c r="KU100" s="12"/>
      <c r="KV100" s="12"/>
      <c r="KW100" s="12"/>
      <c r="LA100" s="9"/>
      <c r="LE100" s="12"/>
      <c r="LF100" s="12"/>
      <c r="LG100" s="12"/>
      <c r="LH100" s="12"/>
      <c r="LI100" s="12"/>
      <c r="LJ100" s="12"/>
      <c r="LK100" s="12"/>
      <c r="LL100" s="12"/>
      <c r="LM100" s="12"/>
      <c r="LQ100" s="9"/>
      <c r="LU100" s="12"/>
      <c r="LV100" s="12"/>
      <c r="LW100" s="12"/>
      <c r="LX100" s="12"/>
      <c r="LY100" s="12"/>
      <c r="LZ100" s="12"/>
      <c r="MA100" s="12"/>
      <c r="MB100" s="12"/>
      <c r="MC100" s="12"/>
      <c r="MG100" s="9"/>
      <c r="MK100" s="12"/>
      <c r="ML100" s="12"/>
      <c r="MM100" s="12"/>
      <c r="MN100" s="12"/>
      <c r="MO100" s="12"/>
      <c r="MP100" s="12"/>
      <c r="MQ100" s="12"/>
      <c r="MR100" s="12"/>
      <c r="MS100" s="12"/>
      <c r="MW100" s="9"/>
      <c r="NA100" s="12"/>
      <c r="NB100" s="12"/>
      <c r="NC100" s="12"/>
      <c r="ND100" s="12"/>
      <c r="NE100" s="12"/>
      <c r="NF100" s="12"/>
      <c r="NG100" s="12"/>
      <c r="NH100" s="12"/>
      <c r="NI100" s="12"/>
      <c r="NM100" s="9"/>
      <c r="NQ100" s="12"/>
      <c r="NR100" s="12"/>
      <c r="NS100" s="12"/>
      <c r="NT100" s="12"/>
      <c r="NU100" s="12"/>
      <c r="NV100" s="12"/>
      <c r="NW100" s="12"/>
      <c r="NX100" s="12"/>
      <c r="NY100" s="12"/>
      <c r="OC100" s="9"/>
      <c r="OG100" s="12"/>
      <c r="OH100" s="12"/>
      <c r="OI100" s="12"/>
      <c r="OJ100" s="12"/>
      <c r="OK100" s="12"/>
      <c r="OL100" s="12"/>
      <c r="OM100" s="12"/>
      <c r="ON100" s="12"/>
      <c r="OO100" s="12"/>
      <c r="OS100" s="9"/>
    </row>
    <row r="101" spans="1:508" x14ac:dyDescent="0.2">
      <c r="A101" s="5" t="s">
        <v>53</v>
      </c>
      <c r="B101" s="12"/>
      <c r="Y101" s="12"/>
      <c r="Z101" s="12"/>
      <c r="AA101" s="12"/>
      <c r="AB101" s="12"/>
      <c r="AC101" s="12"/>
      <c r="AD101" s="12"/>
      <c r="AE101" s="12"/>
      <c r="AF101" s="12"/>
      <c r="AG101" s="12"/>
      <c r="AQ101" s="12"/>
      <c r="AR101" s="12"/>
      <c r="AS101" s="12"/>
      <c r="AT101" s="12"/>
      <c r="AU101" s="12"/>
      <c r="AV101" s="12"/>
      <c r="AW101" s="12"/>
      <c r="AX101" s="12"/>
      <c r="AY101" s="12"/>
      <c r="BI101" s="12"/>
      <c r="BJ101" s="12"/>
      <c r="BK101" s="12"/>
      <c r="BL101" s="12"/>
      <c r="BM101" s="12"/>
      <c r="BN101" s="12"/>
      <c r="BO101" s="12"/>
      <c r="BP101" s="12"/>
      <c r="BQ101" s="12"/>
      <c r="BS101" s="16"/>
      <c r="BU101" s="35"/>
      <c r="BY101" s="12"/>
      <c r="BZ101" s="12"/>
      <c r="CA101" s="12"/>
      <c r="CB101" s="12"/>
      <c r="CC101" s="12"/>
      <c r="CD101" s="12"/>
      <c r="CE101" s="12"/>
      <c r="CF101" s="12"/>
      <c r="CG101" s="12"/>
      <c r="CI101" s="16"/>
      <c r="CK101" s="35"/>
      <c r="CO101" s="12"/>
      <c r="CP101" s="12"/>
      <c r="CQ101" s="12"/>
      <c r="CR101" s="12"/>
      <c r="CS101" s="12"/>
      <c r="CT101" s="12"/>
      <c r="CU101" s="12"/>
      <c r="CV101" s="12"/>
      <c r="CW101" s="12"/>
      <c r="CY101" s="16"/>
      <c r="DA101" s="35"/>
      <c r="DE101" s="12"/>
      <c r="DF101" s="12"/>
      <c r="DG101" s="12"/>
      <c r="DH101" s="12"/>
      <c r="DI101" s="12"/>
      <c r="DJ101" s="12"/>
      <c r="DK101" s="12"/>
      <c r="DL101" s="12"/>
      <c r="DM101" s="12"/>
      <c r="DO101" s="16"/>
      <c r="DQ101" s="35"/>
      <c r="DU101" s="12"/>
      <c r="DV101" s="12"/>
      <c r="DW101" s="12"/>
      <c r="DX101" s="12"/>
      <c r="DY101" s="12"/>
      <c r="DZ101" s="12"/>
      <c r="EA101" s="12"/>
      <c r="EB101" s="12"/>
      <c r="EC101" s="12"/>
      <c r="EE101" s="16"/>
      <c r="EG101" s="35"/>
      <c r="EK101" s="12"/>
      <c r="EL101" s="12"/>
      <c r="EM101" s="12"/>
      <c r="EN101" s="12"/>
      <c r="EO101" s="12"/>
      <c r="EP101" s="12"/>
      <c r="EQ101" s="12"/>
      <c r="ER101" s="12"/>
      <c r="ES101" s="12"/>
      <c r="EU101" s="16"/>
      <c r="EW101" s="35"/>
      <c r="FA101" s="12"/>
      <c r="FB101" s="12"/>
      <c r="FC101" s="12"/>
      <c r="FD101" s="12"/>
      <c r="FE101" s="12"/>
      <c r="FF101" s="12"/>
      <c r="FG101" s="12"/>
      <c r="FH101" s="12"/>
      <c r="FI101" s="12"/>
      <c r="FK101" s="16"/>
      <c r="FM101" s="16"/>
      <c r="FQ101" s="12"/>
      <c r="FR101" s="12"/>
      <c r="FS101" s="12"/>
      <c r="FT101" s="12"/>
      <c r="FU101" s="12"/>
      <c r="FV101" s="12"/>
      <c r="FW101" s="12"/>
      <c r="FX101" s="12"/>
      <c r="FY101" s="12"/>
      <c r="GA101" s="16"/>
      <c r="GC101" s="9"/>
      <c r="GG101" s="12"/>
      <c r="GH101" s="12"/>
      <c r="GI101" s="12"/>
      <c r="GJ101" s="12"/>
      <c r="GK101" s="12"/>
      <c r="GL101" s="12"/>
      <c r="GM101" s="12"/>
      <c r="GN101" s="12"/>
      <c r="GO101" s="12"/>
      <c r="GQ101" s="16"/>
      <c r="GS101" s="9"/>
      <c r="GW101" s="12"/>
      <c r="GX101" s="12"/>
      <c r="GY101" s="12"/>
      <c r="GZ101" s="12"/>
      <c r="HA101" s="12"/>
      <c r="HB101" s="12"/>
      <c r="HC101" s="12"/>
      <c r="HD101" s="12"/>
      <c r="HE101" s="12"/>
      <c r="HG101" s="16"/>
      <c r="HI101" s="9"/>
      <c r="HM101" s="12"/>
      <c r="HN101" s="12"/>
      <c r="HO101" s="12"/>
      <c r="HP101" s="12"/>
      <c r="HQ101" s="12"/>
      <c r="HR101" s="12"/>
      <c r="HS101" s="12"/>
      <c r="HT101" s="12"/>
      <c r="HU101" s="12"/>
      <c r="HW101" s="16"/>
      <c r="HY101" s="9"/>
      <c r="IC101" s="12"/>
      <c r="ID101" s="12"/>
      <c r="IE101" s="12"/>
      <c r="IF101" s="12"/>
      <c r="IG101" s="12"/>
      <c r="IH101" s="12"/>
      <c r="II101" s="12"/>
      <c r="IJ101" s="12"/>
      <c r="IK101" s="12"/>
      <c r="IM101" s="16"/>
      <c r="IO101" s="9"/>
      <c r="IS101" s="12"/>
      <c r="IT101" s="12"/>
      <c r="IU101" s="12"/>
      <c r="IV101" s="12"/>
      <c r="IW101" s="12"/>
      <c r="IX101" s="12"/>
      <c r="IY101" s="12"/>
      <c r="IZ101" s="12"/>
      <c r="JA101" s="12"/>
      <c r="JE101" s="9"/>
      <c r="JI101" s="12"/>
      <c r="JJ101" s="12"/>
      <c r="JK101" s="12"/>
      <c r="JL101" s="12"/>
      <c r="JM101" s="12"/>
      <c r="JN101" s="12"/>
      <c r="JO101" s="12"/>
      <c r="JP101" s="12"/>
      <c r="JQ101" s="12"/>
      <c r="JU101" s="9"/>
      <c r="JY101" s="12"/>
      <c r="JZ101" s="12"/>
      <c r="KA101" s="12"/>
      <c r="KB101" s="12"/>
      <c r="KC101" s="12"/>
      <c r="KD101" s="12"/>
      <c r="KE101" s="12"/>
      <c r="KF101" s="12"/>
      <c r="KG101" s="12"/>
      <c r="KK101" s="9"/>
      <c r="KO101" s="12"/>
      <c r="KP101" s="12"/>
      <c r="KQ101" s="12"/>
      <c r="KR101" s="12"/>
      <c r="KS101" s="12"/>
      <c r="KT101" s="12"/>
      <c r="KU101" s="12"/>
      <c r="KV101" s="12"/>
      <c r="KW101" s="12"/>
      <c r="LA101" s="9"/>
      <c r="LE101" s="12"/>
      <c r="LF101" s="12"/>
      <c r="LG101" s="12"/>
      <c r="LH101" s="12"/>
      <c r="LI101" s="12"/>
      <c r="LJ101" s="12"/>
      <c r="LK101" s="12"/>
      <c r="LL101" s="12"/>
      <c r="LM101" s="12"/>
      <c r="LQ101" s="9"/>
      <c r="LU101" s="12"/>
      <c r="LV101" s="12"/>
      <c r="LW101" s="12"/>
      <c r="LX101" s="12"/>
      <c r="LY101" s="12"/>
      <c r="LZ101" s="12"/>
      <c r="MA101" s="12"/>
      <c r="MB101" s="12"/>
      <c r="MC101" s="12"/>
      <c r="MG101" s="9"/>
      <c r="MK101" s="12"/>
      <c r="ML101" s="12"/>
      <c r="MM101" s="12"/>
      <c r="MN101" s="12"/>
      <c r="MO101" s="12"/>
      <c r="MP101" s="12"/>
      <c r="MQ101" s="12"/>
      <c r="MR101" s="12"/>
      <c r="MS101" s="12"/>
      <c r="MW101" s="9"/>
      <c r="NA101" s="12"/>
      <c r="NB101" s="12"/>
      <c r="NC101" s="12"/>
      <c r="ND101" s="12"/>
      <c r="NE101" s="12"/>
      <c r="NF101" s="12"/>
      <c r="NG101" s="12"/>
      <c r="NH101" s="12"/>
      <c r="NI101" s="12"/>
      <c r="NM101" s="9"/>
      <c r="NQ101" s="12"/>
      <c r="NR101" s="12"/>
      <c r="NS101" s="12"/>
      <c r="NT101" s="12"/>
      <c r="NU101" s="12"/>
      <c r="NV101" s="12"/>
      <c r="NW101" s="12"/>
      <c r="NX101" s="12"/>
      <c r="NY101" s="12"/>
      <c r="OC101" s="9"/>
      <c r="OG101" s="12"/>
      <c r="OH101" s="12"/>
      <c r="OI101" s="12"/>
      <c r="OJ101" s="12"/>
      <c r="OK101" s="12"/>
      <c r="OL101" s="12"/>
      <c r="OM101" s="12"/>
      <c r="ON101" s="12"/>
      <c r="OO101" s="12"/>
      <c r="OS101" s="9"/>
    </row>
    <row r="102" spans="1:508" x14ac:dyDescent="0.2">
      <c r="A102" t="s">
        <v>57</v>
      </c>
      <c r="B102" s="12">
        <f t="shared" ref="B102:H104" si="534">M102+Y102+AQ102+BI102+BY102+CO102+DE102+DU102+EK102+FA102+FQ102+GG102+GW102+HM102+IC102+IS102+JI102+JY102+KO102+LE102+LU102+MK102+NA102+NQ102+OG102</f>
        <v>0</v>
      </c>
      <c r="C102" s="12">
        <f t="shared" si="534"/>
        <v>0</v>
      </c>
      <c r="D102" s="12">
        <f t="shared" si="534"/>
        <v>0</v>
      </c>
      <c r="E102" s="12">
        <f t="shared" si="534"/>
        <v>0</v>
      </c>
      <c r="F102" s="12">
        <f t="shared" si="534"/>
        <v>0</v>
      </c>
      <c r="G102" s="12">
        <f t="shared" si="534"/>
        <v>0</v>
      </c>
      <c r="H102" s="12">
        <f t="shared" si="534"/>
        <v>0</v>
      </c>
      <c r="I102" s="12">
        <f t="shared" ref="I102:J104" si="535">AF102+AX102+BP102+CF102+CV102+DL102+EB102+ER102+FH102+FX102+GN102+HD102+HT102+IJ102+IZ102+JP102+KF102+KV102+LL102+MB102+MR102+NH102+NX102+ON102</f>
        <v>0</v>
      </c>
      <c r="J102" s="12">
        <f t="shared" si="535"/>
        <v>0</v>
      </c>
      <c r="M102">
        <f>M$5*V102</f>
        <v>0</v>
      </c>
      <c r="N102">
        <f>N$5*V102</f>
        <v>0</v>
      </c>
      <c r="O102">
        <f>O$5*V102</f>
        <v>0</v>
      </c>
      <c r="P102">
        <f>P$5*V102</f>
        <v>0</v>
      </c>
      <c r="Q102">
        <f>Q$5*V102</f>
        <v>0</v>
      </c>
      <c r="R102">
        <f>R$5*V102</f>
        <v>0</v>
      </c>
      <c r="S102">
        <f>S$5*V102</f>
        <v>0</v>
      </c>
      <c r="U102" t="s">
        <v>1309</v>
      </c>
      <c r="V102">
        <f>_xlfn.XLOOKUP(U102,'KPI Impacts'!$B$2:$H$2,'KPI Impacts'!$B102:$H102)</f>
        <v>2</v>
      </c>
      <c r="Y102" s="12" cm="1">
        <f t="array" ref="Y102">_xlfn.SWITCH(Y$4, 0,0, 1, AJ102,2,AL102,3,AN102,0)</f>
        <v>0</v>
      </c>
      <c r="Z102" s="12" cm="1">
        <f t="array" ref="Z102">_xlfn.SWITCH(Z$4, 0,0, 1, AJ102,2,AL102,3,AN102,0)+Y102</f>
        <v>0</v>
      </c>
      <c r="AA102" s="12" cm="1">
        <f t="array" ref="AA102">_xlfn.SWITCH(AA$4, 0,0, 1, AJ102,2,AL102,3,AN102,0)+Z102</f>
        <v>0</v>
      </c>
      <c r="AB102" s="12" cm="1">
        <f t="array" ref="AB102">_xlfn.SWITCH(AB$4, 0,0, 1, AJ102,2,AL102,3,AN102,0)+AA102</f>
        <v>0</v>
      </c>
      <c r="AC102" s="12" cm="1">
        <f t="array" ref="AC102">_xlfn.SWITCH(AC$4, 0,0, 1, AJ102,2,AL102,3,AN102,0)+AB102</f>
        <v>0</v>
      </c>
      <c r="AD102" s="12" cm="1">
        <f t="array" ref="AD102">_xlfn.SWITCH(AD$4, 0,0, 1, AJ102,2,AL102,3,AN102,0)+AC102</f>
        <v>0</v>
      </c>
      <c r="AE102" s="12" cm="1">
        <f t="array" ref="AE102">_xlfn.SWITCH(AE$4, 0,0, 1, AJ102,2,AL102,3,AN102,0)+AD102</f>
        <v>0</v>
      </c>
      <c r="AF102" s="12" cm="1">
        <f t="array" ref="AF102">_xlfn.SWITCH(AF$4, 0,0, 1, AJ102,2,AL102,3,AN102,0)+AE102</f>
        <v>0</v>
      </c>
      <c r="AG102" s="12" cm="1">
        <f t="array" ref="AG102">_xlfn.SWITCH(AG$4, 0,0, 1, AJ102,2,AL102,3,AN102,0)+AF102</f>
        <v>0</v>
      </c>
      <c r="AI102" t="s">
        <v>1307</v>
      </c>
      <c r="AJ102">
        <f>_xlfn.XLOOKUP(AI102,'KPI Impacts'!$K$2:$Q$2,'KPI Impacts'!$K102:$Q102)</f>
        <v>0.6</v>
      </c>
      <c r="AK102" t="s">
        <v>1309</v>
      </c>
      <c r="AL102">
        <f>_xlfn.XLOOKUP(AK102,'KPI Impacts'!$K$2:$Q$2,'KPI Impacts'!$K102:$Q102)</f>
        <v>1.2</v>
      </c>
      <c r="AM102" t="s">
        <v>1308</v>
      </c>
      <c r="AN102">
        <f>_xlfn.XLOOKUP(AM102,'KPI Impacts'!$K$2:$Q$2,'KPI Impacts'!$K102:$Q102)</f>
        <v>1.7999999999999998</v>
      </c>
      <c r="AQ102" s="12" cm="1">
        <f t="array" ref="AQ102">_xlfn.SWITCH(AQ$4, 0,0, 1, BB102,2,BD102,3,BF102,0)</f>
        <v>0</v>
      </c>
      <c r="AR102" s="12" cm="1">
        <f t="array" ref="AR102">_xlfn.SWITCH(AR$4, 0,0, 1, BB102,2,BD102,3,BF102,0)+AQ102</f>
        <v>0</v>
      </c>
      <c r="AS102" s="12" cm="1">
        <f t="array" ref="AS102">_xlfn.SWITCH(AS$4, 0,0, 1, BB102,2,BD102,3,BF102,0)+AR102</f>
        <v>0</v>
      </c>
      <c r="AT102" s="12" cm="1">
        <f t="array" ref="AT102">_xlfn.SWITCH(AT$4, 0,0, 1, BB102,2,BD102,3,BF102,0)+AS102</f>
        <v>0</v>
      </c>
      <c r="AU102" s="12" cm="1">
        <f t="array" ref="AU102">_xlfn.SWITCH(AU$4, 0,0, 1, BB102,2,BD102,3,BF102,0)+AT102</f>
        <v>0</v>
      </c>
      <c r="AV102" s="12" cm="1">
        <f t="array" ref="AV102">_xlfn.SWITCH(AV$4, 0,0, 1, BB102,2,BD102,3,BF102,0)+AU102</f>
        <v>0</v>
      </c>
      <c r="AW102" s="12" cm="1">
        <f t="array" ref="AW102">_xlfn.SWITCH(AW$4, 0,0, 1, BB102,2,BD102,3,BF102,0)+AV102</f>
        <v>0</v>
      </c>
      <c r="AX102" s="12" cm="1">
        <f t="array" ref="AX102">_xlfn.SWITCH(AX$4, 0,0, 1, BB102,2,BD102,3,BF102,0)+AW102</f>
        <v>0</v>
      </c>
      <c r="AY102" s="12" cm="1">
        <f t="array" ref="AY102">_xlfn.SWITCH(AY$4, 0,0, 1, BB102,2,BD102,3,BF102,0)+AX102</f>
        <v>0</v>
      </c>
      <c r="BA102" t="s">
        <v>1307</v>
      </c>
      <c r="BB102">
        <f>_xlfn.XLOOKUP(BA102,'KPI Impacts'!$K$2:$Q$2,'KPI Impacts'!$K102:$Q102)</f>
        <v>0.6</v>
      </c>
      <c r="BC102" t="s">
        <v>1309</v>
      </c>
      <c r="BD102">
        <f>_xlfn.XLOOKUP(BC102,'KPI Impacts'!$K$2:$Q$2,'KPI Impacts'!$K102:$Q102)</f>
        <v>1.2</v>
      </c>
      <c r="BE102" t="s">
        <v>1308</v>
      </c>
      <c r="BF102">
        <f>_xlfn.XLOOKUP(BE102,'KPI Impacts'!$K$2:$Q$2,'KPI Impacts'!$K102:$Q102)</f>
        <v>1.7999999999999998</v>
      </c>
      <c r="BI102" s="12">
        <f>BI$22*BT102</f>
        <v>0</v>
      </c>
      <c r="BJ102" s="12">
        <f>BJ$22 * IF(AND(BI$5=1,BI$20=1), BV102, BT102)</f>
        <v>0</v>
      </c>
      <c r="BK102" s="12">
        <f>BK$22 * IF(AND(BJ$5=1,BI$20=1), BV102, BT102)</f>
        <v>0</v>
      </c>
      <c r="BL102" s="12">
        <f>BL$22 * IF(AND(BK$5=1,BI$20=1), BV102, BT102)</f>
        <v>0</v>
      </c>
      <c r="BM102" s="12">
        <f>BM$22 * IF(AND(BL$5=1,BI$20=1), BV102, BT102)</f>
        <v>0</v>
      </c>
      <c r="BN102" s="12">
        <f>BN$22 * IF(AND(BM$5=1,BI$20=1), BV102, BT102)</f>
        <v>0</v>
      </c>
      <c r="BO102" s="12">
        <f>BO$22 * IF(AND(BN$5=1,BI$20=1), BV102, BT102)</f>
        <v>0</v>
      </c>
      <c r="BP102" s="12">
        <f>BP$22 * IF(AND(BO$5=1,BI$20=1), BV102, BT102)</f>
        <v>0</v>
      </c>
      <c r="BQ102" s="12">
        <f>BQ$22 * IF(AND(BP$5=1,BI$20=1), BV102, BT102)</f>
        <v>0</v>
      </c>
      <c r="BS102" s="16" t="s">
        <v>1303</v>
      </c>
      <c r="BT102">
        <f>_xlfn.XLOOKUP(BS102,'KPI Impacts'!$B$2:$H$2,'KPI Impacts'!$B102:$H102)</f>
        <v>0</v>
      </c>
      <c r="BU102" s="35" t="s">
        <v>1303</v>
      </c>
      <c r="BV102">
        <f>_xlfn.XLOOKUP(BU102,'KPI Impacts'!$B$2:$H$2,'KPI Impacts'!$B102:$H102)</f>
        <v>0</v>
      </c>
      <c r="BY102" s="12">
        <f>BY$22*CJ102</f>
        <v>0</v>
      </c>
      <c r="BZ102" s="12">
        <f>BZ$22 * IF(AND(BY$5=1,BY$20=1), CL102, CJ102)</f>
        <v>0</v>
      </c>
      <c r="CA102" s="12">
        <f>CA$22 * IF(AND(BZ$5=1,BY$20=1), CL102, CJ102)</f>
        <v>0</v>
      </c>
      <c r="CB102" s="12">
        <f>CB$22 * IF(AND(CA$5=1,BY$20=1), CL102, CJ102)</f>
        <v>0</v>
      </c>
      <c r="CC102" s="12">
        <f>CC$22 * IF(AND(CB$5=1,BY$20=1), CL102, CJ102)</f>
        <v>0</v>
      </c>
      <c r="CD102" s="12">
        <f>CD$22 * IF(AND(CC$5=1,BY$20=1), CL102, CJ102)</f>
        <v>0</v>
      </c>
      <c r="CE102" s="12">
        <f>CE$22 * IF(AND(CD$5=1,BY$20=1), CL102, CJ102)</f>
        <v>0</v>
      </c>
      <c r="CF102" s="12">
        <f>CF$22 * IF(AND(CE$5=1,BY$20=1), CL102, CJ102)</f>
        <v>0</v>
      </c>
      <c r="CG102" s="12">
        <f>CG$22 * IF(AND(CF$5=1,BY$20=1), CL102, CJ102)</f>
        <v>0</v>
      </c>
      <c r="CI102" s="30" t="s">
        <v>1307</v>
      </c>
      <c r="CJ102">
        <f>_xlfn.XLOOKUP(CI102,'KPI Impacts'!$B$2:$H$2,'KPI Impacts'!$B102:$H102)</f>
        <v>1</v>
      </c>
      <c r="CK102" s="35" t="s">
        <v>1303</v>
      </c>
      <c r="CL102">
        <f>_xlfn.XLOOKUP(CK102,'KPI Impacts'!$B$2:$H$2,'KPI Impacts'!$B102:$H102)</f>
        <v>0</v>
      </c>
      <c r="CO102" s="12">
        <f>CO$22*CZ102</f>
        <v>0</v>
      </c>
      <c r="CP102" s="12">
        <f>CP$22 * IF(AND(CO$5=1,CO$20=1), DB102, CZ102)</f>
        <v>0</v>
      </c>
      <c r="CQ102" s="12">
        <f>CQ$22 * IF(AND(CP$5=1,CO$20=1), DB102, CZ102)</f>
        <v>0</v>
      </c>
      <c r="CR102" s="12">
        <f>CR$22 * IF(AND(CQ$5=1,CO$20=1), DB102, CZ102)</f>
        <v>0</v>
      </c>
      <c r="CS102" s="12">
        <f>CS$22 * IF(AND(CR$5=1,CO$20=1), DB102, CZ102)</f>
        <v>0</v>
      </c>
      <c r="CT102" s="12">
        <f>CT$22 * IF(AND(CS$5=1,CO$20=1), DB102, CZ102)</f>
        <v>0</v>
      </c>
      <c r="CU102" s="12">
        <f>CU$22 * IF(AND(CT$5=1,CO$20=1), DB102, CZ102)</f>
        <v>0</v>
      </c>
      <c r="CV102" s="12">
        <f>CV$22 * IF(AND(CU$5=1,CO$20=1), DB102, CZ102)</f>
        <v>0</v>
      </c>
      <c r="CW102" s="12">
        <f>CW$22 * IF(AND(CV$5=1,CO$20=1), DB102, CZ102)</f>
        <v>0</v>
      </c>
      <c r="CY102" s="30" t="s">
        <v>1308</v>
      </c>
      <c r="CZ102">
        <f>_xlfn.XLOOKUP(CY102,'KPI Impacts'!$B$2:$H$2,'KPI Impacts'!$B102:$H102)</f>
        <v>4</v>
      </c>
      <c r="DA102" s="35" t="s">
        <v>1303</v>
      </c>
      <c r="DB102">
        <f>_xlfn.XLOOKUP(DA102,'KPI Impacts'!$B$2:$H$2,'KPI Impacts'!$B102:$H102)</f>
        <v>0</v>
      </c>
      <c r="DE102" s="12">
        <f>DE$22*DP102</f>
        <v>0</v>
      </c>
      <c r="DF102" s="12">
        <f>DF$22 * IF(AND(DE$5=1,DE$20=1), DR102, DP102)</f>
        <v>0</v>
      </c>
      <c r="DG102" s="12">
        <f>DG$22 * IF(AND(DF$5=1,DE$20=1), DR102, DP102)</f>
        <v>0</v>
      </c>
      <c r="DH102" s="12">
        <f>DH$22 * IF(AND(DG$5=1,DE$20=1), DR102, DP102)</f>
        <v>0</v>
      </c>
      <c r="DI102" s="12">
        <f>DI$22 * IF(AND(DH$5=1,DE$20=1), DR102, DP102)</f>
        <v>0</v>
      </c>
      <c r="DJ102" s="12">
        <f>DJ$22 * IF(AND(DI$5=1,DE$20=1), DR102, DP102)</f>
        <v>0</v>
      </c>
      <c r="DK102" s="12">
        <f>DK$22 * IF(AND(DJ$5=1,DE$20=1), DR102, DP102)</f>
        <v>0</v>
      </c>
      <c r="DL102" s="12">
        <f>DL$22 * IF(AND(DK$5=1,DE$20=1), DR102, DP102)</f>
        <v>0</v>
      </c>
      <c r="DM102" s="12">
        <f>DM$22 * IF(AND(DL$5=1,DE$20=1), DR102, DP102)</f>
        <v>0</v>
      </c>
      <c r="DO102" s="16" t="s">
        <v>1303</v>
      </c>
      <c r="DP102">
        <f>_xlfn.XLOOKUP(DO102,'KPI Impacts'!$B$2:$H$2,'KPI Impacts'!$B102:$H102)</f>
        <v>0</v>
      </c>
      <c r="DQ102" s="35" t="s">
        <v>1303</v>
      </c>
      <c r="DR102">
        <f>_xlfn.XLOOKUP(DQ102,'KPI Impacts'!$B$2:$H$2,'KPI Impacts'!$B102:$H102)</f>
        <v>0</v>
      </c>
      <c r="DU102" s="12">
        <f>DU$22*EF102</f>
        <v>0</v>
      </c>
      <c r="DV102" s="12">
        <f>DV$22 * IF(AND(DU$5=1,DU$20=1), EH102, EF102)</f>
        <v>0</v>
      </c>
      <c r="DW102" s="12">
        <f>DW$22 * IF(AND(DV$5=1,DU$20=1), EH102, EF102)</f>
        <v>0</v>
      </c>
      <c r="DX102" s="12">
        <f>DX$22 * IF(AND(DW$5=1,DU$20=1), EH102, EF102)</f>
        <v>0</v>
      </c>
      <c r="DY102" s="12">
        <f>DY$22 * IF(AND(DX$5=1,DU$20=1), EH102, EF102)</f>
        <v>0</v>
      </c>
      <c r="DZ102" s="12">
        <f>DZ$22 * IF(AND(DY$5=1,DU$20=1), EH102, EF102)</f>
        <v>0</v>
      </c>
      <c r="EA102" s="12">
        <f>EA$22 * IF(AND(DZ$5=1,DU$20=1), EH102, EF102)</f>
        <v>0</v>
      </c>
      <c r="EB102" s="12">
        <f>EB$22 * IF(AND(EA$5=1,DU$20=1), EH102, EF102)</f>
        <v>0</v>
      </c>
      <c r="EC102" s="12">
        <f>EC$22 * IF(AND(EB$5=1,DU$20=1), EH102, EF102)</f>
        <v>0</v>
      </c>
      <c r="EE102" s="30" t="s">
        <v>1307</v>
      </c>
      <c r="EF102">
        <f>_xlfn.XLOOKUP(EE102,'KPI Impacts'!$B$2:$H$2,'KPI Impacts'!$B102:$H102)</f>
        <v>1</v>
      </c>
      <c r="EG102" s="35" t="s">
        <v>1303</v>
      </c>
      <c r="EH102">
        <f>_xlfn.XLOOKUP(EG102,'KPI Impacts'!$B$2:$H$2,'KPI Impacts'!$B102:$H102)</f>
        <v>0</v>
      </c>
      <c r="EK102" s="12">
        <f>EK$22*EV102</f>
        <v>0</v>
      </c>
      <c r="EL102" s="12">
        <f>EL$22 * IF(AND(EK$5=1,EK$20=1), EX102, EV102)</f>
        <v>0</v>
      </c>
      <c r="EM102" s="12">
        <f>EM$22 * IF(AND(EL$5=1,EK$20=1), EX102, EV102)</f>
        <v>0</v>
      </c>
      <c r="EN102" s="12">
        <f>EN$22 * IF(AND(EM$5=1,EK$20=1), EX102, EV102)</f>
        <v>0</v>
      </c>
      <c r="EO102" s="12">
        <f>EO$22 * IF(AND(EN$5=1,EK$20=1), EX102, EV102)</f>
        <v>0</v>
      </c>
      <c r="EP102" s="12">
        <f>EP$22 * IF(AND(EO$5=1,EK$20=1), EX102, EV102)</f>
        <v>0</v>
      </c>
      <c r="EQ102" s="12">
        <f>EQ$22 * IF(AND(EP$5=1,EK$20=1), EX102, EV102)</f>
        <v>0</v>
      </c>
      <c r="ER102" s="12">
        <f>ER$22 * IF(AND(EQ$5=1,EK$20=1), EX102, EV102)</f>
        <v>0</v>
      </c>
      <c r="ES102" s="12">
        <f>ES$22 * IF(AND(ER$5=1,EK$20=1), EX102, EV102)</f>
        <v>0</v>
      </c>
      <c r="EU102" s="16" t="s">
        <v>1303</v>
      </c>
      <c r="EV102">
        <f>_xlfn.XLOOKUP(EU102,'KPI Impacts'!$B$2:$H$2,'KPI Impacts'!$B102:$H102)</f>
        <v>0</v>
      </c>
      <c r="EW102" s="35" t="s">
        <v>1303</v>
      </c>
      <c r="EX102">
        <f>_xlfn.XLOOKUP(EW102,'KPI Impacts'!$B$2:$H$2,'KPI Impacts'!$B102:$H102)</f>
        <v>0</v>
      </c>
      <c r="FA102" s="12">
        <f>FA$22*FL102</f>
        <v>0</v>
      </c>
      <c r="FB102" s="12">
        <f>FB$22 * IF(AND(FA$5=1,FA$20=1), FN102, FL102)</f>
        <v>0</v>
      </c>
      <c r="FC102" s="12">
        <f>FC$22 * IF(AND(FB$5=1,FA$20=1), FN102, FL102)</f>
        <v>0</v>
      </c>
      <c r="FD102" s="12">
        <f>FD$22 * IF(AND(FC$5=1,FA$20=1), FN102, FL102)</f>
        <v>0</v>
      </c>
      <c r="FE102" s="12">
        <f>FE$22 * IF(AND(FD$5=1,FA$20=1), FN102, FL102)</f>
        <v>0</v>
      </c>
      <c r="FF102" s="12">
        <f>FF$22 * IF(AND(FE$5=1,FA$20=1), FN102, FL102)</f>
        <v>0</v>
      </c>
      <c r="FG102" s="12">
        <f>FG$22 * IF(AND(FF$5=1,FA$20=1), FN102, FL102)</f>
        <v>0</v>
      </c>
      <c r="FH102" s="12">
        <f>FH$22 * IF(AND(FG$5=1,FA$20=1), FN102, FL102)</f>
        <v>0</v>
      </c>
      <c r="FI102" s="12">
        <f>FI$22 * IF(AND(FH$5=1,FA$20=1), FN102, FL102)</f>
        <v>0</v>
      </c>
      <c r="FK102" s="30" t="s">
        <v>1307</v>
      </c>
      <c r="FL102">
        <f>_xlfn.XLOOKUP(FK102,'KPI Impacts'!$B$2:$H$2,'KPI Impacts'!$B102:$H102)</f>
        <v>1</v>
      </c>
      <c r="FM102" s="30" t="s">
        <v>1307</v>
      </c>
      <c r="FN102">
        <f>_xlfn.XLOOKUP(FM102,'KPI Impacts'!$B$2:$H$2,'KPI Impacts'!$B102:$H102)</f>
        <v>1</v>
      </c>
      <c r="FQ102" s="12">
        <f>FQ$22*GB102</f>
        <v>0</v>
      </c>
      <c r="FR102" s="12">
        <f>FR$22 * IF(AND(FQ$5=1,FQ$20=1), GD102, GB102)</f>
        <v>0</v>
      </c>
      <c r="FS102" s="12">
        <f>FS$22 * IF(AND(FR$5=1,FQ$20=1), GD102, GB102)</f>
        <v>0</v>
      </c>
      <c r="FT102" s="12">
        <f>FT$22 * IF(AND(FS$5=1,FQ$20=1), GD102, GB102)</f>
        <v>0</v>
      </c>
      <c r="FU102" s="12">
        <f>FU$22 * IF(AND(FT$5=1,FQ$20=1), GD102, GB102)</f>
        <v>0</v>
      </c>
      <c r="FV102" s="12">
        <f>FV$22 * IF(AND(FU$5=1,FQ$20=1), GD102, GB102)</f>
        <v>0</v>
      </c>
      <c r="FW102" s="12">
        <f>FW$22 * IF(AND(FV$5=1,FQ$20=1), GD102, GB102)</f>
        <v>0</v>
      </c>
      <c r="FX102" s="12">
        <f>FX$22 * IF(AND(FW$5=1,FQ$20=1), GD102, GB102)</f>
        <v>0</v>
      </c>
      <c r="FY102" s="12">
        <f>FY$22 * IF(AND(FX$5=1,FQ$20=1), GD102, GB102)</f>
        <v>0</v>
      </c>
      <c r="GA102" s="30" t="s">
        <v>1308</v>
      </c>
      <c r="GB102">
        <f>_xlfn.XLOOKUP(GA102,'KPI Impacts'!$B$2:$H$2,'KPI Impacts'!$B102:$H102)</f>
        <v>4</v>
      </c>
      <c r="GC102" s="9" t="s">
        <v>1303</v>
      </c>
      <c r="GD102">
        <f>_xlfn.XLOOKUP(GC102,'KPI Impacts'!$B$2:$H$2,'KPI Impacts'!$B102:$H102)</f>
        <v>0</v>
      </c>
      <c r="GG102" s="12">
        <f>GG$22*GR102</f>
        <v>0</v>
      </c>
      <c r="GH102" s="12">
        <f>GH$22 * IF(AND(GG$5=1,GG$20=1), GT102, GR102)</f>
        <v>0</v>
      </c>
      <c r="GI102" s="12">
        <f>GI$22 * IF(AND(GH$5=1,GG$20=1), GT102, GR102)</f>
        <v>0</v>
      </c>
      <c r="GJ102" s="12">
        <f>GJ$22 * IF(AND(GI$5=1,GG$20=1), GT102, GR102)</f>
        <v>0</v>
      </c>
      <c r="GK102" s="12">
        <f>GK$22 * IF(AND(GJ$5=1,GG$20=1), GT102, GR102)</f>
        <v>0</v>
      </c>
      <c r="GL102" s="12">
        <f>GL$22 * IF(AND(GK$5=1,GG$20=1), GT102, GR102)</f>
        <v>0</v>
      </c>
      <c r="GM102" s="12">
        <f>GM$22 * IF(AND(GL$5=1,GG$20=1), GT102, GR102)</f>
        <v>0</v>
      </c>
      <c r="GN102" s="12">
        <f>GN$22 * IF(AND(GM$5=1,GG$20=1), GT102, GR102)</f>
        <v>0</v>
      </c>
      <c r="GO102" s="12">
        <f>GO$22 * IF(AND(GN$5=1,GG$20=1), GT102, GR102)</f>
        <v>0</v>
      </c>
      <c r="GQ102" s="30" t="s">
        <v>1309</v>
      </c>
      <c r="GR102">
        <f>_xlfn.XLOOKUP(GQ102,'KPI Impacts'!$B$2:$H$2,'KPI Impacts'!$B102:$H102)</f>
        <v>2</v>
      </c>
      <c r="GS102" s="9" t="s">
        <v>1303</v>
      </c>
      <c r="GT102">
        <f>_xlfn.XLOOKUP(GS102,'KPI Impacts'!$B$2:$H$2,'KPI Impacts'!$B102:$H102)</f>
        <v>0</v>
      </c>
      <c r="GW102" s="12">
        <f>GW$22*HH102</f>
        <v>0</v>
      </c>
      <c r="GX102" s="12">
        <f>GX$22 * IF(AND(GW$5=1,GW$20=1), HJ102, HH102)</f>
        <v>0</v>
      </c>
      <c r="GY102" s="12">
        <f>GY$22 * IF(AND(GX$5=1,GW$20=1), HJ102, HH102)</f>
        <v>0</v>
      </c>
      <c r="GZ102" s="12">
        <f>GZ$22 * IF(AND(GY$5=1,GW$20=1), HJ102, HH102)</f>
        <v>0</v>
      </c>
      <c r="HA102" s="12">
        <f>HA$22 * IF(AND(GZ$5=1,GW$20=1), HJ102, HH102)</f>
        <v>0</v>
      </c>
      <c r="HB102" s="12">
        <f>HB$22 * IF(AND(HA$5=1,GW$20=1), HJ102, HH102)</f>
        <v>0</v>
      </c>
      <c r="HC102" s="12">
        <f>HC$22 * IF(AND(HB$5=1,GW$20=1), HJ102, HH102)</f>
        <v>0</v>
      </c>
      <c r="HD102" s="12">
        <f>HD$22 * IF(AND(HC$5=1,GW$20=1), HJ102, HH102)</f>
        <v>0</v>
      </c>
      <c r="HE102" s="12">
        <f>HE$22 * IF(AND(HD$5=1,GW$20=1), HJ102, HH102)</f>
        <v>0</v>
      </c>
      <c r="HG102" s="30" t="s">
        <v>1307</v>
      </c>
      <c r="HH102">
        <f>_xlfn.XLOOKUP(HG102,'KPI Impacts'!$B$2:$H$2,'KPI Impacts'!$B102:$H102)</f>
        <v>1</v>
      </c>
      <c r="HI102" s="9" t="s">
        <v>1303</v>
      </c>
      <c r="HJ102">
        <f>_xlfn.XLOOKUP(HI102,'KPI Impacts'!$B$2:$H$2,'KPI Impacts'!$B102:$H102)</f>
        <v>0</v>
      </c>
      <c r="HM102" s="12">
        <f>HM$22*HX102</f>
        <v>0</v>
      </c>
      <c r="HN102" s="12">
        <f>HN$22 * IF(AND(HM$5=1,HM$20=1), HZ102, HX102)</f>
        <v>0</v>
      </c>
      <c r="HO102" s="12">
        <f>HO$22 * IF(AND(HN$5=1,HM$20=1), HZ102, HX102)</f>
        <v>0</v>
      </c>
      <c r="HP102" s="12">
        <f>HP$22 * IF(AND(HO$5=1,HM$20=1), HZ102, HX102)</f>
        <v>0</v>
      </c>
      <c r="HQ102" s="12">
        <f>HQ$22 * IF(AND(HP$5=1,HM$20=1), HZ102, HX102)</f>
        <v>0</v>
      </c>
      <c r="HR102" s="12">
        <f>HR$22 * IF(AND(HQ$5=1,HM$20=1), HZ102, HX102)</f>
        <v>0</v>
      </c>
      <c r="HS102" s="12">
        <f>HS$22 * IF(AND(HR$5=1,HM$20=1), HZ102, HX102)</f>
        <v>0</v>
      </c>
      <c r="HT102" s="12">
        <f>HT$22 * IF(AND(HS$5=1,HM$20=1), HZ102, HX102)</f>
        <v>0</v>
      </c>
      <c r="HU102" s="12">
        <f>HU$22 * IF(AND(HT$5=1,HM$20=1), HZ102, HX102)</f>
        <v>0</v>
      </c>
      <c r="HW102" s="30" t="s">
        <v>1307</v>
      </c>
      <c r="HX102">
        <f>_xlfn.XLOOKUP(HW102,'KPI Impacts'!$B$2:$H$2,'KPI Impacts'!$B102:$H102)</f>
        <v>1</v>
      </c>
      <c r="HY102" s="9" t="s">
        <v>1303</v>
      </c>
      <c r="HZ102">
        <f>_xlfn.XLOOKUP(HY102,'KPI Impacts'!$B$2:$H$2,'KPI Impacts'!$B102:$H102)</f>
        <v>0</v>
      </c>
      <c r="IC102" s="12">
        <f>IC$22*IN102</f>
        <v>0</v>
      </c>
      <c r="ID102" s="12">
        <f>ID$22 * IF(AND(IC$5=1,IC$20=1), IP102, IN102)</f>
        <v>0</v>
      </c>
      <c r="IE102" s="12">
        <f>IE$22 * IF(AND(ID$5=1,IC$20=1), IP102, IN102)</f>
        <v>0</v>
      </c>
      <c r="IF102" s="12">
        <f>IF$22 * IF(AND(IE$5=1,IC$20=1), IP102, IN102)</f>
        <v>0</v>
      </c>
      <c r="IG102" s="12">
        <f>IG$22 * IF(AND(IF$5=1,IC$20=1), IP102, IN102)</f>
        <v>0</v>
      </c>
      <c r="IH102" s="12">
        <f>IH$22 * IF(AND(IG$5=1,IC$20=1), IP102, IN102)</f>
        <v>0</v>
      </c>
      <c r="II102" s="12">
        <f>II$22 * IF(AND(IH$5=1,IC$20=1), IP102, IN102)</f>
        <v>0</v>
      </c>
      <c r="IJ102" s="12">
        <f>IJ$22 * IF(AND(II$5=1,IC$20=1), IP102, IN102)</f>
        <v>0</v>
      </c>
      <c r="IK102" s="12">
        <f>IK$22 * IF(AND(IJ$5=1,IC$20=1), IP102, IN102)</f>
        <v>0</v>
      </c>
      <c r="IM102" s="29" t="s">
        <v>1304</v>
      </c>
      <c r="IN102">
        <f>_xlfn.XLOOKUP(IM102,'KPI Impacts'!$B$2:$H$2,'KPI Impacts'!$B102:$H102)</f>
        <v>-0.8</v>
      </c>
      <c r="IO102" s="9" t="s">
        <v>1303</v>
      </c>
      <c r="IP102">
        <f>_xlfn.XLOOKUP(IO102,'KPI Impacts'!$B$2:$H$2,'KPI Impacts'!$B102:$H102)</f>
        <v>0</v>
      </c>
      <c r="IS102" s="12">
        <f>IS$22*JD102</f>
        <v>0</v>
      </c>
      <c r="IT102" s="12">
        <f>IT$22 * IF(AND(IS$5=1,IS$20=1), JF102, JD102)</f>
        <v>0</v>
      </c>
      <c r="IU102" s="12">
        <f>IU$22 * IF(AND(IT$5=1,IS$20=1), JF102, JD102)</f>
        <v>0</v>
      </c>
      <c r="IV102" s="12">
        <f>IV$22 * IF(AND(IU$5=1,IS$20=1), JF102, JD102)</f>
        <v>0</v>
      </c>
      <c r="IW102" s="12">
        <f>IW$22 * IF(AND(IV$5=1,IS$20=1), JF102, JD102)</f>
        <v>0</v>
      </c>
      <c r="IX102" s="12">
        <f>IX$22 * IF(AND(IW$5=1,IS$20=1), JF102, JD102)</f>
        <v>0</v>
      </c>
      <c r="IY102" s="12">
        <f>IY$22 * IF(AND(IX$5=1,IS$20=1), JF102, JD102)</f>
        <v>0</v>
      </c>
      <c r="IZ102" s="12">
        <f>IZ$22 * IF(AND(IY$5=1,IS$20=1), JF102, JD102)</f>
        <v>0</v>
      </c>
      <c r="JA102" s="12">
        <f>JA$22 * IF(AND(IZ$5=1,IS$20=1), JF102, JD102)</f>
        <v>0</v>
      </c>
      <c r="JC102" t="s">
        <v>1303</v>
      </c>
      <c r="JD102">
        <f>_xlfn.XLOOKUP(JC102,'KPI Impacts'!$B$2:$H$2,'KPI Impacts'!$B102:$H102)</f>
        <v>0</v>
      </c>
      <c r="JE102" s="9" t="s">
        <v>1303</v>
      </c>
      <c r="JF102">
        <f>_xlfn.XLOOKUP(JE102,'KPI Impacts'!$B$2:$H$2,'KPI Impacts'!$B102:$H102)</f>
        <v>0</v>
      </c>
      <c r="JI102" s="12">
        <f>JI$22*JT102</f>
        <v>0</v>
      </c>
      <c r="JJ102" s="12">
        <f>JJ$22 * IF(AND(JI$5=1,JI$20=1), JV102, JT102)</f>
        <v>0</v>
      </c>
      <c r="JK102" s="12">
        <f>JK$22 * IF(AND(JJ$5=1,JI$20=1), JV102, JT102)</f>
        <v>0</v>
      </c>
      <c r="JL102" s="12">
        <f>JL$22 * IF(AND(JK$5=1,JI$20=1), JV102, JT102)</f>
        <v>0</v>
      </c>
      <c r="JM102" s="12">
        <f>JM$22 * IF(AND(JL$5=1,JI$20=1), JV102, JT102)</f>
        <v>0</v>
      </c>
      <c r="JN102" s="12">
        <f>JN$22 * IF(AND(JM$5=1,JI$20=1), JV102, JT102)</f>
        <v>0</v>
      </c>
      <c r="JO102" s="12">
        <f>JO$22 * IF(AND(JN$5=1,JI$20=1), JV102, JT102)</f>
        <v>0</v>
      </c>
      <c r="JP102" s="12">
        <f>JP$22 * IF(AND(JO$5=1,JI$20=1), JV102, JT102)</f>
        <v>0</v>
      </c>
      <c r="JQ102" s="12">
        <f>JQ$22 * IF(AND(JP$5=1,JI$20=1), JV102, JT102)</f>
        <v>0</v>
      </c>
      <c r="JS102" t="s">
        <v>1303</v>
      </c>
      <c r="JT102">
        <f>_xlfn.XLOOKUP(JS102,'KPI Impacts'!$B$2:$H$2,'KPI Impacts'!$B102:$H102)</f>
        <v>0</v>
      </c>
      <c r="JU102" s="9" t="s">
        <v>1303</v>
      </c>
      <c r="JV102">
        <f>_xlfn.XLOOKUP(JU102,'KPI Impacts'!$B$2:$H$2,'KPI Impacts'!$B102:$H102)</f>
        <v>0</v>
      </c>
      <c r="JY102" s="12">
        <f>JY$22*KJ102</f>
        <v>0</v>
      </c>
      <c r="JZ102" s="12">
        <f>JZ$22 * IF(AND(JY$5=1,JY$20=1), KL102, KJ102)</f>
        <v>0</v>
      </c>
      <c r="KA102" s="12">
        <f>KA$22 * IF(AND(JZ$5=1,JY$20=1), KL102, KJ102)</f>
        <v>0</v>
      </c>
      <c r="KB102" s="12">
        <f>KB$22 * IF(AND(KA$5=1,JY$20=1), KL102, KJ102)</f>
        <v>0</v>
      </c>
      <c r="KC102" s="12">
        <f>KC$22 * IF(AND(KB$5=1,JY$20=1), KL102, KJ102)</f>
        <v>0</v>
      </c>
      <c r="KD102" s="12">
        <f>KD$22 * IF(AND(KC$5=1,JY$20=1), KL102, KJ102)</f>
        <v>0</v>
      </c>
      <c r="KE102" s="12">
        <f>KE$22 * IF(AND(KD$5=1,JY$20=1), KL102, KJ102)</f>
        <v>0</v>
      </c>
      <c r="KF102" s="12">
        <f>KF$22 * IF(AND(KE$5=1,JY$20=1), KL102, KJ102)</f>
        <v>0</v>
      </c>
      <c r="KG102" s="12">
        <f>KG$22 * IF(AND(KF$5=1,JY$20=1), KL102, KJ102)</f>
        <v>0</v>
      </c>
      <c r="KI102" t="s">
        <v>1303</v>
      </c>
      <c r="KJ102">
        <f>_xlfn.XLOOKUP(KI102,'KPI Impacts'!$B$2:$H$2,'KPI Impacts'!$B102:$H102)</f>
        <v>0</v>
      </c>
      <c r="KK102" s="9" t="s">
        <v>1303</v>
      </c>
      <c r="KL102">
        <f>_xlfn.XLOOKUP(KK102,'KPI Impacts'!$B$2:$H$2,'KPI Impacts'!$B102:$H102)</f>
        <v>0</v>
      </c>
      <c r="KO102" s="12">
        <f>KO$22*KZ102</f>
        <v>0</v>
      </c>
      <c r="KP102" s="12">
        <f>KP$22 * IF(AND(KO$5=1,KO$20=1), LB102, KZ102)</f>
        <v>0</v>
      </c>
      <c r="KQ102" s="12">
        <f>KQ$22 * IF(AND(KP$5=1,KO$20=1), LB102, KZ102)</f>
        <v>0</v>
      </c>
      <c r="KR102" s="12">
        <f>KR$22 * IF(AND(KQ$5=1,KO$20=1), LB102, KZ102)</f>
        <v>0</v>
      </c>
      <c r="KS102" s="12">
        <f>KS$22 * IF(AND(KR$5=1,KO$20=1), LB102, KZ102)</f>
        <v>0</v>
      </c>
      <c r="KT102" s="12">
        <f>KT$22 * IF(AND(KS$5=1,KO$20=1), LB102, KZ102)</f>
        <v>0</v>
      </c>
      <c r="KU102" s="12">
        <f>KU$22 * IF(AND(KT$5=1,KO$20=1), LB102, KZ102)</f>
        <v>0</v>
      </c>
      <c r="KV102" s="12">
        <f>KV$22 * IF(AND(KU$5=1,KO$20=1), LB102, KZ102)</f>
        <v>0</v>
      </c>
      <c r="KW102" s="12">
        <f>KW$22 * IF(AND(KV$5=1,KO$20=1), LB102, KZ102)</f>
        <v>0</v>
      </c>
      <c r="KY102" t="s">
        <v>1303</v>
      </c>
      <c r="KZ102">
        <f>_xlfn.XLOOKUP(KY102,'KPI Impacts'!$B$2:$H$2,'KPI Impacts'!$B102:$H102)</f>
        <v>0</v>
      </c>
      <c r="LA102" s="9" t="s">
        <v>1303</v>
      </c>
      <c r="LB102">
        <f>_xlfn.XLOOKUP(LA102,'KPI Impacts'!$B$2:$H$2,'KPI Impacts'!$B102:$H102)</f>
        <v>0</v>
      </c>
      <c r="LE102" s="12">
        <f>LE$22*LP102</f>
        <v>0</v>
      </c>
      <c r="LF102" s="12">
        <f>LF$22 * IF(AND(LE$5=1,LE$20=1), LR102, LP102)</f>
        <v>0</v>
      </c>
      <c r="LG102" s="12">
        <f>LG$22 * IF(AND(LF$5=1,LE$20=1), LR102, LP102)</f>
        <v>0</v>
      </c>
      <c r="LH102" s="12">
        <f>LH$22 * IF(AND(LG$5=1,LE$20=1), LR102, LP102)</f>
        <v>0</v>
      </c>
      <c r="LI102" s="12">
        <f>LI$22 * IF(AND(LH$5=1,LE$20=1), LR102, LP102)</f>
        <v>0</v>
      </c>
      <c r="LJ102" s="12">
        <f>LJ$22 * IF(AND(LI$5=1,LE$20=1), LR102, LP102)</f>
        <v>0</v>
      </c>
      <c r="LK102" s="12">
        <f>LK$22 * IF(AND(LJ$5=1,LE$20=1), LR102, LP102)</f>
        <v>0</v>
      </c>
      <c r="LL102" s="12">
        <f>LL$22 * IF(AND(LK$5=1,LE$20=1), LR102, LP102)</f>
        <v>0</v>
      </c>
      <c r="LM102" s="12">
        <f>LM$22 * IF(AND(LL$5=1,LE$20=1), LR102, LP102)</f>
        <v>0</v>
      </c>
      <c r="LO102" t="s">
        <v>1303</v>
      </c>
      <c r="LP102">
        <f>_xlfn.XLOOKUP(LO102,'KPI Impacts'!$B$2:$H$2,'KPI Impacts'!$B102:$H102)</f>
        <v>0</v>
      </c>
      <c r="LQ102" s="9" t="s">
        <v>1303</v>
      </c>
      <c r="LR102">
        <f>_xlfn.XLOOKUP(LQ102,'KPI Impacts'!$B$2:$H$2,'KPI Impacts'!$B102:$H102)</f>
        <v>0</v>
      </c>
      <c r="LU102" s="12">
        <f>LU$22*MF102</f>
        <v>0</v>
      </c>
      <c r="LV102" s="12">
        <f>LV$22 * IF(AND(LU$5=1,LU$20=1), MH102, MF102)</f>
        <v>0</v>
      </c>
      <c r="LW102" s="12">
        <f>LW$22 * IF(AND(LV$5=1,LU$20=1), MH102, MF102)</f>
        <v>0</v>
      </c>
      <c r="LX102" s="12">
        <f>LX$22 * IF(AND(LW$5=1,LU$20=1), MH102, MF102)</f>
        <v>0</v>
      </c>
      <c r="LY102" s="12">
        <f>LY$22 * IF(AND(LX$5=1,LU$20=1), MH102, MF102)</f>
        <v>0</v>
      </c>
      <c r="LZ102" s="12">
        <f>LZ$22 * IF(AND(LY$5=1,LU$20=1), MH102, MF102)</f>
        <v>0</v>
      </c>
      <c r="MA102" s="12">
        <f>MA$22 * IF(AND(LZ$5=1,LU$20=1), MH102, MF102)</f>
        <v>0</v>
      </c>
      <c r="MB102" s="12">
        <f>MB$22 * IF(AND(MA$5=1,LU$20=1), MH102, MF102)</f>
        <v>0</v>
      </c>
      <c r="MC102" s="12">
        <f>MC$22 * IF(AND(MB$5=1,LU$20=1), MH102, MF102)</f>
        <v>0</v>
      </c>
      <c r="ME102" t="s">
        <v>1303</v>
      </c>
      <c r="MF102">
        <f>_xlfn.XLOOKUP(ME102,'KPI Impacts'!$B$2:$H$2,'KPI Impacts'!$B102:$H102)</f>
        <v>0</v>
      </c>
      <c r="MG102" s="9" t="s">
        <v>1303</v>
      </c>
      <c r="MH102">
        <f>_xlfn.XLOOKUP(MG102,'KPI Impacts'!$B$2:$H$2,'KPI Impacts'!$B102:$H102)</f>
        <v>0</v>
      </c>
      <c r="MK102" s="12">
        <f>MK$22*MV102</f>
        <v>0</v>
      </c>
      <c r="ML102" s="12">
        <f>ML$22 * IF(AND(MK$5=1,MK$20=1), MX102, MV102)</f>
        <v>0</v>
      </c>
      <c r="MM102" s="12">
        <f>MM$22 * IF(AND(ML$5=1,MK$20=1), MX102, MV102)</f>
        <v>0</v>
      </c>
      <c r="MN102" s="12">
        <f>MN$22 * IF(AND(MM$5=1,MK$20=1), MX102, MV102)</f>
        <v>0</v>
      </c>
      <c r="MO102" s="12">
        <f>MO$22 * IF(AND(MN$5=1,MK$20=1), MX102, MV102)</f>
        <v>0</v>
      </c>
      <c r="MP102" s="12">
        <f>MP$22 * IF(AND(MO$5=1,MK$20=1), MX102, MV102)</f>
        <v>0</v>
      </c>
      <c r="MQ102" s="12">
        <f>MQ$22 * IF(AND(MP$5=1,MK$20=1), MX102, MV102)</f>
        <v>0</v>
      </c>
      <c r="MR102" s="12">
        <f>MR$22 * IF(AND(MQ$5=1,MK$20=1), MX102, MV102)</f>
        <v>0</v>
      </c>
      <c r="MS102" s="12">
        <f>MS$22 * IF(AND(MR$5=1,MK$20=1), MX102, MV102)</f>
        <v>0</v>
      </c>
      <c r="MU102" t="s">
        <v>1303</v>
      </c>
      <c r="MV102">
        <f>_xlfn.XLOOKUP(MU102,'KPI Impacts'!$B$2:$H$2,'KPI Impacts'!$B102:$H102)</f>
        <v>0</v>
      </c>
      <c r="MW102" s="9" t="s">
        <v>1303</v>
      </c>
      <c r="MX102">
        <f>_xlfn.XLOOKUP(MW102,'KPI Impacts'!$B$2:$H$2,'KPI Impacts'!$B102:$H102)</f>
        <v>0</v>
      </c>
      <c r="NA102" s="12">
        <f>NA$22*NL102</f>
        <v>0</v>
      </c>
      <c r="NB102" s="12">
        <f>NB$22 * IF(AND(NA$5=1,NA$20=1), NN102, NL102)</f>
        <v>0</v>
      </c>
      <c r="NC102" s="12">
        <f>NC$22 * IF(AND(NB$5=1,NA$20=1), NN102, NL102)</f>
        <v>0</v>
      </c>
      <c r="ND102" s="12">
        <f>ND$22 * IF(AND(NC$5=1,NA$20=1), NN102, NL102)</f>
        <v>0</v>
      </c>
      <c r="NE102" s="12">
        <f>NE$22 * IF(AND(ND$5=1,NA$20=1), NN102, NL102)</f>
        <v>0</v>
      </c>
      <c r="NF102" s="12">
        <f>NF$22 * IF(AND(NE$5=1,NA$20=1), NN102, NL102)</f>
        <v>0</v>
      </c>
      <c r="NG102" s="12">
        <f>NG$22 * IF(AND(NF$5=1,NA$20=1), NN102, NL102)</f>
        <v>0</v>
      </c>
      <c r="NH102" s="12">
        <f>NH$22 * IF(AND(NG$5=1,NA$20=1), NN102, NL102)</f>
        <v>0</v>
      </c>
      <c r="NI102" s="12">
        <f>NI$22 * IF(AND(NH$5=1,NA$20=1), NN102, NL102)</f>
        <v>0</v>
      </c>
      <c r="NK102" t="s">
        <v>1303</v>
      </c>
      <c r="NL102">
        <f>_xlfn.XLOOKUP(NK102,'KPI Impacts'!$B$2:$H$2,'KPI Impacts'!$B102:$H102)</f>
        <v>0</v>
      </c>
      <c r="NM102" s="9" t="s">
        <v>1303</v>
      </c>
      <c r="NN102">
        <f>_xlfn.XLOOKUP(NM102,'KPI Impacts'!$B$2:$H$2,'KPI Impacts'!$B102:$H102)</f>
        <v>0</v>
      </c>
      <c r="NQ102" s="12">
        <f>NQ$22*OB102</f>
        <v>0</v>
      </c>
      <c r="NR102" s="12">
        <f>NR$22 * IF(AND(NQ$5=1,NQ$20=1), OD102, OB102)</f>
        <v>0</v>
      </c>
      <c r="NS102" s="12">
        <f>NS$22 * IF(AND(NR$5=1,NQ$20=1), OD102, OB102)</f>
        <v>0</v>
      </c>
      <c r="NT102" s="12">
        <f>NT$22 * IF(AND(NS$5=1,NQ$20=1), OD102, OB102)</f>
        <v>0</v>
      </c>
      <c r="NU102" s="12">
        <f>NU$22 * IF(AND(NT$5=1,NQ$20=1), OD102, OB102)</f>
        <v>0</v>
      </c>
      <c r="NV102" s="12">
        <f>NV$22 * IF(AND(NU$5=1,NQ$20=1), OD102, OB102)</f>
        <v>0</v>
      </c>
      <c r="NW102" s="12">
        <f>NW$22 * IF(AND(NV$5=1,NQ$20=1), OD102, OB102)</f>
        <v>0</v>
      </c>
      <c r="NX102" s="12">
        <f>NX$22 * IF(AND(NW$5=1,NQ$20=1), OD102, OB102)</f>
        <v>0</v>
      </c>
      <c r="NY102" s="12">
        <f>NY$22 * IF(AND(NX$5=1,NQ$20=1), OD102, OB102)</f>
        <v>0</v>
      </c>
      <c r="OA102" t="s">
        <v>1303</v>
      </c>
      <c r="OB102">
        <f>_xlfn.XLOOKUP(OA102,'KPI Impacts'!$B$2:$H$2,'KPI Impacts'!$B102:$H102)</f>
        <v>0</v>
      </c>
      <c r="OC102" s="9" t="s">
        <v>1303</v>
      </c>
      <c r="OD102">
        <f>_xlfn.XLOOKUP(OC102,'KPI Impacts'!$B$2:$H$2,'KPI Impacts'!$B102:$H102)</f>
        <v>0</v>
      </c>
      <c r="OG102" s="12">
        <f>OG$22*OR102</f>
        <v>0</v>
      </c>
      <c r="OH102" s="12">
        <f>OH$22 * IF(AND(OG$5=1,OG$20=1), OT102, OR102)</f>
        <v>0</v>
      </c>
      <c r="OI102" s="12">
        <f>OI$22 * IF(AND(OH$5=1,OG$20=1), OT102, OR102)</f>
        <v>0</v>
      </c>
      <c r="OJ102" s="12">
        <f>OJ$22 * IF(AND(OI$5=1,OG$20=1), OT102, OR102)</f>
        <v>0</v>
      </c>
      <c r="OK102" s="12">
        <f>OK$22 * IF(AND(OJ$5=1,OG$20=1), OT102, OR102)</f>
        <v>0</v>
      </c>
      <c r="OL102" s="12">
        <f>OL$22 * IF(AND(OK$5=1,OG$20=1), OT102, OR102)</f>
        <v>0</v>
      </c>
      <c r="OM102" s="12">
        <f>OM$22 * IF(AND(OL$5=1,OG$20=1), OT102, OR102)</f>
        <v>0</v>
      </c>
      <c r="ON102" s="12">
        <f>ON$22 * IF(AND(OM$5=1,OG$20=1), OT102, OR102)</f>
        <v>0</v>
      </c>
      <c r="OO102" s="12">
        <f>OO$22 * IF(AND(ON$5=1,OG$20=1), OT102, OR102)</f>
        <v>0</v>
      </c>
      <c r="OQ102" t="s">
        <v>1303</v>
      </c>
      <c r="OR102">
        <f>_xlfn.XLOOKUP(OQ102,'KPI Impacts'!$B$2:$H$2,'KPI Impacts'!$B102:$H102)</f>
        <v>0</v>
      </c>
      <c r="OS102" s="9" t="s">
        <v>1303</v>
      </c>
      <c r="OT102">
        <f>_xlfn.XLOOKUP(OS102,'KPI Impacts'!$B$2:$H$2,'KPI Impacts'!$B102:$H102)</f>
        <v>0</v>
      </c>
    </row>
    <row r="103" spans="1:508" x14ac:dyDescent="0.2">
      <c r="A103" t="s">
        <v>58</v>
      </c>
      <c r="B103" s="12">
        <f t="shared" si="534"/>
        <v>0</v>
      </c>
      <c r="C103" s="12">
        <f t="shared" si="534"/>
        <v>0</v>
      </c>
      <c r="D103" s="12">
        <f t="shared" si="534"/>
        <v>0</v>
      </c>
      <c r="E103" s="12">
        <f t="shared" si="534"/>
        <v>0</v>
      </c>
      <c r="F103" s="12">
        <f t="shared" si="534"/>
        <v>0</v>
      </c>
      <c r="G103" s="12">
        <f t="shared" si="534"/>
        <v>0</v>
      </c>
      <c r="H103" s="12">
        <f t="shared" si="534"/>
        <v>0</v>
      </c>
      <c r="I103" s="12">
        <f t="shared" si="535"/>
        <v>0</v>
      </c>
      <c r="J103" s="12">
        <f t="shared" si="535"/>
        <v>0</v>
      </c>
      <c r="M103">
        <f>M$5*V103</f>
        <v>0</v>
      </c>
      <c r="N103">
        <f>N$5*V103</f>
        <v>0</v>
      </c>
      <c r="O103">
        <f>O$5*V103</f>
        <v>0</v>
      </c>
      <c r="P103">
        <f>P$5*V103</f>
        <v>0</v>
      </c>
      <c r="Q103">
        <f>Q$5*V103</f>
        <v>0</v>
      </c>
      <c r="R103">
        <f>R$5*V103</f>
        <v>0</v>
      </c>
      <c r="S103">
        <f>S$5*V103</f>
        <v>0</v>
      </c>
      <c r="U103" t="s">
        <v>1308</v>
      </c>
      <c r="V103">
        <f>_xlfn.XLOOKUP(U103,'KPI Impacts'!$B$2:$H$2,'KPI Impacts'!$B103:$H103)</f>
        <v>1.5</v>
      </c>
      <c r="Y103" s="12" cm="1">
        <f t="array" ref="Y103">_xlfn.SWITCH(Y$4, 0,0, 1, AJ103,2,AL103,3,AN103,0)</f>
        <v>0</v>
      </c>
      <c r="Z103" s="12" cm="1">
        <f t="array" ref="Z103">_xlfn.SWITCH(Z$4, 0,0, 1, AJ103,2,AL103,3,AN103,0)+Y103</f>
        <v>0</v>
      </c>
      <c r="AA103" s="12" cm="1">
        <f t="array" ref="AA103">_xlfn.SWITCH(AA$4, 0,0, 1, AJ103,2,AL103,3,AN103,0)+Z103</f>
        <v>0</v>
      </c>
      <c r="AB103" s="12" cm="1">
        <f t="array" ref="AB103">_xlfn.SWITCH(AB$4, 0,0, 1, AJ103,2,AL103,3,AN103,0)+AA103</f>
        <v>0</v>
      </c>
      <c r="AC103" s="12" cm="1">
        <f t="array" ref="AC103">_xlfn.SWITCH(AC$4, 0,0, 1, AJ103,2,AL103,3,AN103,0)+AB103</f>
        <v>0</v>
      </c>
      <c r="AD103" s="12" cm="1">
        <f t="array" ref="AD103">_xlfn.SWITCH(AD$4, 0,0, 1, AJ103,2,AL103,3,AN103,0)+AC103</f>
        <v>0</v>
      </c>
      <c r="AE103" s="12" cm="1">
        <f t="array" ref="AE103">_xlfn.SWITCH(AE$4, 0,0, 1, AJ103,2,AL103,3,AN103,0)+AD103</f>
        <v>0</v>
      </c>
      <c r="AF103" s="12" cm="1">
        <f t="array" ref="AF103">_xlfn.SWITCH(AF$4, 0,0, 1, AJ103,2,AL103,3,AN103,0)+AE103</f>
        <v>0</v>
      </c>
      <c r="AG103" s="12" cm="1">
        <f t="array" ref="AG103">_xlfn.SWITCH(AG$4, 0,0, 1, AJ103,2,AL103,3,AN103,0)+AF103</f>
        <v>0</v>
      </c>
      <c r="AI103" t="s">
        <v>1307</v>
      </c>
      <c r="AJ103">
        <f>_xlfn.XLOOKUP(AI103,'KPI Impacts'!$K$2:$Q$2,'KPI Impacts'!$K103:$Q103)</f>
        <v>0.3</v>
      </c>
      <c r="AK103" t="s">
        <v>1309</v>
      </c>
      <c r="AL103">
        <f>_xlfn.XLOOKUP(AK103,'KPI Impacts'!$K$2:$Q$2,'KPI Impacts'!$K103:$Q103)</f>
        <v>0.6</v>
      </c>
      <c r="AM103" t="s">
        <v>1308</v>
      </c>
      <c r="AN103">
        <f>_xlfn.XLOOKUP(AM103,'KPI Impacts'!$K$2:$Q$2,'KPI Impacts'!$K103:$Q103)</f>
        <v>0.89999999999999991</v>
      </c>
      <c r="AQ103" s="12" cm="1">
        <f t="array" ref="AQ103">_xlfn.SWITCH(AQ$4, 0,0, 1, BB103,2,BD103,3,BF103,0)</f>
        <v>0</v>
      </c>
      <c r="AR103" s="12" cm="1">
        <f t="array" ref="AR103">_xlfn.SWITCH(AR$4, 0,0, 1, BB103,2,BD103,3,BF103,0)+AQ103</f>
        <v>0</v>
      </c>
      <c r="AS103" s="12" cm="1">
        <f t="array" ref="AS103">_xlfn.SWITCH(AS$4, 0,0, 1, BB103,2,BD103,3,BF103,0)+AR103</f>
        <v>0</v>
      </c>
      <c r="AT103" s="12" cm="1">
        <f t="array" ref="AT103">_xlfn.SWITCH(AT$4, 0,0, 1, BB103,2,BD103,3,BF103,0)+AS103</f>
        <v>0</v>
      </c>
      <c r="AU103" s="12" cm="1">
        <f t="array" ref="AU103">_xlfn.SWITCH(AU$4, 0,0, 1, BB103,2,BD103,3,BF103,0)+AT103</f>
        <v>0</v>
      </c>
      <c r="AV103" s="12" cm="1">
        <f t="array" ref="AV103">_xlfn.SWITCH(AV$4, 0,0, 1, BB103,2,BD103,3,BF103,0)+AU103</f>
        <v>0</v>
      </c>
      <c r="AW103" s="12" cm="1">
        <f t="array" ref="AW103">_xlfn.SWITCH(AW$4, 0,0, 1, BB103,2,BD103,3,BF103,0)+AV103</f>
        <v>0</v>
      </c>
      <c r="AX103" s="12" cm="1">
        <f t="array" ref="AX103">_xlfn.SWITCH(AX$4, 0,0, 1, BB103,2,BD103,3,BF103,0)+AW103</f>
        <v>0</v>
      </c>
      <c r="AY103" s="12" cm="1">
        <f t="array" ref="AY103">_xlfn.SWITCH(AY$4, 0,0, 1, BB103,2,BD103,3,BF103,0)+AX103</f>
        <v>0</v>
      </c>
      <c r="BA103" t="s">
        <v>1307</v>
      </c>
      <c r="BB103">
        <f>_xlfn.XLOOKUP(BA103,'KPI Impacts'!$K$2:$Q$2,'KPI Impacts'!$K103:$Q103)</f>
        <v>0.3</v>
      </c>
      <c r="BC103" t="s">
        <v>1309</v>
      </c>
      <c r="BD103">
        <f>_xlfn.XLOOKUP(BC103,'KPI Impacts'!$K$2:$Q$2,'KPI Impacts'!$K103:$Q103)</f>
        <v>0.6</v>
      </c>
      <c r="BE103" t="s">
        <v>1308</v>
      </c>
      <c r="BF103">
        <f>_xlfn.XLOOKUP(BE103,'KPI Impacts'!$K$2:$Q$2,'KPI Impacts'!$K103:$Q103)</f>
        <v>0.89999999999999991</v>
      </c>
      <c r="BI103" s="12">
        <f>BI$22*BT103</f>
        <v>0</v>
      </c>
      <c r="BJ103" s="12">
        <f>BJ$22 * IF(AND(BI$5=1,BI$20=1), BV103, BT103)</f>
        <v>0</v>
      </c>
      <c r="BK103" s="12">
        <f>BK$22 * IF(AND(BJ$5=1,BI$20=1), BV103, BT103)</f>
        <v>0</v>
      </c>
      <c r="BL103" s="12">
        <f>BL$22 * IF(AND(BK$5=1,BI$20=1), BV103, BT103)</f>
        <v>0</v>
      </c>
      <c r="BM103" s="12">
        <f>BM$22 * IF(AND(BL$5=1,BI$20=1), BV103, BT103)</f>
        <v>0</v>
      </c>
      <c r="BN103" s="12">
        <f>BN$22 * IF(AND(BM$5=1,BI$20=1), BV103, BT103)</f>
        <v>0</v>
      </c>
      <c r="BO103" s="12">
        <f>BO$22 * IF(AND(BN$5=1,BI$20=1), BV103, BT103)</f>
        <v>0</v>
      </c>
      <c r="BP103" s="12">
        <f>BP$22 * IF(AND(BO$5=1,BI$20=1), BV103, BT103)</f>
        <v>0</v>
      </c>
      <c r="BQ103" s="12">
        <f>BQ$22 * IF(AND(BP$5=1,BI$20=1), BV103, BT103)</f>
        <v>0</v>
      </c>
      <c r="BS103" s="30" t="s">
        <v>1309</v>
      </c>
      <c r="BT103">
        <f>_xlfn.XLOOKUP(BS103,'KPI Impacts'!$B$2:$H$2,'KPI Impacts'!$B103:$H103)</f>
        <v>1</v>
      </c>
      <c r="BU103" s="35" t="s">
        <v>1303</v>
      </c>
      <c r="BV103">
        <f>_xlfn.XLOOKUP(BU103,'KPI Impacts'!$B$2:$H$2,'KPI Impacts'!$B103:$H103)</f>
        <v>0</v>
      </c>
      <c r="BY103" s="12">
        <f>BY$22*CJ103</f>
        <v>0</v>
      </c>
      <c r="BZ103" s="12">
        <f>BZ$22 * IF(AND(BY$5=1,BY$20=1), CL103, CJ103)</f>
        <v>0</v>
      </c>
      <c r="CA103" s="12">
        <f>CA$22 * IF(AND(BZ$5=1,BY$20=1), CL103, CJ103)</f>
        <v>0</v>
      </c>
      <c r="CB103" s="12">
        <f>CB$22 * IF(AND(CA$5=1,BY$20=1), CL103, CJ103)</f>
        <v>0</v>
      </c>
      <c r="CC103" s="12">
        <f>CC$22 * IF(AND(CB$5=1,BY$20=1), CL103, CJ103)</f>
        <v>0</v>
      </c>
      <c r="CD103" s="12">
        <f>CD$22 * IF(AND(CC$5=1,BY$20=1), CL103, CJ103)</f>
        <v>0</v>
      </c>
      <c r="CE103" s="12">
        <f>CE$22 * IF(AND(CD$5=1,BY$20=1), CL103, CJ103)</f>
        <v>0</v>
      </c>
      <c r="CF103" s="12">
        <f>CF$22 * IF(AND(CE$5=1,BY$20=1), CL103, CJ103)</f>
        <v>0</v>
      </c>
      <c r="CG103" s="12">
        <f>CG$22 * IF(AND(CF$5=1,BY$20=1), CL103, CJ103)</f>
        <v>0</v>
      </c>
      <c r="CI103" s="16" t="s">
        <v>1303</v>
      </c>
      <c r="CJ103">
        <f>_xlfn.XLOOKUP(CI103,'KPI Impacts'!$B$2:$H$2,'KPI Impacts'!$B103:$H103)</f>
        <v>0</v>
      </c>
      <c r="CK103" s="35" t="s">
        <v>1303</v>
      </c>
      <c r="CL103">
        <f>_xlfn.XLOOKUP(CK103,'KPI Impacts'!$B$2:$H$2,'KPI Impacts'!$B103:$H103)</f>
        <v>0</v>
      </c>
      <c r="CO103" s="12">
        <f>CO$22*CZ103</f>
        <v>0</v>
      </c>
      <c r="CP103" s="12">
        <f>CP$22 * IF(AND(CO$5=1,CO$20=1), DB103, CZ103)</f>
        <v>0</v>
      </c>
      <c r="CQ103" s="12">
        <f>CQ$22 * IF(AND(CP$5=1,CO$20=1), DB103, CZ103)</f>
        <v>0</v>
      </c>
      <c r="CR103" s="12">
        <f>CR$22 * IF(AND(CQ$5=1,CO$20=1), DB103, CZ103)</f>
        <v>0</v>
      </c>
      <c r="CS103" s="12">
        <f>CS$22 * IF(AND(CR$5=1,CO$20=1), DB103, CZ103)</f>
        <v>0</v>
      </c>
      <c r="CT103" s="12">
        <f>CT$22 * IF(AND(CS$5=1,CO$20=1), DB103, CZ103)</f>
        <v>0</v>
      </c>
      <c r="CU103" s="12">
        <f>CU$22 * IF(AND(CT$5=1,CO$20=1), DB103, CZ103)</f>
        <v>0</v>
      </c>
      <c r="CV103" s="12">
        <f>CV$22 * IF(AND(CU$5=1,CO$20=1), DB103, CZ103)</f>
        <v>0</v>
      </c>
      <c r="CW103" s="12">
        <f>CW$22 * IF(AND(CV$5=1,CO$20=1), DB103, CZ103)</f>
        <v>0</v>
      </c>
      <c r="CY103" s="30" t="s">
        <v>1307</v>
      </c>
      <c r="CZ103">
        <f>_xlfn.XLOOKUP(CY103,'KPI Impacts'!$B$2:$H$2,'KPI Impacts'!$B103:$H103)</f>
        <v>0.5</v>
      </c>
      <c r="DA103" s="35" t="s">
        <v>1303</v>
      </c>
      <c r="DB103">
        <f>_xlfn.XLOOKUP(DA103,'KPI Impacts'!$B$2:$H$2,'KPI Impacts'!$B103:$H103)</f>
        <v>0</v>
      </c>
      <c r="DE103" s="12">
        <f>DE$22*DP103</f>
        <v>0</v>
      </c>
      <c r="DF103" s="12">
        <f>DF$22 * IF(AND(DE$5=1,DE$20=1), DR103, DP103)</f>
        <v>0</v>
      </c>
      <c r="DG103" s="12">
        <f>DG$22 * IF(AND(DF$5=1,DE$20=1), DR103, DP103)</f>
        <v>0</v>
      </c>
      <c r="DH103" s="12">
        <f>DH$22 * IF(AND(DG$5=1,DE$20=1), DR103, DP103)</f>
        <v>0</v>
      </c>
      <c r="DI103" s="12">
        <f>DI$22 * IF(AND(DH$5=1,DE$20=1), DR103, DP103)</f>
        <v>0</v>
      </c>
      <c r="DJ103" s="12">
        <f>DJ$22 * IF(AND(DI$5=1,DE$20=1), DR103, DP103)</f>
        <v>0</v>
      </c>
      <c r="DK103" s="12">
        <f>DK$22 * IF(AND(DJ$5=1,DE$20=1), DR103, DP103)</f>
        <v>0</v>
      </c>
      <c r="DL103" s="12">
        <f>DL$22 * IF(AND(DK$5=1,DE$20=1), DR103, DP103)</f>
        <v>0</v>
      </c>
      <c r="DM103" s="12">
        <f>DM$22 * IF(AND(DL$5=1,DE$20=1), DR103, DP103)</f>
        <v>0</v>
      </c>
      <c r="DO103" s="16" t="s">
        <v>1303</v>
      </c>
      <c r="DP103">
        <f>_xlfn.XLOOKUP(DO103,'KPI Impacts'!$B$2:$H$2,'KPI Impacts'!$B103:$H103)</f>
        <v>0</v>
      </c>
      <c r="DQ103" s="35" t="s">
        <v>1303</v>
      </c>
      <c r="DR103">
        <f>_xlfn.XLOOKUP(DQ103,'KPI Impacts'!$B$2:$H$2,'KPI Impacts'!$B103:$H103)</f>
        <v>0</v>
      </c>
      <c r="DU103" s="12">
        <f>DU$22*EF103</f>
        <v>0</v>
      </c>
      <c r="DV103" s="12">
        <f>DV$22 * IF(AND(DU$5=1,DU$20=1), EH103, EF103)</f>
        <v>0</v>
      </c>
      <c r="DW103" s="12">
        <f>DW$22 * IF(AND(DV$5=1,DU$20=1), EH103, EF103)</f>
        <v>0</v>
      </c>
      <c r="DX103" s="12">
        <f>DX$22 * IF(AND(DW$5=1,DU$20=1), EH103, EF103)</f>
        <v>0</v>
      </c>
      <c r="DY103" s="12">
        <f>DY$22 * IF(AND(DX$5=1,DU$20=1), EH103, EF103)</f>
        <v>0</v>
      </c>
      <c r="DZ103" s="12">
        <f>DZ$22 * IF(AND(DY$5=1,DU$20=1), EH103, EF103)</f>
        <v>0</v>
      </c>
      <c r="EA103" s="12">
        <f>EA$22 * IF(AND(DZ$5=1,DU$20=1), EH103, EF103)</f>
        <v>0</v>
      </c>
      <c r="EB103" s="12">
        <f>EB$22 * IF(AND(EA$5=1,DU$20=1), EH103, EF103)</f>
        <v>0</v>
      </c>
      <c r="EC103" s="12">
        <f>EC$22 * IF(AND(EB$5=1,DU$20=1), EH103, EF103)</f>
        <v>0</v>
      </c>
      <c r="EE103" s="16" t="s">
        <v>1303</v>
      </c>
      <c r="EF103">
        <f>_xlfn.XLOOKUP(EE103,'KPI Impacts'!$B$2:$H$2,'KPI Impacts'!$B103:$H103)</f>
        <v>0</v>
      </c>
      <c r="EG103" s="35" t="s">
        <v>1303</v>
      </c>
      <c r="EH103">
        <f>_xlfn.XLOOKUP(EG103,'KPI Impacts'!$B$2:$H$2,'KPI Impacts'!$B103:$H103)</f>
        <v>0</v>
      </c>
      <c r="EK103" s="12">
        <f>EK$22*EV103</f>
        <v>0</v>
      </c>
      <c r="EL103" s="12">
        <f>EL$22 * IF(AND(EK$5=1,EK$20=1), EX103, EV103)</f>
        <v>0</v>
      </c>
      <c r="EM103" s="12">
        <f>EM$22 * IF(AND(EL$5=1,EK$20=1), EX103, EV103)</f>
        <v>0</v>
      </c>
      <c r="EN103" s="12">
        <f>EN$22 * IF(AND(EM$5=1,EK$20=1), EX103, EV103)</f>
        <v>0</v>
      </c>
      <c r="EO103" s="12">
        <f>EO$22 * IF(AND(EN$5=1,EK$20=1), EX103, EV103)</f>
        <v>0</v>
      </c>
      <c r="EP103" s="12">
        <f>EP$22 * IF(AND(EO$5=1,EK$20=1), EX103, EV103)</f>
        <v>0</v>
      </c>
      <c r="EQ103" s="12">
        <f>EQ$22 * IF(AND(EP$5=1,EK$20=1), EX103, EV103)</f>
        <v>0</v>
      </c>
      <c r="ER103" s="12">
        <f>ER$22 * IF(AND(EQ$5=1,EK$20=1), EX103, EV103)</f>
        <v>0</v>
      </c>
      <c r="ES103" s="12">
        <f>ES$22 * IF(AND(ER$5=1,EK$20=1), EX103, EV103)</f>
        <v>0</v>
      </c>
      <c r="EU103" s="30" t="s">
        <v>1308</v>
      </c>
      <c r="EV103">
        <f>_xlfn.XLOOKUP(EU103,'KPI Impacts'!$B$2:$H$2,'KPI Impacts'!$B103:$H103)</f>
        <v>1.5</v>
      </c>
      <c r="EW103" s="35" t="s">
        <v>1303</v>
      </c>
      <c r="EX103">
        <f>_xlfn.XLOOKUP(EW103,'KPI Impacts'!$B$2:$H$2,'KPI Impacts'!$B103:$H103)</f>
        <v>0</v>
      </c>
      <c r="FA103" s="12">
        <f>FA$22*FL103</f>
        <v>0</v>
      </c>
      <c r="FB103" s="12">
        <f>FB$22 * IF(AND(FA$5=1,FA$20=1), FN103, FL103)</f>
        <v>0</v>
      </c>
      <c r="FC103" s="12">
        <f>FC$22 * IF(AND(FB$5=1,FA$20=1), FN103, FL103)</f>
        <v>0</v>
      </c>
      <c r="FD103" s="12">
        <f>FD$22 * IF(AND(FC$5=1,FA$20=1), FN103, FL103)</f>
        <v>0</v>
      </c>
      <c r="FE103" s="12">
        <f>FE$22 * IF(AND(FD$5=1,FA$20=1), FN103, FL103)</f>
        <v>0</v>
      </c>
      <c r="FF103" s="12">
        <f>FF$22 * IF(AND(FE$5=1,FA$20=1), FN103, FL103)</f>
        <v>0</v>
      </c>
      <c r="FG103" s="12">
        <f>FG$22 * IF(AND(FF$5=1,FA$20=1), FN103, FL103)</f>
        <v>0</v>
      </c>
      <c r="FH103" s="12">
        <f>FH$22 * IF(AND(FG$5=1,FA$20=1), FN103, FL103)</f>
        <v>0</v>
      </c>
      <c r="FI103" s="12">
        <f>FI$22 * IF(AND(FH$5=1,FA$20=1), FN103, FL103)</f>
        <v>0</v>
      </c>
      <c r="FK103" s="16" t="s">
        <v>1303</v>
      </c>
      <c r="FL103">
        <f>_xlfn.XLOOKUP(FK103,'KPI Impacts'!$B$2:$H$2,'KPI Impacts'!$B103:$H103)</f>
        <v>0</v>
      </c>
      <c r="FM103" s="30" t="s">
        <v>1308</v>
      </c>
      <c r="FN103">
        <f>_xlfn.XLOOKUP(FM103,'KPI Impacts'!$B$2:$H$2,'KPI Impacts'!$B103:$H103)</f>
        <v>1.5</v>
      </c>
      <c r="FQ103" s="12">
        <f>FQ$22*GB103</f>
        <v>0</v>
      </c>
      <c r="FR103" s="12">
        <f>FR$22 * IF(AND(FQ$5=1,FQ$20=1), GD103, GB103)</f>
        <v>0</v>
      </c>
      <c r="FS103" s="12">
        <f>FS$22 * IF(AND(FR$5=1,FQ$20=1), GD103, GB103)</f>
        <v>0</v>
      </c>
      <c r="FT103" s="12">
        <f>FT$22 * IF(AND(FS$5=1,FQ$20=1), GD103, GB103)</f>
        <v>0</v>
      </c>
      <c r="FU103" s="12">
        <f>FU$22 * IF(AND(FT$5=1,FQ$20=1), GD103, GB103)</f>
        <v>0</v>
      </c>
      <c r="FV103" s="12">
        <f>FV$22 * IF(AND(FU$5=1,FQ$20=1), GD103, GB103)</f>
        <v>0</v>
      </c>
      <c r="FW103" s="12">
        <f>FW$22 * IF(AND(FV$5=1,FQ$20=1), GD103, GB103)</f>
        <v>0</v>
      </c>
      <c r="FX103" s="12">
        <f>FX$22 * IF(AND(FW$5=1,FQ$20=1), GD103, GB103)</f>
        <v>0</v>
      </c>
      <c r="FY103" s="12">
        <f>FY$22 * IF(AND(FX$5=1,FQ$20=1), GD103, GB103)</f>
        <v>0</v>
      </c>
      <c r="GA103" s="30" t="s">
        <v>1307</v>
      </c>
      <c r="GB103">
        <f>_xlfn.XLOOKUP(GA103,'KPI Impacts'!$B$2:$H$2,'KPI Impacts'!$B103:$H103)</f>
        <v>0.5</v>
      </c>
      <c r="GC103" s="9" t="s">
        <v>1303</v>
      </c>
      <c r="GD103">
        <f>_xlfn.XLOOKUP(GC103,'KPI Impacts'!$B$2:$H$2,'KPI Impacts'!$B103:$H103)</f>
        <v>0</v>
      </c>
      <c r="GG103" s="12">
        <f>GG$22*GR103</f>
        <v>0</v>
      </c>
      <c r="GH103" s="12">
        <f>GH$22 * IF(AND(GG$5=1,GG$20=1), GT103, GR103)</f>
        <v>0</v>
      </c>
      <c r="GI103" s="12">
        <f>GI$22 * IF(AND(GH$5=1,GG$20=1), GT103, GR103)</f>
        <v>0</v>
      </c>
      <c r="GJ103" s="12">
        <f>GJ$22 * IF(AND(GI$5=1,GG$20=1), GT103, GR103)</f>
        <v>0</v>
      </c>
      <c r="GK103" s="12">
        <f>GK$22 * IF(AND(GJ$5=1,GG$20=1), GT103, GR103)</f>
        <v>0</v>
      </c>
      <c r="GL103" s="12">
        <f>GL$22 * IF(AND(GK$5=1,GG$20=1), GT103, GR103)</f>
        <v>0</v>
      </c>
      <c r="GM103" s="12">
        <f>GM$22 * IF(AND(GL$5=1,GG$20=1), GT103, GR103)</f>
        <v>0</v>
      </c>
      <c r="GN103" s="12">
        <f>GN$22 * IF(AND(GM$5=1,GG$20=1), GT103, GR103)</f>
        <v>0</v>
      </c>
      <c r="GO103" s="12">
        <f>GO$22 * IF(AND(GN$5=1,GG$20=1), GT103, GR103)</f>
        <v>0</v>
      </c>
      <c r="GQ103" s="30" t="s">
        <v>1307</v>
      </c>
      <c r="GR103">
        <f>_xlfn.XLOOKUP(GQ103,'KPI Impacts'!$B$2:$H$2,'KPI Impacts'!$B103:$H103)</f>
        <v>0.5</v>
      </c>
      <c r="GS103" s="9" t="s">
        <v>1303</v>
      </c>
      <c r="GT103">
        <f>_xlfn.XLOOKUP(GS103,'KPI Impacts'!$B$2:$H$2,'KPI Impacts'!$B103:$H103)</f>
        <v>0</v>
      </c>
      <c r="GW103" s="12">
        <f>GW$22*HH103</f>
        <v>0</v>
      </c>
      <c r="GX103" s="12">
        <f>GX$22 * IF(AND(GW$5=1,GW$20=1), HJ103, HH103)</f>
        <v>0</v>
      </c>
      <c r="GY103" s="12">
        <f>GY$22 * IF(AND(GX$5=1,GW$20=1), HJ103, HH103)</f>
        <v>0</v>
      </c>
      <c r="GZ103" s="12">
        <f>GZ$22 * IF(AND(GY$5=1,GW$20=1), HJ103, HH103)</f>
        <v>0</v>
      </c>
      <c r="HA103" s="12">
        <f>HA$22 * IF(AND(GZ$5=1,GW$20=1), HJ103, HH103)</f>
        <v>0</v>
      </c>
      <c r="HB103" s="12">
        <f>HB$22 * IF(AND(HA$5=1,GW$20=1), HJ103, HH103)</f>
        <v>0</v>
      </c>
      <c r="HC103" s="12">
        <f>HC$22 * IF(AND(HB$5=1,GW$20=1), HJ103, HH103)</f>
        <v>0</v>
      </c>
      <c r="HD103" s="12">
        <f>HD$22 * IF(AND(HC$5=1,GW$20=1), HJ103, HH103)</f>
        <v>0</v>
      </c>
      <c r="HE103" s="12">
        <f>HE$22 * IF(AND(HD$5=1,GW$20=1), HJ103, HH103)</f>
        <v>0</v>
      </c>
      <c r="HG103" s="16" t="s">
        <v>1303</v>
      </c>
      <c r="HH103">
        <f>_xlfn.XLOOKUP(HG103,'KPI Impacts'!$B$2:$H$2,'KPI Impacts'!$B103:$H103)</f>
        <v>0</v>
      </c>
      <c r="HI103" s="9" t="s">
        <v>1303</v>
      </c>
      <c r="HJ103">
        <f>_xlfn.XLOOKUP(HI103,'KPI Impacts'!$B$2:$H$2,'KPI Impacts'!$B103:$H103)</f>
        <v>0</v>
      </c>
      <c r="HM103" s="12">
        <f>HM$22*HX103</f>
        <v>0</v>
      </c>
      <c r="HN103" s="12">
        <f>HN$22 * IF(AND(HM$5=1,HM$20=1), HZ103, HX103)</f>
        <v>0</v>
      </c>
      <c r="HO103" s="12">
        <f>HO$22 * IF(AND(HN$5=1,HM$20=1), HZ103, HX103)</f>
        <v>0</v>
      </c>
      <c r="HP103" s="12">
        <f>HP$22 * IF(AND(HO$5=1,HM$20=1), HZ103, HX103)</f>
        <v>0</v>
      </c>
      <c r="HQ103" s="12">
        <f>HQ$22 * IF(AND(HP$5=1,HM$20=1), HZ103, HX103)</f>
        <v>0</v>
      </c>
      <c r="HR103" s="12">
        <f>HR$22 * IF(AND(HQ$5=1,HM$20=1), HZ103, HX103)</f>
        <v>0</v>
      </c>
      <c r="HS103" s="12">
        <f>HS$22 * IF(AND(HR$5=1,HM$20=1), HZ103, HX103)</f>
        <v>0</v>
      </c>
      <c r="HT103" s="12">
        <f>HT$22 * IF(AND(HS$5=1,HM$20=1), HZ103, HX103)</f>
        <v>0</v>
      </c>
      <c r="HU103" s="12">
        <f>HU$22 * IF(AND(HT$5=1,HM$20=1), HZ103, HX103)</f>
        <v>0</v>
      </c>
      <c r="HW103" s="30" t="s">
        <v>1307</v>
      </c>
      <c r="HX103">
        <f>_xlfn.XLOOKUP(HW103,'KPI Impacts'!$B$2:$H$2,'KPI Impacts'!$B103:$H103)</f>
        <v>0.5</v>
      </c>
      <c r="HY103" s="9" t="s">
        <v>1303</v>
      </c>
      <c r="HZ103">
        <f>_xlfn.XLOOKUP(HY103,'KPI Impacts'!$B$2:$H$2,'KPI Impacts'!$B103:$H103)</f>
        <v>0</v>
      </c>
      <c r="IC103" s="12">
        <f>IC$22*IN103</f>
        <v>0</v>
      </c>
      <c r="ID103" s="12">
        <f>ID$22 * IF(AND(IC$5=1,IC$20=1), IP103, IN103)</f>
        <v>0</v>
      </c>
      <c r="IE103" s="12">
        <f>IE$22 * IF(AND(ID$5=1,IC$20=1), IP103, IN103)</f>
        <v>0</v>
      </c>
      <c r="IF103" s="12">
        <f>IF$22 * IF(AND(IE$5=1,IC$20=1), IP103, IN103)</f>
        <v>0</v>
      </c>
      <c r="IG103" s="12">
        <f>IG$22 * IF(AND(IF$5=1,IC$20=1), IP103, IN103)</f>
        <v>0</v>
      </c>
      <c r="IH103" s="12">
        <f>IH$22 * IF(AND(IG$5=1,IC$20=1), IP103, IN103)</f>
        <v>0</v>
      </c>
      <c r="II103" s="12">
        <f>II$22 * IF(AND(IH$5=1,IC$20=1), IP103, IN103)</f>
        <v>0</v>
      </c>
      <c r="IJ103" s="12">
        <f>IJ$22 * IF(AND(II$5=1,IC$20=1), IP103, IN103)</f>
        <v>0</v>
      </c>
      <c r="IK103" s="12">
        <f>IK$22 * IF(AND(IJ$5=1,IC$20=1), IP103, IN103)</f>
        <v>0</v>
      </c>
      <c r="IM103" s="16" t="s">
        <v>1303</v>
      </c>
      <c r="IN103">
        <f>_xlfn.XLOOKUP(IM103,'KPI Impacts'!$B$2:$H$2,'KPI Impacts'!$B103:$H103)</f>
        <v>0</v>
      </c>
      <c r="IO103" s="9" t="s">
        <v>1303</v>
      </c>
      <c r="IP103">
        <f>_xlfn.XLOOKUP(IO103,'KPI Impacts'!$B$2:$H$2,'KPI Impacts'!$B103:$H103)</f>
        <v>0</v>
      </c>
      <c r="IS103" s="12">
        <f>IS$22*JD103</f>
        <v>0</v>
      </c>
      <c r="IT103" s="12">
        <f>IT$22 * IF(AND(IS$5=1,IS$20=1), JF103, JD103)</f>
        <v>0</v>
      </c>
      <c r="IU103" s="12">
        <f>IU$22 * IF(AND(IT$5=1,IS$20=1), JF103, JD103)</f>
        <v>0</v>
      </c>
      <c r="IV103" s="12">
        <f>IV$22 * IF(AND(IU$5=1,IS$20=1), JF103, JD103)</f>
        <v>0</v>
      </c>
      <c r="IW103" s="12">
        <f>IW$22 * IF(AND(IV$5=1,IS$20=1), JF103, JD103)</f>
        <v>0</v>
      </c>
      <c r="IX103" s="12">
        <f>IX$22 * IF(AND(IW$5=1,IS$20=1), JF103, JD103)</f>
        <v>0</v>
      </c>
      <c r="IY103" s="12">
        <f>IY$22 * IF(AND(IX$5=1,IS$20=1), JF103, JD103)</f>
        <v>0</v>
      </c>
      <c r="IZ103" s="12">
        <f>IZ$22 * IF(AND(IY$5=1,IS$20=1), JF103, JD103)</f>
        <v>0</v>
      </c>
      <c r="JA103" s="12">
        <f>JA$22 * IF(AND(IZ$5=1,IS$20=1), JF103, JD103)</f>
        <v>0</v>
      </c>
      <c r="JC103" t="s">
        <v>1303</v>
      </c>
      <c r="JD103">
        <f>_xlfn.XLOOKUP(JC103,'KPI Impacts'!$B$2:$H$2,'KPI Impacts'!$B103:$H103)</f>
        <v>0</v>
      </c>
      <c r="JE103" s="9" t="s">
        <v>1303</v>
      </c>
      <c r="JF103">
        <f>_xlfn.XLOOKUP(JE103,'KPI Impacts'!$B$2:$H$2,'KPI Impacts'!$B103:$H103)</f>
        <v>0</v>
      </c>
      <c r="JI103" s="12">
        <f>JI$22*JT103</f>
        <v>0</v>
      </c>
      <c r="JJ103" s="12">
        <f>JJ$22 * IF(AND(JI$5=1,JI$20=1), JV103, JT103)</f>
        <v>0</v>
      </c>
      <c r="JK103" s="12">
        <f>JK$22 * IF(AND(JJ$5=1,JI$20=1), JV103, JT103)</f>
        <v>0</v>
      </c>
      <c r="JL103" s="12">
        <f>JL$22 * IF(AND(JK$5=1,JI$20=1), JV103, JT103)</f>
        <v>0</v>
      </c>
      <c r="JM103" s="12">
        <f>JM$22 * IF(AND(JL$5=1,JI$20=1), JV103, JT103)</f>
        <v>0</v>
      </c>
      <c r="JN103" s="12">
        <f>JN$22 * IF(AND(JM$5=1,JI$20=1), JV103, JT103)</f>
        <v>0</v>
      </c>
      <c r="JO103" s="12">
        <f>JO$22 * IF(AND(JN$5=1,JI$20=1), JV103, JT103)</f>
        <v>0</v>
      </c>
      <c r="JP103" s="12">
        <f>JP$22 * IF(AND(JO$5=1,JI$20=1), JV103, JT103)</f>
        <v>0</v>
      </c>
      <c r="JQ103" s="12">
        <f>JQ$22 * IF(AND(JP$5=1,JI$20=1), JV103, JT103)</f>
        <v>0</v>
      </c>
      <c r="JS103" t="s">
        <v>1303</v>
      </c>
      <c r="JT103">
        <f>_xlfn.XLOOKUP(JS103,'KPI Impacts'!$B$2:$H$2,'KPI Impacts'!$B103:$H103)</f>
        <v>0</v>
      </c>
      <c r="JU103" s="9" t="s">
        <v>1303</v>
      </c>
      <c r="JV103">
        <f>_xlfn.XLOOKUP(JU103,'KPI Impacts'!$B$2:$H$2,'KPI Impacts'!$B103:$H103)</f>
        <v>0</v>
      </c>
      <c r="JY103" s="12">
        <f>JY$22*KJ103</f>
        <v>0</v>
      </c>
      <c r="JZ103" s="12">
        <f>JZ$22 * IF(AND(JY$5=1,JY$20=1), KL103, KJ103)</f>
        <v>0</v>
      </c>
      <c r="KA103" s="12">
        <f>KA$22 * IF(AND(JZ$5=1,JY$20=1), KL103, KJ103)</f>
        <v>0</v>
      </c>
      <c r="KB103" s="12">
        <f>KB$22 * IF(AND(KA$5=1,JY$20=1), KL103, KJ103)</f>
        <v>0</v>
      </c>
      <c r="KC103" s="12">
        <f>KC$22 * IF(AND(KB$5=1,JY$20=1), KL103, KJ103)</f>
        <v>0</v>
      </c>
      <c r="KD103" s="12">
        <f>KD$22 * IF(AND(KC$5=1,JY$20=1), KL103, KJ103)</f>
        <v>0</v>
      </c>
      <c r="KE103" s="12">
        <f>KE$22 * IF(AND(KD$5=1,JY$20=1), KL103, KJ103)</f>
        <v>0</v>
      </c>
      <c r="KF103" s="12">
        <f>KF$22 * IF(AND(KE$5=1,JY$20=1), KL103, KJ103)</f>
        <v>0</v>
      </c>
      <c r="KG103" s="12">
        <f>KG$22 * IF(AND(KF$5=1,JY$20=1), KL103, KJ103)</f>
        <v>0</v>
      </c>
      <c r="KI103" t="s">
        <v>1303</v>
      </c>
      <c r="KJ103">
        <f>_xlfn.XLOOKUP(KI103,'KPI Impacts'!$B$2:$H$2,'KPI Impacts'!$B103:$H103)</f>
        <v>0</v>
      </c>
      <c r="KK103" s="9" t="s">
        <v>1303</v>
      </c>
      <c r="KL103">
        <f>_xlfn.XLOOKUP(KK103,'KPI Impacts'!$B$2:$H$2,'KPI Impacts'!$B103:$H103)</f>
        <v>0</v>
      </c>
      <c r="KO103" s="12">
        <f>KO$22*KZ103</f>
        <v>0</v>
      </c>
      <c r="KP103" s="12">
        <f>KP$22 * IF(AND(KO$5=1,KO$20=1), LB103, KZ103)</f>
        <v>0</v>
      </c>
      <c r="KQ103" s="12">
        <f>KQ$22 * IF(AND(KP$5=1,KO$20=1), LB103, KZ103)</f>
        <v>0</v>
      </c>
      <c r="KR103" s="12">
        <f>KR$22 * IF(AND(KQ$5=1,KO$20=1), LB103, KZ103)</f>
        <v>0</v>
      </c>
      <c r="KS103" s="12">
        <f>KS$22 * IF(AND(KR$5=1,KO$20=1), LB103, KZ103)</f>
        <v>0</v>
      </c>
      <c r="KT103" s="12">
        <f>KT$22 * IF(AND(KS$5=1,KO$20=1), LB103, KZ103)</f>
        <v>0</v>
      </c>
      <c r="KU103" s="12">
        <f>KU$22 * IF(AND(KT$5=1,KO$20=1), LB103, KZ103)</f>
        <v>0</v>
      </c>
      <c r="KV103" s="12">
        <f>KV$22 * IF(AND(KU$5=1,KO$20=1), LB103, KZ103)</f>
        <v>0</v>
      </c>
      <c r="KW103" s="12">
        <f>KW$22 * IF(AND(KV$5=1,KO$20=1), LB103, KZ103)</f>
        <v>0</v>
      </c>
      <c r="KY103" t="s">
        <v>1303</v>
      </c>
      <c r="KZ103">
        <f>_xlfn.XLOOKUP(KY103,'KPI Impacts'!$B$2:$H$2,'KPI Impacts'!$B103:$H103)</f>
        <v>0</v>
      </c>
      <c r="LA103" s="9" t="s">
        <v>1303</v>
      </c>
      <c r="LB103">
        <f>_xlfn.XLOOKUP(LA103,'KPI Impacts'!$B$2:$H$2,'KPI Impacts'!$B103:$H103)</f>
        <v>0</v>
      </c>
      <c r="LE103" s="12">
        <f>LE$22*LP103</f>
        <v>0</v>
      </c>
      <c r="LF103" s="12">
        <f>LF$22 * IF(AND(LE$5=1,LE$20=1), LR103, LP103)</f>
        <v>0</v>
      </c>
      <c r="LG103" s="12">
        <f>LG$22 * IF(AND(LF$5=1,LE$20=1), LR103, LP103)</f>
        <v>0</v>
      </c>
      <c r="LH103" s="12">
        <f>LH$22 * IF(AND(LG$5=1,LE$20=1), LR103, LP103)</f>
        <v>0</v>
      </c>
      <c r="LI103" s="12">
        <f>LI$22 * IF(AND(LH$5=1,LE$20=1), LR103, LP103)</f>
        <v>0</v>
      </c>
      <c r="LJ103" s="12">
        <f>LJ$22 * IF(AND(LI$5=1,LE$20=1), LR103, LP103)</f>
        <v>0</v>
      </c>
      <c r="LK103" s="12">
        <f>LK$22 * IF(AND(LJ$5=1,LE$20=1), LR103, LP103)</f>
        <v>0</v>
      </c>
      <c r="LL103" s="12">
        <f>LL$22 * IF(AND(LK$5=1,LE$20=1), LR103, LP103)</f>
        <v>0</v>
      </c>
      <c r="LM103" s="12">
        <f>LM$22 * IF(AND(LL$5=1,LE$20=1), LR103, LP103)</f>
        <v>0</v>
      </c>
      <c r="LO103" t="s">
        <v>1303</v>
      </c>
      <c r="LP103">
        <f>_xlfn.XLOOKUP(LO103,'KPI Impacts'!$B$2:$H$2,'KPI Impacts'!$B103:$H103)</f>
        <v>0</v>
      </c>
      <c r="LQ103" s="9" t="s">
        <v>1303</v>
      </c>
      <c r="LR103">
        <f>_xlfn.XLOOKUP(LQ103,'KPI Impacts'!$B$2:$H$2,'KPI Impacts'!$B103:$H103)</f>
        <v>0</v>
      </c>
      <c r="LU103" s="12">
        <f>LU$22*MF103</f>
        <v>0</v>
      </c>
      <c r="LV103" s="12">
        <f>LV$22 * IF(AND(LU$5=1,LU$20=1), MH103, MF103)</f>
        <v>0</v>
      </c>
      <c r="LW103" s="12">
        <f>LW$22 * IF(AND(LV$5=1,LU$20=1), MH103, MF103)</f>
        <v>0</v>
      </c>
      <c r="LX103" s="12">
        <f>LX$22 * IF(AND(LW$5=1,LU$20=1), MH103, MF103)</f>
        <v>0</v>
      </c>
      <c r="LY103" s="12">
        <f>LY$22 * IF(AND(LX$5=1,LU$20=1), MH103, MF103)</f>
        <v>0</v>
      </c>
      <c r="LZ103" s="12">
        <f>LZ$22 * IF(AND(LY$5=1,LU$20=1), MH103, MF103)</f>
        <v>0</v>
      </c>
      <c r="MA103" s="12">
        <f>MA$22 * IF(AND(LZ$5=1,LU$20=1), MH103, MF103)</f>
        <v>0</v>
      </c>
      <c r="MB103" s="12">
        <f>MB$22 * IF(AND(MA$5=1,LU$20=1), MH103, MF103)</f>
        <v>0</v>
      </c>
      <c r="MC103" s="12">
        <f>MC$22 * IF(AND(MB$5=1,LU$20=1), MH103, MF103)</f>
        <v>0</v>
      </c>
      <c r="ME103" t="s">
        <v>1303</v>
      </c>
      <c r="MF103">
        <f>_xlfn.XLOOKUP(ME103,'KPI Impacts'!$B$2:$H$2,'KPI Impacts'!$B103:$H103)</f>
        <v>0</v>
      </c>
      <c r="MG103" s="9" t="s">
        <v>1303</v>
      </c>
      <c r="MH103">
        <f>_xlfn.XLOOKUP(MG103,'KPI Impacts'!$B$2:$H$2,'KPI Impacts'!$B103:$H103)</f>
        <v>0</v>
      </c>
      <c r="MK103" s="12">
        <f>MK$22*MV103</f>
        <v>0</v>
      </c>
      <c r="ML103" s="12">
        <f>ML$22 * IF(AND(MK$5=1,MK$20=1), MX103, MV103)</f>
        <v>0</v>
      </c>
      <c r="MM103" s="12">
        <f>MM$22 * IF(AND(ML$5=1,MK$20=1), MX103, MV103)</f>
        <v>0</v>
      </c>
      <c r="MN103" s="12">
        <f>MN$22 * IF(AND(MM$5=1,MK$20=1), MX103, MV103)</f>
        <v>0</v>
      </c>
      <c r="MO103" s="12">
        <f>MO$22 * IF(AND(MN$5=1,MK$20=1), MX103, MV103)</f>
        <v>0</v>
      </c>
      <c r="MP103" s="12">
        <f>MP$22 * IF(AND(MO$5=1,MK$20=1), MX103, MV103)</f>
        <v>0</v>
      </c>
      <c r="MQ103" s="12">
        <f>MQ$22 * IF(AND(MP$5=1,MK$20=1), MX103, MV103)</f>
        <v>0</v>
      </c>
      <c r="MR103" s="12">
        <f>MR$22 * IF(AND(MQ$5=1,MK$20=1), MX103, MV103)</f>
        <v>0</v>
      </c>
      <c r="MS103" s="12">
        <f>MS$22 * IF(AND(MR$5=1,MK$20=1), MX103, MV103)</f>
        <v>0</v>
      </c>
      <c r="MU103" t="s">
        <v>1303</v>
      </c>
      <c r="MV103">
        <f>_xlfn.XLOOKUP(MU103,'KPI Impacts'!$B$2:$H$2,'KPI Impacts'!$B103:$H103)</f>
        <v>0</v>
      </c>
      <c r="MW103" s="9" t="s">
        <v>1303</v>
      </c>
      <c r="MX103">
        <f>_xlfn.XLOOKUP(MW103,'KPI Impacts'!$B$2:$H$2,'KPI Impacts'!$B103:$H103)</f>
        <v>0</v>
      </c>
      <c r="NA103" s="12">
        <f>NA$22*NL103</f>
        <v>0</v>
      </c>
      <c r="NB103" s="12">
        <f>NB$22 * IF(AND(NA$5=1,NA$20=1), NN103, NL103)</f>
        <v>0</v>
      </c>
      <c r="NC103" s="12">
        <f>NC$22 * IF(AND(NB$5=1,NA$20=1), NN103, NL103)</f>
        <v>0</v>
      </c>
      <c r="ND103" s="12">
        <f>ND$22 * IF(AND(NC$5=1,NA$20=1), NN103, NL103)</f>
        <v>0</v>
      </c>
      <c r="NE103" s="12">
        <f>NE$22 * IF(AND(ND$5=1,NA$20=1), NN103, NL103)</f>
        <v>0</v>
      </c>
      <c r="NF103" s="12">
        <f>NF$22 * IF(AND(NE$5=1,NA$20=1), NN103, NL103)</f>
        <v>0</v>
      </c>
      <c r="NG103" s="12">
        <f>NG$22 * IF(AND(NF$5=1,NA$20=1), NN103, NL103)</f>
        <v>0</v>
      </c>
      <c r="NH103" s="12">
        <f>NH$22 * IF(AND(NG$5=1,NA$20=1), NN103, NL103)</f>
        <v>0</v>
      </c>
      <c r="NI103" s="12">
        <f>NI$22 * IF(AND(NH$5=1,NA$20=1), NN103, NL103)</f>
        <v>0</v>
      </c>
      <c r="NK103" t="s">
        <v>1303</v>
      </c>
      <c r="NL103">
        <f>_xlfn.XLOOKUP(NK103,'KPI Impacts'!$B$2:$H$2,'KPI Impacts'!$B103:$H103)</f>
        <v>0</v>
      </c>
      <c r="NM103" s="9" t="s">
        <v>1303</v>
      </c>
      <c r="NN103">
        <f>_xlfn.XLOOKUP(NM103,'KPI Impacts'!$B$2:$H$2,'KPI Impacts'!$B103:$H103)</f>
        <v>0</v>
      </c>
      <c r="NQ103" s="12">
        <f>NQ$22*OB103</f>
        <v>0</v>
      </c>
      <c r="NR103" s="12">
        <f>NR$22 * IF(AND(NQ$5=1,NQ$20=1), OD103, OB103)</f>
        <v>0</v>
      </c>
      <c r="NS103" s="12">
        <f>NS$22 * IF(AND(NR$5=1,NQ$20=1), OD103, OB103)</f>
        <v>0</v>
      </c>
      <c r="NT103" s="12">
        <f>NT$22 * IF(AND(NS$5=1,NQ$20=1), OD103, OB103)</f>
        <v>0</v>
      </c>
      <c r="NU103" s="12">
        <f>NU$22 * IF(AND(NT$5=1,NQ$20=1), OD103, OB103)</f>
        <v>0</v>
      </c>
      <c r="NV103" s="12">
        <f>NV$22 * IF(AND(NU$5=1,NQ$20=1), OD103, OB103)</f>
        <v>0</v>
      </c>
      <c r="NW103" s="12">
        <f>NW$22 * IF(AND(NV$5=1,NQ$20=1), OD103, OB103)</f>
        <v>0</v>
      </c>
      <c r="NX103" s="12">
        <f>NX$22 * IF(AND(NW$5=1,NQ$20=1), OD103, OB103)</f>
        <v>0</v>
      </c>
      <c r="NY103" s="12">
        <f>NY$22 * IF(AND(NX$5=1,NQ$20=1), OD103, OB103)</f>
        <v>0</v>
      </c>
      <c r="OA103" t="s">
        <v>1303</v>
      </c>
      <c r="OB103">
        <f>_xlfn.XLOOKUP(OA103,'KPI Impacts'!$B$2:$H$2,'KPI Impacts'!$B103:$H103)</f>
        <v>0</v>
      </c>
      <c r="OC103" s="9" t="s">
        <v>1303</v>
      </c>
      <c r="OD103">
        <f>_xlfn.XLOOKUP(OC103,'KPI Impacts'!$B$2:$H$2,'KPI Impacts'!$B103:$H103)</f>
        <v>0</v>
      </c>
      <c r="OG103" s="12">
        <f>OG$22*OR103</f>
        <v>0</v>
      </c>
      <c r="OH103" s="12">
        <f>OH$22 * IF(AND(OG$5=1,OG$20=1), OT103, OR103)</f>
        <v>0</v>
      </c>
      <c r="OI103" s="12">
        <f>OI$22 * IF(AND(OH$5=1,OG$20=1), OT103, OR103)</f>
        <v>0</v>
      </c>
      <c r="OJ103" s="12">
        <f>OJ$22 * IF(AND(OI$5=1,OG$20=1), OT103, OR103)</f>
        <v>0</v>
      </c>
      <c r="OK103" s="12">
        <f>OK$22 * IF(AND(OJ$5=1,OG$20=1), OT103, OR103)</f>
        <v>0</v>
      </c>
      <c r="OL103" s="12">
        <f>OL$22 * IF(AND(OK$5=1,OG$20=1), OT103, OR103)</f>
        <v>0</v>
      </c>
      <c r="OM103" s="12">
        <f>OM$22 * IF(AND(OL$5=1,OG$20=1), OT103, OR103)</f>
        <v>0</v>
      </c>
      <c r="ON103" s="12">
        <f>ON$22 * IF(AND(OM$5=1,OG$20=1), OT103, OR103)</f>
        <v>0</v>
      </c>
      <c r="OO103" s="12">
        <f>OO$22 * IF(AND(ON$5=1,OG$20=1), OT103, OR103)</f>
        <v>0</v>
      </c>
      <c r="OQ103" t="s">
        <v>1303</v>
      </c>
      <c r="OR103">
        <f>_xlfn.XLOOKUP(OQ103,'KPI Impacts'!$B$2:$H$2,'KPI Impacts'!$B103:$H103)</f>
        <v>0</v>
      </c>
      <c r="OS103" s="9" t="s">
        <v>1303</v>
      </c>
      <c r="OT103">
        <f>_xlfn.XLOOKUP(OS103,'KPI Impacts'!$B$2:$H$2,'KPI Impacts'!$B103:$H103)</f>
        <v>0</v>
      </c>
    </row>
    <row r="104" spans="1:508" x14ac:dyDescent="0.2">
      <c r="A104" t="s">
        <v>1295</v>
      </c>
      <c r="B104" s="12">
        <f t="shared" si="534"/>
        <v>0</v>
      </c>
      <c r="C104" s="12">
        <f t="shared" si="534"/>
        <v>0</v>
      </c>
      <c r="D104" s="12">
        <f t="shared" si="534"/>
        <v>0</v>
      </c>
      <c r="E104" s="12">
        <f t="shared" si="534"/>
        <v>0</v>
      </c>
      <c r="F104" s="12">
        <f t="shared" si="534"/>
        <v>0</v>
      </c>
      <c r="G104" s="12">
        <f t="shared" si="534"/>
        <v>0</v>
      </c>
      <c r="H104" s="12">
        <f t="shared" si="534"/>
        <v>0</v>
      </c>
      <c r="I104" s="12">
        <f t="shared" si="535"/>
        <v>0</v>
      </c>
      <c r="J104" s="12">
        <f t="shared" si="535"/>
        <v>0</v>
      </c>
      <c r="M104">
        <f>M$5*V104</f>
        <v>0</v>
      </c>
      <c r="N104">
        <f>N$5*V104</f>
        <v>0</v>
      </c>
      <c r="O104">
        <f>O$5*V104</f>
        <v>0</v>
      </c>
      <c r="P104">
        <f>P$5*V104</f>
        <v>0</v>
      </c>
      <c r="Q104">
        <f>Q$5*V104</f>
        <v>0</v>
      </c>
      <c r="R104">
        <f>R$5*V104</f>
        <v>0</v>
      </c>
      <c r="S104">
        <f>S$5*V104</f>
        <v>0</v>
      </c>
      <c r="U104" t="s">
        <v>1307</v>
      </c>
      <c r="V104">
        <f>_xlfn.XLOOKUP(U104,'KPI Impacts'!$B$2:$H$2,'KPI Impacts'!$B104:$H104)</f>
        <v>2</v>
      </c>
      <c r="Y104" s="12" cm="1">
        <f t="array" ref="Y104">_xlfn.SWITCH(Y$4, 0,0, 1, AJ104,2,AL104,3,AN104,0)</f>
        <v>0</v>
      </c>
      <c r="Z104" s="12" cm="1">
        <f t="array" ref="Z104">_xlfn.SWITCH(Z$4, 0,0, 1, AJ104,2,AL104,3,AN104,0)+Y104</f>
        <v>0</v>
      </c>
      <c r="AA104" s="12" cm="1">
        <f t="array" ref="AA104">_xlfn.SWITCH(AA$4, 0,0, 1, AJ104,2,AL104,3,AN104,0)+Z104</f>
        <v>0</v>
      </c>
      <c r="AB104" s="12" cm="1">
        <f t="array" ref="AB104">_xlfn.SWITCH(AB$4, 0,0, 1, AJ104,2,AL104,3,AN104,0)+AA104</f>
        <v>0</v>
      </c>
      <c r="AC104" s="12" cm="1">
        <f t="array" ref="AC104">_xlfn.SWITCH(AC$4, 0,0, 1, AJ104,2,AL104,3,AN104,0)+AB104</f>
        <v>0</v>
      </c>
      <c r="AD104" s="12" cm="1">
        <f t="array" ref="AD104">_xlfn.SWITCH(AD$4, 0,0, 1, AJ104,2,AL104,3,AN104,0)+AC104</f>
        <v>0</v>
      </c>
      <c r="AE104" s="12" cm="1">
        <f t="array" ref="AE104">_xlfn.SWITCH(AE$4, 0,0, 1, AJ104,2,AL104,3,AN104,0)+AD104</f>
        <v>0</v>
      </c>
      <c r="AF104" s="12" cm="1">
        <f t="array" ref="AF104">_xlfn.SWITCH(AF$4, 0,0, 1, AJ104,2,AL104,3,AN104,0)+AE104</f>
        <v>0</v>
      </c>
      <c r="AG104" s="12" cm="1">
        <f t="array" ref="AG104">_xlfn.SWITCH(AG$4, 0,0, 1, AJ104,2,AL104,3,AN104,0)+AF104</f>
        <v>0</v>
      </c>
      <c r="AI104" t="s">
        <v>1307</v>
      </c>
      <c r="AJ104">
        <f>_xlfn.XLOOKUP(AI104,'KPI Impacts'!$K$2:$Q$2,'KPI Impacts'!$K104:$Q104)</f>
        <v>0.6</v>
      </c>
      <c r="AK104" t="s">
        <v>1309</v>
      </c>
      <c r="AL104">
        <f>_xlfn.XLOOKUP(AK104,'KPI Impacts'!$K$2:$Q$2,'KPI Impacts'!$K104:$Q104)</f>
        <v>1.2</v>
      </c>
      <c r="AM104" t="s">
        <v>1308</v>
      </c>
      <c r="AN104">
        <f>_xlfn.XLOOKUP(AM104,'KPI Impacts'!$K$2:$Q$2,'KPI Impacts'!$K104:$Q104)</f>
        <v>2.4</v>
      </c>
      <c r="AQ104" s="12" cm="1">
        <f t="array" ref="AQ104">_xlfn.SWITCH(AQ$4, 0,0, 1, BB104,2,BD104,3,BF104,0)</f>
        <v>0</v>
      </c>
      <c r="AR104" s="12" cm="1">
        <f t="array" ref="AR104">_xlfn.SWITCH(AR$4, 0,0, 1, BB104,2,BD104,3,BF104,0)+AQ104</f>
        <v>0</v>
      </c>
      <c r="AS104" s="12" cm="1">
        <f t="array" ref="AS104">_xlfn.SWITCH(AS$4, 0,0, 1, BB104,2,BD104,3,BF104,0)+AR104</f>
        <v>0</v>
      </c>
      <c r="AT104" s="12" cm="1">
        <f t="array" ref="AT104">_xlfn.SWITCH(AT$4, 0,0, 1, BB104,2,BD104,3,BF104,0)+AS104</f>
        <v>0</v>
      </c>
      <c r="AU104" s="12" cm="1">
        <f t="array" ref="AU104">_xlfn.SWITCH(AU$4, 0,0, 1, BB104,2,BD104,3,BF104,0)+AT104</f>
        <v>0</v>
      </c>
      <c r="AV104" s="12" cm="1">
        <f t="array" ref="AV104">_xlfn.SWITCH(AV$4, 0,0, 1, BB104,2,BD104,3,BF104,0)+AU104</f>
        <v>0</v>
      </c>
      <c r="AW104" s="12" cm="1">
        <f t="array" ref="AW104">_xlfn.SWITCH(AW$4, 0,0, 1, BB104,2,BD104,3,BF104,0)+AV104</f>
        <v>0</v>
      </c>
      <c r="AX104" s="12" cm="1">
        <f t="array" ref="AX104">_xlfn.SWITCH(AX$4, 0,0, 1, BB104,2,BD104,3,BF104,0)+AW104</f>
        <v>0</v>
      </c>
      <c r="AY104" s="12" cm="1">
        <f t="array" ref="AY104">_xlfn.SWITCH(AY$4, 0,0, 1, BB104,2,BD104,3,BF104,0)+AX104</f>
        <v>0</v>
      </c>
      <c r="BA104" t="s">
        <v>1307</v>
      </c>
      <c r="BB104">
        <f>_xlfn.XLOOKUP(BA104,'KPI Impacts'!$K$2:$Q$2,'KPI Impacts'!$K104:$Q104)</f>
        <v>0.6</v>
      </c>
      <c r="BC104" t="s">
        <v>1309</v>
      </c>
      <c r="BD104">
        <f>_xlfn.XLOOKUP(BC104,'KPI Impacts'!$K$2:$Q$2,'KPI Impacts'!$K104:$Q104)</f>
        <v>1.2</v>
      </c>
      <c r="BE104" t="s">
        <v>1308</v>
      </c>
      <c r="BF104">
        <f>_xlfn.XLOOKUP(BE104,'KPI Impacts'!$K$2:$Q$2,'KPI Impacts'!$K104:$Q104)</f>
        <v>2.4</v>
      </c>
      <c r="BI104" s="12">
        <f>BI$22*BT104</f>
        <v>0</v>
      </c>
      <c r="BJ104" s="12">
        <f>BJ$22 * IF(AND(BI$5=1,BI$20=1), BV104, BT104)</f>
        <v>0</v>
      </c>
      <c r="BK104" s="12">
        <f>BK$22 * IF(AND(BJ$5=1,BI$20=1), BV104, BT104)</f>
        <v>0</v>
      </c>
      <c r="BL104" s="12">
        <f>BL$22 * IF(AND(BK$5=1,BI$20=1), BV104, BT104)</f>
        <v>0</v>
      </c>
      <c r="BM104" s="12">
        <f>BM$22 * IF(AND(BL$5=1,BI$20=1), BV104, BT104)</f>
        <v>0</v>
      </c>
      <c r="BN104" s="12">
        <f>BN$22 * IF(AND(BM$5=1,BI$20=1), BV104, BT104)</f>
        <v>0</v>
      </c>
      <c r="BO104" s="12">
        <f>BO$22 * IF(AND(BN$5=1,BI$20=1), BV104, BT104)</f>
        <v>0</v>
      </c>
      <c r="BP104" s="12">
        <f>BP$22 * IF(AND(BO$5=1,BI$20=1), BV104, BT104)</f>
        <v>0</v>
      </c>
      <c r="BQ104" s="12">
        <f>BQ$22 * IF(AND(BP$5=1,BI$20=1), BV104, BT104)</f>
        <v>0</v>
      </c>
      <c r="BS104" s="30" t="s">
        <v>1307</v>
      </c>
      <c r="BT104">
        <f>_xlfn.XLOOKUP(BS104,'KPI Impacts'!$B$2:$H$2,'KPI Impacts'!$B104:$H104)</f>
        <v>2</v>
      </c>
      <c r="BU104" s="35" t="s">
        <v>1303</v>
      </c>
      <c r="BV104">
        <f>_xlfn.XLOOKUP(BU104,'KPI Impacts'!$B$2:$H$2,'KPI Impacts'!$B104:$H104)</f>
        <v>0</v>
      </c>
      <c r="BY104" s="12">
        <f>BY$22*CJ104</f>
        <v>0</v>
      </c>
      <c r="BZ104" s="12">
        <f>BZ$22 * IF(AND(BY$5=1,BY$20=1), CL104, CJ104)</f>
        <v>0</v>
      </c>
      <c r="CA104" s="12">
        <f>CA$22 * IF(AND(BZ$5=1,BY$20=1), CL104, CJ104)</f>
        <v>0</v>
      </c>
      <c r="CB104" s="12">
        <f>CB$22 * IF(AND(CA$5=1,BY$20=1), CL104, CJ104)</f>
        <v>0</v>
      </c>
      <c r="CC104" s="12">
        <f>CC$22 * IF(AND(CB$5=1,BY$20=1), CL104, CJ104)</f>
        <v>0</v>
      </c>
      <c r="CD104" s="12">
        <f>CD$22 * IF(AND(CC$5=1,BY$20=1), CL104, CJ104)</f>
        <v>0</v>
      </c>
      <c r="CE104" s="12">
        <f>CE$22 * IF(AND(CD$5=1,BY$20=1), CL104, CJ104)</f>
        <v>0</v>
      </c>
      <c r="CF104" s="12">
        <f>CF$22 * IF(AND(CE$5=1,BY$20=1), CL104, CJ104)</f>
        <v>0</v>
      </c>
      <c r="CG104" s="12">
        <f>CG$22 * IF(AND(CF$5=1,BY$20=1), CL104, CJ104)</f>
        <v>0</v>
      </c>
      <c r="CI104" s="30" t="s">
        <v>1309</v>
      </c>
      <c r="CJ104">
        <f>_xlfn.XLOOKUP(CI104,'KPI Impacts'!$B$2:$H$2,'KPI Impacts'!$B104:$H104)</f>
        <v>4</v>
      </c>
      <c r="CK104" s="35" t="s">
        <v>1303</v>
      </c>
      <c r="CL104">
        <f>_xlfn.XLOOKUP(CK104,'KPI Impacts'!$B$2:$H$2,'KPI Impacts'!$B104:$H104)</f>
        <v>0</v>
      </c>
      <c r="CO104" s="12">
        <f>CO$22*CZ104</f>
        <v>0</v>
      </c>
      <c r="CP104" s="12">
        <f>CP$22 * IF(AND(CO$5=1,CO$20=1), DB104, CZ104)</f>
        <v>0</v>
      </c>
      <c r="CQ104" s="12">
        <f>CQ$22 * IF(AND(CP$5=1,CO$20=1), DB104, CZ104)</f>
        <v>0</v>
      </c>
      <c r="CR104" s="12">
        <f>CR$22 * IF(AND(CQ$5=1,CO$20=1), DB104, CZ104)</f>
        <v>0</v>
      </c>
      <c r="CS104" s="12">
        <f>CS$22 * IF(AND(CR$5=1,CO$20=1), DB104, CZ104)</f>
        <v>0</v>
      </c>
      <c r="CT104" s="12">
        <f>CT$22 * IF(AND(CS$5=1,CO$20=1), DB104, CZ104)</f>
        <v>0</v>
      </c>
      <c r="CU104" s="12">
        <f>CU$22 * IF(AND(CT$5=1,CO$20=1), DB104, CZ104)</f>
        <v>0</v>
      </c>
      <c r="CV104" s="12">
        <f>CV$22 * IF(AND(CU$5=1,CO$20=1), DB104, CZ104)</f>
        <v>0</v>
      </c>
      <c r="CW104" s="12">
        <f>CW$22 * IF(AND(CV$5=1,CO$20=1), DB104, CZ104)</f>
        <v>0</v>
      </c>
      <c r="CY104" s="30" t="s">
        <v>1309</v>
      </c>
      <c r="CZ104">
        <f>_xlfn.XLOOKUP(CY104,'KPI Impacts'!$B$2:$H$2,'KPI Impacts'!$B104:$H104)</f>
        <v>4</v>
      </c>
      <c r="DA104" s="35" t="s">
        <v>1303</v>
      </c>
      <c r="DB104">
        <f>_xlfn.XLOOKUP(DA104,'KPI Impacts'!$B$2:$H$2,'KPI Impacts'!$B104:$H104)</f>
        <v>0</v>
      </c>
      <c r="DE104" s="12">
        <f>DE$22*DP104</f>
        <v>0</v>
      </c>
      <c r="DF104" s="12">
        <f>DF$22 * IF(AND(DE$5=1,DE$20=1), DR104, DP104)</f>
        <v>0</v>
      </c>
      <c r="DG104" s="12">
        <f>DG$22 * IF(AND(DF$5=1,DE$20=1), DR104, DP104)</f>
        <v>0</v>
      </c>
      <c r="DH104" s="12">
        <f>DH$22 * IF(AND(DG$5=1,DE$20=1), DR104, DP104)</f>
        <v>0</v>
      </c>
      <c r="DI104" s="12">
        <f>DI$22 * IF(AND(DH$5=1,DE$20=1), DR104, DP104)</f>
        <v>0</v>
      </c>
      <c r="DJ104" s="12">
        <f>DJ$22 * IF(AND(DI$5=1,DE$20=1), DR104, DP104)</f>
        <v>0</v>
      </c>
      <c r="DK104" s="12">
        <f>DK$22 * IF(AND(DJ$5=1,DE$20=1), DR104, DP104)</f>
        <v>0</v>
      </c>
      <c r="DL104" s="12">
        <f>DL$22 * IF(AND(DK$5=1,DE$20=1), DR104, DP104)</f>
        <v>0</v>
      </c>
      <c r="DM104" s="12">
        <f>DM$22 * IF(AND(DL$5=1,DE$20=1), DR104, DP104)</f>
        <v>0</v>
      </c>
      <c r="DO104" s="30" t="s">
        <v>1309</v>
      </c>
      <c r="DP104">
        <f>_xlfn.XLOOKUP(DO104,'KPI Impacts'!$B$2:$H$2,'KPI Impacts'!$B104:$H104)</f>
        <v>4</v>
      </c>
      <c r="DQ104" s="35" t="s">
        <v>1303</v>
      </c>
      <c r="DR104">
        <f>_xlfn.XLOOKUP(DQ104,'KPI Impacts'!$B$2:$H$2,'KPI Impacts'!$B104:$H104)</f>
        <v>0</v>
      </c>
      <c r="DU104" s="12">
        <f>DU$22*EF104</f>
        <v>0</v>
      </c>
      <c r="DV104" s="12">
        <f>DV$22 * IF(AND(DU$5=1,DU$20=1), EH104, EF104)</f>
        <v>0</v>
      </c>
      <c r="DW104" s="12">
        <f>DW$22 * IF(AND(DV$5=1,DU$20=1), EH104, EF104)</f>
        <v>0</v>
      </c>
      <c r="DX104" s="12">
        <f>DX$22 * IF(AND(DW$5=1,DU$20=1), EH104, EF104)</f>
        <v>0</v>
      </c>
      <c r="DY104" s="12">
        <f>DY$22 * IF(AND(DX$5=1,DU$20=1), EH104, EF104)</f>
        <v>0</v>
      </c>
      <c r="DZ104" s="12">
        <f>DZ$22 * IF(AND(DY$5=1,DU$20=1), EH104, EF104)</f>
        <v>0</v>
      </c>
      <c r="EA104" s="12">
        <f>EA$22 * IF(AND(DZ$5=1,DU$20=1), EH104, EF104)</f>
        <v>0</v>
      </c>
      <c r="EB104" s="12">
        <f>EB$22 * IF(AND(EA$5=1,DU$20=1), EH104, EF104)</f>
        <v>0</v>
      </c>
      <c r="EC104" s="12">
        <f>EC$22 * IF(AND(EB$5=1,DU$20=1), EH104, EF104)</f>
        <v>0</v>
      </c>
      <c r="EE104" s="30" t="s">
        <v>1307</v>
      </c>
      <c r="EF104">
        <f>_xlfn.XLOOKUP(EE104,'KPI Impacts'!$B$2:$H$2,'KPI Impacts'!$B104:$H104)</f>
        <v>2</v>
      </c>
      <c r="EG104" s="35" t="s">
        <v>1303</v>
      </c>
      <c r="EH104">
        <f>_xlfn.XLOOKUP(EG104,'KPI Impacts'!$B$2:$H$2,'KPI Impacts'!$B104:$H104)</f>
        <v>0</v>
      </c>
      <c r="EK104" s="12">
        <f>EK$22*EV104</f>
        <v>0</v>
      </c>
      <c r="EL104" s="12">
        <f>EL$22 * IF(AND(EK$5=1,EK$20=1), EX104, EV104)</f>
        <v>0</v>
      </c>
      <c r="EM104" s="12">
        <f>EM$22 * IF(AND(EL$5=1,EK$20=1), EX104, EV104)</f>
        <v>0</v>
      </c>
      <c r="EN104" s="12">
        <f>EN$22 * IF(AND(EM$5=1,EK$20=1), EX104, EV104)</f>
        <v>0</v>
      </c>
      <c r="EO104" s="12">
        <f>EO$22 * IF(AND(EN$5=1,EK$20=1), EX104, EV104)</f>
        <v>0</v>
      </c>
      <c r="EP104" s="12">
        <f>EP$22 * IF(AND(EO$5=1,EK$20=1), EX104, EV104)</f>
        <v>0</v>
      </c>
      <c r="EQ104" s="12">
        <f>EQ$22 * IF(AND(EP$5=1,EK$20=1), EX104, EV104)</f>
        <v>0</v>
      </c>
      <c r="ER104" s="12">
        <f>ER$22 * IF(AND(EQ$5=1,EK$20=1), EX104, EV104)</f>
        <v>0</v>
      </c>
      <c r="ES104" s="12">
        <f>ES$22 * IF(AND(ER$5=1,EK$20=1), EX104, EV104)</f>
        <v>0</v>
      </c>
      <c r="EU104" s="16" t="s">
        <v>1303</v>
      </c>
      <c r="EV104">
        <f>_xlfn.XLOOKUP(EU104,'KPI Impacts'!$B$2:$H$2,'KPI Impacts'!$B104:$H104)</f>
        <v>0</v>
      </c>
      <c r="EW104" s="35" t="s">
        <v>1303</v>
      </c>
      <c r="EX104">
        <f>_xlfn.XLOOKUP(EW104,'KPI Impacts'!$B$2:$H$2,'KPI Impacts'!$B104:$H104)</f>
        <v>0</v>
      </c>
      <c r="FA104" s="12">
        <f>FA$22*FL104</f>
        <v>0</v>
      </c>
      <c r="FB104" s="12">
        <f>FB$22 * IF(AND(FA$5=1,FA$20=1), FN104, FL104)</f>
        <v>0</v>
      </c>
      <c r="FC104" s="12">
        <f>FC$22 * IF(AND(FB$5=1,FA$20=1), FN104, FL104)</f>
        <v>0</v>
      </c>
      <c r="FD104" s="12">
        <f>FD$22 * IF(AND(FC$5=1,FA$20=1), FN104, FL104)</f>
        <v>0</v>
      </c>
      <c r="FE104" s="12">
        <f>FE$22 * IF(AND(FD$5=1,FA$20=1), FN104, FL104)</f>
        <v>0</v>
      </c>
      <c r="FF104" s="12">
        <f>FF$22 * IF(AND(FE$5=1,FA$20=1), FN104, FL104)</f>
        <v>0</v>
      </c>
      <c r="FG104" s="12">
        <f>FG$22 * IF(AND(FF$5=1,FA$20=1), FN104, FL104)</f>
        <v>0</v>
      </c>
      <c r="FH104" s="12">
        <f>FH$22 * IF(AND(FG$5=1,FA$20=1), FN104, FL104)</f>
        <v>0</v>
      </c>
      <c r="FI104" s="12">
        <f>FI$22 * IF(AND(FH$5=1,FA$20=1), FN104, FL104)</f>
        <v>0</v>
      </c>
      <c r="FK104" s="30" t="s">
        <v>1307</v>
      </c>
      <c r="FL104">
        <f>_xlfn.XLOOKUP(FK104,'KPI Impacts'!$B$2:$H$2,'KPI Impacts'!$B104:$H104)</f>
        <v>2</v>
      </c>
      <c r="FM104" s="30" t="s">
        <v>1309</v>
      </c>
      <c r="FN104">
        <f>_xlfn.XLOOKUP(FM104,'KPI Impacts'!$B$2:$H$2,'KPI Impacts'!$B104:$H104)</f>
        <v>4</v>
      </c>
      <c r="FQ104" s="12">
        <f>FQ$22*GB104</f>
        <v>0</v>
      </c>
      <c r="FR104" s="12">
        <f>FR$22 * IF(AND(FQ$5=1,FQ$20=1), GD104, GB104)</f>
        <v>0</v>
      </c>
      <c r="FS104" s="12">
        <f>FS$22 * IF(AND(FR$5=1,FQ$20=1), GD104, GB104)</f>
        <v>0</v>
      </c>
      <c r="FT104" s="12">
        <f>FT$22 * IF(AND(FS$5=1,FQ$20=1), GD104, GB104)</f>
        <v>0</v>
      </c>
      <c r="FU104" s="12">
        <f>FU$22 * IF(AND(FT$5=1,FQ$20=1), GD104, GB104)</f>
        <v>0</v>
      </c>
      <c r="FV104" s="12">
        <f>FV$22 * IF(AND(FU$5=1,FQ$20=1), GD104, GB104)</f>
        <v>0</v>
      </c>
      <c r="FW104" s="12">
        <f>FW$22 * IF(AND(FV$5=1,FQ$20=1), GD104, GB104)</f>
        <v>0</v>
      </c>
      <c r="FX104" s="12">
        <f>FX$22 * IF(AND(FW$5=1,FQ$20=1), GD104, GB104)</f>
        <v>0</v>
      </c>
      <c r="FY104" s="12">
        <f>FY$22 * IF(AND(FX$5=1,FQ$20=1), GD104, GB104)</f>
        <v>0</v>
      </c>
      <c r="GA104" s="16" t="s">
        <v>1303</v>
      </c>
      <c r="GB104">
        <f>_xlfn.XLOOKUP(GA104,'KPI Impacts'!$B$2:$H$2,'KPI Impacts'!$B104:$H104)</f>
        <v>0</v>
      </c>
      <c r="GC104" s="9" t="s">
        <v>1303</v>
      </c>
      <c r="GD104">
        <f>_xlfn.XLOOKUP(GC104,'KPI Impacts'!$B$2:$H$2,'KPI Impacts'!$B104:$H104)</f>
        <v>0</v>
      </c>
      <c r="GG104" s="12">
        <f>GG$22*GR104</f>
        <v>0</v>
      </c>
      <c r="GH104" s="12">
        <f>GH$22 * IF(AND(GG$5=1,GG$20=1), GT104, GR104)</f>
        <v>0</v>
      </c>
      <c r="GI104" s="12">
        <f>GI$22 * IF(AND(GH$5=1,GG$20=1), GT104, GR104)</f>
        <v>0</v>
      </c>
      <c r="GJ104" s="12">
        <f>GJ$22 * IF(AND(GI$5=1,GG$20=1), GT104, GR104)</f>
        <v>0</v>
      </c>
      <c r="GK104" s="12">
        <f>GK$22 * IF(AND(GJ$5=1,GG$20=1), GT104, GR104)</f>
        <v>0</v>
      </c>
      <c r="GL104" s="12">
        <f>GL$22 * IF(AND(GK$5=1,GG$20=1), GT104, GR104)</f>
        <v>0</v>
      </c>
      <c r="GM104" s="12">
        <f>GM$22 * IF(AND(GL$5=1,GG$20=1), GT104, GR104)</f>
        <v>0</v>
      </c>
      <c r="GN104" s="12">
        <f>GN$22 * IF(AND(GM$5=1,GG$20=1), GT104, GR104)</f>
        <v>0</v>
      </c>
      <c r="GO104" s="12">
        <f>GO$22 * IF(AND(GN$5=1,GG$20=1), GT104, GR104)</f>
        <v>0</v>
      </c>
      <c r="GQ104" s="16" t="s">
        <v>1303</v>
      </c>
      <c r="GR104">
        <f>_xlfn.XLOOKUP(GQ104,'KPI Impacts'!$B$2:$H$2,'KPI Impacts'!$B104:$H104)</f>
        <v>0</v>
      </c>
      <c r="GS104" s="9" t="s">
        <v>1303</v>
      </c>
      <c r="GT104">
        <f>_xlfn.XLOOKUP(GS104,'KPI Impacts'!$B$2:$H$2,'KPI Impacts'!$B104:$H104)</f>
        <v>0</v>
      </c>
      <c r="GW104" s="12">
        <f>GW$22*HH104</f>
        <v>0</v>
      </c>
      <c r="GX104" s="12">
        <f>GX$22 * IF(AND(GW$5=1,GW$20=1), HJ104, HH104)</f>
        <v>0</v>
      </c>
      <c r="GY104" s="12">
        <f>GY$22 * IF(AND(GX$5=1,GW$20=1), HJ104, HH104)</f>
        <v>0</v>
      </c>
      <c r="GZ104" s="12">
        <f>GZ$22 * IF(AND(GY$5=1,GW$20=1), HJ104, HH104)</f>
        <v>0</v>
      </c>
      <c r="HA104" s="12">
        <f>HA$22 * IF(AND(GZ$5=1,GW$20=1), HJ104, HH104)</f>
        <v>0</v>
      </c>
      <c r="HB104" s="12">
        <f>HB$22 * IF(AND(HA$5=1,GW$20=1), HJ104, HH104)</f>
        <v>0</v>
      </c>
      <c r="HC104" s="12">
        <f>HC$22 * IF(AND(HB$5=1,GW$20=1), HJ104, HH104)</f>
        <v>0</v>
      </c>
      <c r="HD104" s="12">
        <f>HD$22 * IF(AND(HC$5=1,GW$20=1), HJ104, HH104)</f>
        <v>0</v>
      </c>
      <c r="HE104" s="12">
        <f>HE$22 * IF(AND(HD$5=1,GW$20=1), HJ104, HH104)</f>
        <v>0</v>
      </c>
      <c r="HG104" s="30" t="s">
        <v>1309</v>
      </c>
      <c r="HH104">
        <f>_xlfn.XLOOKUP(HG104,'KPI Impacts'!$B$2:$H$2,'KPI Impacts'!$B104:$H104)</f>
        <v>4</v>
      </c>
      <c r="HI104" s="9" t="s">
        <v>1303</v>
      </c>
      <c r="HJ104">
        <f>_xlfn.XLOOKUP(HI104,'KPI Impacts'!$B$2:$H$2,'KPI Impacts'!$B104:$H104)</f>
        <v>0</v>
      </c>
      <c r="HM104" s="12">
        <f>HM$22*HX104</f>
        <v>0</v>
      </c>
      <c r="HN104" s="12">
        <f>HN$22 * IF(AND(HM$5=1,HM$20=1), HZ104, HX104)</f>
        <v>0</v>
      </c>
      <c r="HO104" s="12">
        <f>HO$22 * IF(AND(HN$5=1,HM$20=1), HZ104, HX104)</f>
        <v>0</v>
      </c>
      <c r="HP104" s="12">
        <f>HP$22 * IF(AND(HO$5=1,HM$20=1), HZ104, HX104)</f>
        <v>0</v>
      </c>
      <c r="HQ104" s="12">
        <f>HQ$22 * IF(AND(HP$5=1,HM$20=1), HZ104, HX104)</f>
        <v>0</v>
      </c>
      <c r="HR104" s="12">
        <f>HR$22 * IF(AND(HQ$5=1,HM$20=1), HZ104, HX104)</f>
        <v>0</v>
      </c>
      <c r="HS104" s="12">
        <f>HS$22 * IF(AND(HR$5=1,HM$20=1), HZ104, HX104)</f>
        <v>0</v>
      </c>
      <c r="HT104" s="12">
        <f>HT$22 * IF(AND(HS$5=1,HM$20=1), HZ104, HX104)</f>
        <v>0</v>
      </c>
      <c r="HU104" s="12">
        <f>HU$22 * IF(AND(HT$5=1,HM$20=1), HZ104, HX104)</f>
        <v>0</v>
      </c>
      <c r="HW104" s="30" t="s">
        <v>1309</v>
      </c>
      <c r="HX104">
        <f>_xlfn.XLOOKUP(HW104,'KPI Impacts'!$B$2:$H$2,'KPI Impacts'!$B104:$H104)</f>
        <v>4</v>
      </c>
      <c r="HY104" s="9" t="s">
        <v>1303</v>
      </c>
      <c r="HZ104">
        <f>_xlfn.XLOOKUP(HY104,'KPI Impacts'!$B$2:$H$2,'KPI Impacts'!$B104:$H104)</f>
        <v>0</v>
      </c>
      <c r="IC104" s="12">
        <f>IC$22*IN104</f>
        <v>0</v>
      </c>
      <c r="ID104" s="12">
        <f>ID$22 * IF(AND(IC$5=1,IC$20=1), IP104, IN104)</f>
        <v>0</v>
      </c>
      <c r="IE104" s="12">
        <f>IE$22 * IF(AND(ID$5=1,IC$20=1), IP104, IN104)</f>
        <v>0</v>
      </c>
      <c r="IF104" s="12">
        <f>IF$22 * IF(AND(IE$5=1,IC$20=1), IP104, IN104)</f>
        <v>0</v>
      </c>
      <c r="IG104" s="12">
        <f>IG$22 * IF(AND(IF$5=1,IC$20=1), IP104, IN104)</f>
        <v>0</v>
      </c>
      <c r="IH104" s="12">
        <f>IH$22 * IF(AND(IG$5=1,IC$20=1), IP104, IN104)</f>
        <v>0</v>
      </c>
      <c r="II104" s="12">
        <f>II$22 * IF(AND(IH$5=1,IC$20=1), IP104, IN104)</f>
        <v>0</v>
      </c>
      <c r="IJ104" s="12">
        <f>IJ$22 * IF(AND(II$5=1,IC$20=1), IP104, IN104)</f>
        <v>0</v>
      </c>
      <c r="IK104" s="12">
        <f>IK$22 * IF(AND(IJ$5=1,IC$20=1), IP104, IN104)</f>
        <v>0</v>
      </c>
      <c r="IM104" s="16" t="s">
        <v>1303</v>
      </c>
      <c r="IN104">
        <f>_xlfn.XLOOKUP(IM104,'KPI Impacts'!$B$2:$H$2,'KPI Impacts'!$B104:$H104)</f>
        <v>0</v>
      </c>
      <c r="IO104" s="9" t="s">
        <v>1303</v>
      </c>
      <c r="IP104">
        <f>_xlfn.XLOOKUP(IO104,'KPI Impacts'!$B$2:$H$2,'KPI Impacts'!$B104:$H104)</f>
        <v>0</v>
      </c>
      <c r="IS104" s="12">
        <f>IS$22*JD104</f>
        <v>0</v>
      </c>
      <c r="IT104" s="12">
        <f>IT$22 * IF(AND(IS$5=1,IS$20=1), JF104, JD104)</f>
        <v>0</v>
      </c>
      <c r="IU104" s="12">
        <f>IU$22 * IF(AND(IT$5=1,IS$20=1), JF104, JD104)</f>
        <v>0</v>
      </c>
      <c r="IV104" s="12">
        <f>IV$22 * IF(AND(IU$5=1,IS$20=1), JF104, JD104)</f>
        <v>0</v>
      </c>
      <c r="IW104" s="12">
        <f>IW$22 * IF(AND(IV$5=1,IS$20=1), JF104, JD104)</f>
        <v>0</v>
      </c>
      <c r="IX104" s="12">
        <f>IX$22 * IF(AND(IW$5=1,IS$20=1), JF104, JD104)</f>
        <v>0</v>
      </c>
      <c r="IY104" s="12">
        <f>IY$22 * IF(AND(IX$5=1,IS$20=1), JF104, JD104)</f>
        <v>0</v>
      </c>
      <c r="IZ104" s="12">
        <f>IZ$22 * IF(AND(IY$5=1,IS$20=1), JF104, JD104)</f>
        <v>0</v>
      </c>
      <c r="JA104" s="12">
        <f>JA$22 * IF(AND(IZ$5=1,IS$20=1), JF104, JD104)</f>
        <v>0</v>
      </c>
      <c r="JC104" t="s">
        <v>1303</v>
      </c>
      <c r="JD104">
        <f>_xlfn.XLOOKUP(JC104,'KPI Impacts'!$B$2:$H$2,'KPI Impacts'!$B104:$H104)</f>
        <v>0</v>
      </c>
      <c r="JE104" s="9" t="s">
        <v>1303</v>
      </c>
      <c r="JF104">
        <f>_xlfn.XLOOKUP(JE104,'KPI Impacts'!$B$2:$H$2,'KPI Impacts'!$B104:$H104)</f>
        <v>0</v>
      </c>
      <c r="JI104" s="12">
        <f>JI$22*JT104</f>
        <v>0</v>
      </c>
      <c r="JJ104" s="12">
        <f>JJ$22 * IF(AND(JI$5=1,JI$20=1), JV104, JT104)</f>
        <v>0</v>
      </c>
      <c r="JK104" s="12">
        <f>JK$22 * IF(AND(JJ$5=1,JI$20=1), JV104, JT104)</f>
        <v>0</v>
      </c>
      <c r="JL104" s="12">
        <f>JL$22 * IF(AND(JK$5=1,JI$20=1), JV104, JT104)</f>
        <v>0</v>
      </c>
      <c r="JM104" s="12">
        <f>JM$22 * IF(AND(JL$5=1,JI$20=1), JV104, JT104)</f>
        <v>0</v>
      </c>
      <c r="JN104" s="12">
        <f>JN$22 * IF(AND(JM$5=1,JI$20=1), JV104, JT104)</f>
        <v>0</v>
      </c>
      <c r="JO104" s="12">
        <f>JO$22 * IF(AND(JN$5=1,JI$20=1), JV104, JT104)</f>
        <v>0</v>
      </c>
      <c r="JP104" s="12">
        <f>JP$22 * IF(AND(JO$5=1,JI$20=1), JV104, JT104)</f>
        <v>0</v>
      </c>
      <c r="JQ104" s="12">
        <f>JQ$22 * IF(AND(JP$5=1,JI$20=1), JV104, JT104)</f>
        <v>0</v>
      </c>
      <c r="JS104" t="s">
        <v>1303</v>
      </c>
      <c r="JT104">
        <f>_xlfn.XLOOKUP(JS104,'KPI Impacts'!$B$2:$H$2,'KPI Impacts'!$B104:$H104)</f>
        <v>0</v>
      </c>
      <c r="JU104" s="9" t="s">
        <v>1303</v>
      </c>
      <c r="JV104">
        <f>_xlfn.XLOOKUP(JU104,'KPI Impacts'!$B$2:$H$2,'KPI Impacts'!$B104:$H104)</f>
        <v>0</v>
      </c>
      <c r="JY104" s="12">
        <f>JY$22*KJ104</f>
        <v>0</v>
      </c>
      <c r="JZ104" s="12">
        <f>JZ$22 * IF(AND(JY$5=1,JY$20=1), KL104, KJ104)</f>
        <v>0</v>
      </c>
      <c r="KA104" s="12">
        <f>KA$22 * IF(AND(JZ$5=1,JY$20=1), KL104, KJ104)</f>
        <v>0</v>
      </c>
      <c r="KB104" s="12">
        <f>KB$22 * IF(AND(KA$5=1,JY$20=1), KL104, KJ104)</f>
        <v>0</v>
      </c>
      <c r="KC104" s="12">
        <f>KC$22 * IF(AND(KB$5=1,JY$20=1), KL104, KJ104)</f>
        <v>0</v>
      </c>
      <c r="KD104" s="12">
        <f>KD$22 * IF(AND(KC$5=1,JY$20=1), KL104, KJ104)</f>
        <v>0</v>
      </c>
      <c r="KE104" s="12">
        <f>KE$22 * IF(AND(KD$5=1,JY$20=1), KL104, KJ104)</f>
        <v>0</v>
      </c>
      <c r="KF104" s="12">
        <f>KF$22 * IF(AND(KE$5=1,JY$20=1), KL104, KJ104)</f>
        <v>0</v>
      </c>
      <c r="KG104" s="12">
        <f>KG$22 * IF(AND(KF$5=1,JY$20=1), KL104, KJ104)</f>
        <v>0</v>
      </c>
      <c r="KI104" t="s">
        <v>1303</v>
      </c>
      <c r="KJ104">
        <f>_xlfn.XLOOKUP(KI104,'KPI Impacts'!$B$2:$H$2,'KPI Impacts'!$B104:$H104)</f>
        <v>0</v>
      </c>
      <c r="KK104" s="9" t="s">
        <v>1303</v>
      </c>
      <c r="KL104">
        <f>_xlfn.XLOOKUP(KK104,'KPI Impacts'!$B$2:$H$2,'KPI Impacts'!$B104:$H104)</f>
        <v>0</v>
      </c>
      <c r="KO104" s="12">
        <f>KO$22*KZ104</f>
        <v>0</v>
      </c>
      <c r="KP104" s="12">
        <f>KP$22 * IF(AND(KO$5=1,KO$20=1), LB104, KZ104)</f>
        <v>0</v>
      </c>
      <c r="KQ104" s="12">
        <f>KQ$22 * IF(AND(KP$5=1,KO$20=1), LB104, KZ104)</f>
        <v>0</v>
      </c>
      <c r="KR104" s="12">
        <f>KR$22 * IF(AND(KQ$5=1,KO$20=1), LB104, KZ104)</f>
        <v>0</v>
      </c>
      <c r="KS104" s="12">
        <f>KS$22 * IF(AND(KR$5=1,KO$20=1), LB104, KZ104)</f>
        <v>0</v>
      </c>
      <c r="KT104" s="12">
        <f>KT$22 * IF(AND(KS$5=1,KO$20=1), LB104, KZ104)</f>
        <v>0</v>
      </c>
      <c r="KU104" s="12">
        <f>KU$22 * IF(AND(KT$5=1,KO$20=1), LB104, KZ104)</f>
        <v>0</v>
      </c>
      <c r="KV104" s="12">
        <f>KV$22 * IF(AND(KU$5=1,KO$20=1), LB104, KZ104)</f>
        <v>0</v>
      </c>
      <c r="KW104" s="12">
        <f>KW$22 * IF(AND(KV$5=1,KO$20=1), LB104, KZ104)</f>
        <v>0</v>
      </c>
      <c r="KY104" t="s">
        <v>1303</v>
      </c>
      <c r="KZ104">
        <f>_xlfn.XLOOKUP(KY104,'KPI Impacts'!$B$2:$H$2,'KPI Impacts'!$B104:$H104)</f>
        <v>0</v>
      </c>
      <c r="LA104" s="9" t="s">
        <v>1303</v>
      </c>
      <c r="LB104">
        <f>_xlfn.XLOOKUP(LA104,'KPI Impacts'!$B$2:$H$2,'KPI Impacts'!$B104:$H104)</f>
        <v>0</v>
      </c>
      <c r="LE104" s="12">
        <f>LE$22*LP104</f>
        <v>0</v>
      </c>
      <c r="LF104" s="12">
        <f>LF$22 * IF(AND(LE$5=1,LE$20=1), LR104, LP104)</f>
        <v>0</v>
      </c>
      <c r="LG104" s="12">
        <f>LG$22 * IF(AND(LF$5=1,LE$20=1), LR104, LP104)</f>
        <v>0</v>
      </c>
      <c r="LH104" s="12">
        <f>LH$22 * IF(AND(LG$5=1,LE$20=1), LR104, LP104)</f>
        <v>0</v>
      </c>
      <c r="LI104" s="12">
        <f>LI$22 * IF(AND(LH$5=1,LE$20=1), LR104, LP104)</f>
        <v>0</v>
      </c>
      <c r="LJ104" s="12">
        <f>LJ$22 * IF(AND(LI$5=1,LE$20=1), LR104, LP104)</f>
        <v>0</v>
      </c>
      <c r="LK104" s="12">
        <f>LK$22 * IF(AND(LJ$5=1,LE$20=1), LR104, LP104)</f>
        <v>0</v>
      </c>
      <c r="LL104" s="12">
        <f>LL$22 * IF(AND(LK$5=1,LE$20=1), LR104, LP104)</f>
        <v>0</v>
      </c>
      <c r="LM104" s="12">
        <f>LM$22 * IF(AND(LL$5=1,LE$20=1), LR104, LP104)</f>
        <v>0</v>
      </c>
      <c r="LO104" t="s">
        <v>1303</v>
      </c>
      <c r="LP104">
        <f>_xlfn.XLOOKUP(LO104,'KPI Impacts'!$B$2:$H$2,'KPI Impacts'!$B104:$H104)</f>
        <v>0</v>
      </c>
      <c r="LQ104" s="9" t="s">
        <v>1303</v>
      </c>
      <c r="LR104">
        <f>_xlfn.XLOOKUP(LQ104,'KPI Impacts'!$B$2:$H$2,'KPI Impacts'!$B104:$H104)</f>
        <v>0</v>
      </c>
      <c r="LU104" s="12">
        <f>LU$22*MF104</f>
        <v>0</v>
      </c>
      <c r="LV104" s="12">
        <f>LV$22 * IF(AND(LU$5=1,LU$20=1), MH104, MF104)</f>
        <v>0</v>
      </c>
      <c r="LW104" s="12">
        <f>LW$22 * IF(AND(LV$5=1,LU$20=1), MH104, MF104)</f>
        <v>0</v>
      </c>
      <c r="LX104" s="12">
        <f>LX$22 * IF(AND(LW$5=1,LU$20=1), MH104, MF104)</f>
        <v>0</v>
      </c>
      <c r="LY104" s="12">
        <f>LY$22 * IF(AND(LX$5=1,LU$20=1), MH104, MF104)</f>
        <v>0</v>
      </c>
      <c r="LZ104" s="12">
        <f>LZ$22 * IF(AND(LY$5=1,LU$20=1), MH104, MF104)</f>
        <v>0</v>
      </c>
      <c r="MA104" s="12">
        <f>MA$22 * IF(AND(LZ$5=1,LU$20=1), MH104, MF104)</f>
        <v>0</v>
      </c>
      <c r="MB104" s="12">
        <f>MB$22 * IF(AND(MA$5=1,LU$20=1), MH104, MF104)</f>
        <v>0</v>
      </c>
      <c r="MC104" s="12">
        <f>MC$22 * IF(AND(MB$5=1,LU$20=1), MH104, MF104)</f>
        <v>0</v>
      </c>
      <c r="ME104" t="s">
        <v>1303</v>
      </c>
      <c r="MF104">
        <f>_xlfn.XLOOKUP(ME104,'KPI Impacts'!$B$2:$H$2,'KPI Impacts'!$B104:$H104)</f>
        <v>0</v>
      </c>
      <c r="MG104" s="9" t="s">
        <v>1303</v>
      </c>
      <c r="MH104">
        <f>_xlfn.XLOOKUP(MG104,'KPI Impacts'!$B$2:$H$2,'KPI Impacts'!$B104:$H104)</f>
        <v>0</v>
      </c>
      <c r="MK104" s="12">
        <f>MK$22*MV104</f>
        <v>0</v>
      </c>
      <c r="ML104" s="12">
        <f>ML$22 * IF(AND(MK$5=1,MK$20=1), MX104, MV104)</f>
        <v>0</v>
      </c>
      <c r="MM104" s="12">
        <f>MM$22 * IF(AND(ML$5=1,MK$20=1), MX104, MV104)</f>
        <v>0</v>
      </c>
      <c r="MN104" s="12">
        <f>MN$22 * IF(AND(MM$5=1,MK$20=1), MX104, MV104)</f>
        <v>0</v>
      </c>
      <c r="MO104" s="12">
        <f>MO$22 * IF(AND(MN$5=1,MK$20=1), MX104, MV104)</f>
        <v>0</v>
      </c>
      <c r="MP104" s="12">
        <f>MP$22 * IF(AND(MO$5=1,MK$20=1), MX104, MV104)</f>
        <v>0</v>
      </c>
      <c r="MQ104" s="12">
        <f>MQ$22 * IF(AND(MP$5=1,MK$20=1), MX104, MV104)</f>
        <v>0</v>
      </c>
      <c r="MR104" s="12">
        <f>MR$22 * IF(AND(MQ$5=1,MK$20=1), MX104, MV104)</f>
        <v>0</v>
      </c>
      <c r="MS104" s="12">
        <f>MS$22 * IF(AND(MR$5=1,MK$20=1), MX104, MV104)</f>
        <v>0</v>
      </c>
      <c r="MU104" t="s">
        <v>1303</v>
      </c>
      <c r="MV104">
        <f>_xlfn.XLOOKUP(MU104,'KPI Impacts'!$B$2:$H$2,'KPI Impacts'!$B104:$H104)</f>
        <v>0</v>
      </c>
      <c r="MW104" s="9" t="s">
        <v>1303</v>
      </c>
      <c r="MX104">
        <f>_xlfn.XLOOKUP(MW104,'KPI Impacts'!$B$2:$H$2,'KPI Impacts'!$B104:$H104)</f>
        <v>0</v>
      </c>
      <c r="NA104" s="12">
        <f>NA$22*NL104</f>
        <v>0</v>
      </c>
      <c r="NB104" s="12">
        <f>NB$22 * IF(AND(NA$5=1,NA$20=1), NN104, NL104)</f>
        <v>0</v>
      </c>
      <c r="NC104" s="12">
        <f>NC$22 * IF(AND(NB$5=1,NA$20=1), NN104, NL104)</f>
        <v>0</v>
      </c>
      <c r="ND104" s="12">
        <f>ND$22 * IF(AND(NC$5=1,NA$20=1), NN104, NL104)</f>
        <v>0</v>
      </c>
      <c r="NE104" s="12">
        <f>NE$22 * IF(AND(ND$5=1,NA$20=1), NN104, NL104)</f>
        <v>0</v>
      </c>
      <c r="NF104" s="12">
        <f>NF$22 * IF(AND(NE$5=1,NA$20=1), NN104, NL104)</f>
        <v>0</v>
      </c>
      <c r="NG104" s="12">
        <f>NG$22 * IF(AND(NF$5=1,NA$20=1), NN104, NL104)</f>
        <v>0</v>
      </c>
      <c r="NH104" s="12">
        <f>NH$22 * IF(AND(NG$5=1,NA$20=1), NN104, NL104)</f>
        <v>0</v>
      </c>
      <c r="NI104" s="12">
        <f>NI$22 * IF(AND(NH$5=1,NA$20=1), NN104, NL104)</f>
        <v>0</v>
      </c>
      <c r="NK104" t="s">
        <v>1303</v>
      </c>
      <c r="NL104">
        <f>_xlfn.XLOOKUP(NK104,'KPI Impacts'!$B$2:$H$2,'KPI Impacts'!$B104:$H104)</f>
        <v>0</v>
      </c>
      <c r="NM104" s="9" t="s">
        <v>1303</v>
      </c>
      <c r="NN104">
        <f>_xlfn.XLOOKUP(NM104,'KPI Impacts'!$B$2:$H$2,'KPI Impacts'!$B104:$H104)</f>
        <v>0</v>
      </c>
      <c r="NQ104" s="12">
        <f>NQ$22*OB104</f>
        <v>0</v>
      </c>
      <c r="NR104" s="12">
        <f>NR$22 * IF(AND(NQ$5=1,NQ$20=1), OD104, OB104)</f>
        <v>0</v>
      </c>
      <c r="NS104" s="12">
        <f>NS$22 * IF(AND(NR$5=1,NQ$20=1), OD104, OB104)</f>
        <v>0</v>
      </c>
      <c r="NT104" s="12">
        <f>NT$22 * IF(AND(NS$5=1,NQ$20=1), OD104, OB104)</f>
        <v>0</v>
      </c>
      <c r="NU104" s="12">
        <f>NU$22 * IF(AND(NT$5=1,NQ$20=1), OD104, OB104)</f>
        <v>0</v>
      </c>
      <c r="NV104" s="12">
        <f>NV$22 * IF(AND(NU$5=1,NQ$20=1), OD104, OB104)</f>
        <v>0</v>
      </c>
      <c r="NW104" s="12">
        <f>NW$22 * IF(AND(NV$5=1,NQ$20=1), OD104, OB104)</f>
        <v>0</v>
      </c>
      <c r="NX104" s="12">
        <f>NX$22 * IF(AND(NW$5=1,NQ$20=1), OD104, OB104)</f>
        <v>0</v>
      </c>
      <c r="NY104" s="12">
        <f>NY$22 * IF(AND(NX$5=1,NQ$20=1), OD104, OB104)</f>
        <v>0</v>
      </c>
      <c r="OA104" t="s">
        <v>1303</v>
      </c>
      <c r="OB104">
        <f>_xlfn.XLOOKUP(OA104,'KPI Impacts'!$B$2:$H$2,'KPI Impacts'!$B104:$H104)</f>
        <v>0</v>
      </c>
      <c r="OC104" s="9" t="s">
        <v>1303</v>
      </c>
      <c r="OD104">
        <f>_xlfn.XLOOKUP(OC104,'KPI Impacts'!$B$2:$H$2,'KPI Impacts'!$B104:$H104)</f>
        <v>0</v>
      </c>
      <c r="OG104" s="12">
        <f>OG$22*OR104</f>
        <v>0</v>
      </c>
      <c r="OH104" s="12">
        <f>OH$22 * IF(AND(OG$5=1,OG$20=1), OT104, OR104)</f>
        <v>0</v>
      </c>
      <c r="OI104" s="12">
        <f>OI$22 * IF(AND(OH$5=1,OG$20=1), OT104, OR104)</f>
        <v>0</v>
      </c>
      <c r="OJ104" s="12">
        <f>OJ$22 * IF(AND(OI$5=1,OG$20=1), OT104, OR104)</f>
        <v>0</v>
      </c>
      <c r="OK104" s="12">
        <f>OK$22 * IF(AND(OJ$5=1,OG$20=1), OT104, OR104)</f>
        <v>0</v>
      </c>
      <c r="OL104" s="12">
        <f>OL$22 * IF(AND(OK$5=1,OG$20=1), OT104, OR104)</f>
        <v>0</v>
      </c>
      <c r="OM104" s="12">
        <f>OM$22 * IF(AND(OL$5=1,OG$20=1), OT104, OR104)</f>
        <v>0</v>
      </c>
      <c r="ON104" s="12">
        <f>ON$22 * IF(AND(OM$5=1,OG$20=1), OT104, OR104)</f>
        <v>0</v>
      </c>
      <c r="OO104" s="12">
        <f>OO$22 * IF(AND(ON$5=1,OG$20=1), OT104, OR104)</f>
        <v>0</v>
      </c>
      <c r="OQ104" t="s">
        <v>1303</v>
      </c>
      <c r="OR104">
        <f>_xlfn.XLOOKUP(OQ104,'KPI Impacts'!$B$2:$H$2,'KPI Impacts'!$B104:$H104)</f>
        <v>0</v>
      </c>
      <c r="OS104" s="9" t="s">
        <v>1303</v>
      </c>
      <c r="OT104">
        <f>_xlfn.XLOOKUP(OS104,'KPI Impacts'!$B$2:$H$2,'KPI Impacts'!$B104:$H104)</f>
        <v>0</v>
      </c>
    </row>
    <row r="105" spans="1:508" x14ac:dyDescent="0.2">
      <c r="B105" s="6"/>
      <c r="C105" s="6"/>
      <c r="D105" s="6"/>
      <c r="E105" s="6"/>
      <c r="F105" s="6"/>
      <c r="G105" s="6"/>
      <c r="H105" s="6"/>
      <c r="I105" s="6"/>
      <c r="J105" s="6"/>
      <c r="BU105" s="9"/>
      <c r="CK105" s="9"/>
      <c r="DA105" s="9"/>
      <c r="DQ105" s="9"/>
      <c r="EG105" s="9"/>
      <c r="EW105" s="9"/>
      <c r="FM105" s="9"/>
      <c r="GC105" s="9"/>
      <c r="GS105" s="9"/>
      <c r="HI105" s="9"/>
      <c r="HY105" s="9"/>
      <c r="IO105" s="9"/>
      <c r="JE105" s="9"/>
      <c r="JU105" s="9"/>
      <c r="KK105" s="9"/>
      <c r="LA105" s="9"/>
      <c r="LQ105" s="9"/>
      <c r="MG105" s="9"/>
      <c r="MW105" s="9"/>
      <c r="NM105" s="9"/>
      <c r="OC105" s="9"/>
      <c r="OS105" s="9"/>
    </row>
    <row r="106" spans="1:508" x14ac:dyDescent="0.2">
      <c r="A106" s="3"/>
      <c r="BU106" s="9"/>
      <c r="CK106" s="9"/>
      <c r="DA106" s="9"/>
      <c r="DQ106" s="9"/>
      <c r="EG106" s="9"/>
      <c r="EW106" s="9"/>
      <c r="FM106" s="9"/>
      <c r="GC106" s="9"/>
      <c r="GS106" s="9"/>
      <c r="GV106" s="3"/>
      <c r="HI106" s="9"/>
      <c r="HL106" s="3"/>
      <c r="HY106" s="9"/>
      <c r="IB106" s="3"/>
      <c r="IO106" s="9"/>
      <c r="IR106" s="3"/>
      <c r="JE106" s="9"/>
      <c r="JH106" s="3"/>
      <c r="JU106" s="9"/>
      <c r="JX106" s="3"/>
      <c r="KK106" s="9"/>
      <c r="KN106" s="3"/>
      <c r="LA106" s="9"/>
      <c r="LD106" s="3"/>
      <c r="LQ106" s="9"/>
      <c r="LT106" s="3"/>
      <c r="MG106" s="9"/>
      <c r="MJ106" s="3"/>
      <c r="MW106" s="9"/>
      <c r="MZ106" s="3"/>
      <c r="NM106" s="9"/>
      <c r="NP106" s="3"/>
      <c r="OC106" s="9"/>
      <c r="OF106" s="3"/>
      <c r="OS106" s="9"/>
      <c r="PH106" s="3"/>
      <c r="PV106" s="3"/>
      <c r="QJ106" s="3"/>
      <c r="QX106" s="3"/>
      <c r="RL106" s="3"/>
      <c r="SN106" s="3"/>
    </row>
    <row r="107" spans="1:508" x14ac:dyDescent="0.2">
      <c r="A107" s="5" t="s">
        <v>42</v>
      </c>
      <c r="BU107" s="9"/>
      <c r="CK107" s="9"/>
      <c r="DA107" s="9"/>
      <c r="DQ107" s="9"/>
      <c r="EG107" s="9"/>
      <c r="EW107" s="9"/>
      <c r="FM107" s="9"/>
      <c r="GC107" s="9"/>
      <c r="GS107" s="9"/>
      <c r="HI107" s="9"/>
      <c r="HY107" s="9"/>
      <c r="IO107" s="9"/>
      <c r="JE107" s="9"/>
      <c r="JU107" s="9"/>
      <c r="KK107" s="9"/>
      <c r="LA107" s="9"/>
      <c r="LQ107" s="9"/>
      <c r="MG107" s="9"/>
      <c r="MW107" s="9"/>
      <c r="NM107" s="9"/>
      <c r="OC107" s="9"/>
      <c r="OS107" s="9"/>
    </row>
    <row r="108" spans="1:508" x14ac:dyDescent="0.2">
      <c r="A108" t="s">
        <v>1628</v>
      </c>
      <c r="B108" s="8">
        <v>0</v>
      </c>
      <c r="C108" s="8">
        <v>100000000</v>
      </c>
      <c r="D108" s="8">
        <v>100000000</v>
      </c>
      <c r="E108" s="8">
        <v>100000000</v>
      </c>
      <c r="F108" s="8">
        <v>100000000</v>
      </c>
      <c r="G108" s="8">
        <v>100000000</v>
      </c>
      <c r="H108" s="8">
        <v>100000000</v>
      </c>
      <c r="I108" s="8">
        <v>100000000</v>
      </c>
      <c r="J108" s="8">
        <v>100000000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BU108" s="9"/>
      <c r="CK108" s="9"/>
      <c r="DA108" s="9"/>
      <c r="DQ108" s="9"/>
      <c r="EG108" s="9"/>
      <c r="EW108" s="9"/>
      <c r="FM108" s="9"/>
      <c r="GC108" s="9"/>
      <c r="GS108" s="9"/>
      <c r="HI108" s="9"/>
      <c r="HY108" s="9"/>
      <c r="IO108" s="9"/>
      <c r="JE108" s="9"/>
      <c r="JU108" s="9"/>
      <c r="KK108" s="9"/>
      <c r="LA108" s="9"/>
      <c r="LQ108" s="9"/>
      <c r="MG108" s="9"/>
      <c r="MW108" s="9"/>
      <c r="NM108" s="9"/>
      <c r="OC108" s="9"/>
      <c r="OS108" s="9"/>
    </row>
    <row r="109" spans="1:508" x14ac:dyDescent="0.2">
      <c r="A109" t="s">
        <v>1629</v>
      </c>
      <c r="B109" s="8">
        <f>Y6+AQ6+BI11+BY11+CO11+DE11+DU11+EK11+FA11+FQ11+GG11+GW11+HM11+IC11+IS11+JI11+JY11+KO11+LE11+LU11+MK11+NA11+NQ11+OG11</f>
        <v>0</v>
      </c>
      <c r="C109" s="8">
        <f t="shared" ref="C109:J109" si="536">Z6+AR6+BJ11+BZ11+CP11+DF11+DV11+EL11+FB11+FR11+GH11+GX11+HN11+ID11+IT11+JJ11+JZ11+KP11+LF11+LV11+ML11+NB11+NR11+OH11</f>
        <v>0</v>
      </c>
      <c r="D109" s="8">
        <f t="shared" si="536"/>
        <v>0</v>
      </c>
      <c r="E109" s="8">
        <f t="shared" si="536"/>
        <v>0</v>
      </c>
      <c r="F109" s="8">
        <f t="shared" si="536"/>
        <v>0</v>
      </c>
      <c r="G109" s="8">
        <f t="shared" si="536"/>
        <v>0</v>
      </c>
      <c r="H109" s="8">
        <f t="shared" si="536"/>
        <v>0</v>
      </c>
      <c r="I109" s="8">
        <f>AF6+AX6+BP11+CF11+CV11+DL11+EB11+ER11+FH11+FX11+GN11+HD11+HT11+IJ11+IZ11+JP11+KF11+KV11+LL11+MB11+MR11+NH11+NX11+ON11</f>
        <v>0</v>
      </c>
      <c r="J109" s="8">
        <f t="shared" si="536"/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BU109" s="9"/>
      <c r="CK109" s="9"/>
      <c r="DA109" s="9"/>
      <c r="DQ109" s="9"/>
      <c r="EG109" s="9"/>
      <c r="EW109" s="9"/>
      <c r="FM109" s="9"/>
      <c r="GC109" s="9"/>
      <c r="GS109" s="9"/>
      <c r="HI109" s="9"/>
      <c r="HY109" s="9"/>
      <c r="IO109" s="9"/>
      <c r="JE109" s="9"/>
      <c r="JU109" s="9"/>
      <c r="KK109" s="9"/>
      <c r="LA109" s="9"/>
      <c r="LQ109" s="9"/>
      <c r="MG109" s="9"/>
      <c r="MW109" s="9"/>
      <c r="NM109" s="9"/>
      <c r="OC109" s="9"/>
      <c r="OS109" s="9"/>
    </row>
    <row r="110" spans="1:508" x14ac:dyDescent="0.2">
      <c r="A110" t="s">
        <v>1630</v>
      </c>
      <c r="B110" s="10">
        <f t="shared" ref="B110:J110" si="537">BI13+BY13+CO13+DE13+DU13+EK13+FA13+FQ13+GG13+GW13+HM13+IC13+IS13+JI13+JY13+KO13+LE13+LU13+MK13+NA13+NQ13+OG13</f>
        <v>0</v>
      </c>
      <c r="C110" s="10">
        <f t="shared" si="537"/>
        <v>0</v>
      </c>
      <c r="D110" s="10">
        <f t="shared" si="537"/>
        <v>0</v>
      </c>
      <c r="E110" s="10">
        <f t="shared" si="537"/>
        <v>0</v>
      </c>
      <c r="F110" s="10">
        <f t="shared" si="537"/>
        <v>0</v>
      </c>
      <c r="G110" s="10">
        <f t="shared" si="537"/>
        <v>0</v>
      </c>
      <c r="H110" s="10">
        <f t="shared" si="537"/>
        <v>0</v>
      </c>
      <c r="I110" s="10">
        <f t="shared" si="537"/>
        <v>0</v>
      </c>
      <c r="J110" s="10">
        <f t="shared" si="537"/>
        <v>0</v>
      </c>
      <c r="BU110" s="9"/>
      <c r="CK110" s="9"/>
      <c r="DA110" s="9"/>
      <c r="DQ110" s="9"/>
      <c r="EG110" s="9"/>
      <c r="EW110" s="9"/>
      <c r="FM110" s="9"/>
      <c r="GC110" s="9"/>
      <c r="GS110" s="9"/>
      <c r="HI110" s="9"/>
      <c r="HY110" s="9"/>
      <c r="IO110" s="9"/>
      <c r="JE110" s="9"/>
      <c r="JU110" s="9"/>
      <c r="KK110" s="9"/>
      <c r="LA110" s="9"/>
      <c r="LQ110" s="9"/>
      <c r="MG110" s="9"/>
      <c r="MW110" s="9"/>
      <c r="NM110" s="9"/>
      <c r="OC110" s="9"/>
      <c r="OS110" s="9"/>
    </row>
    <row r="111" spans="1:508" x14ac:dyDescent="0.2">
      <c r="A111" t="s">
        <v>1631</v>
      </c>
      <c r="B111" s="10">
        <f>B108-B110</f>
        <v>0</v>
      </c>
      <c r="C111" s="10">
        <f t="shared" ref="C111:J111" si="538">C108-C110</f>
        <v>100000000</v>
      </c>
      <c r="D111" s="10">
        <f t="shared" si="538"/>
        <v>100000000</v>
      </c>
      <c r="E111" s="10">
        <f t="shared" si="538"/>
        <v>100000000</v>
      </c>
      <c r="F111" s="10">
        <f t="shared" si="538"/>
        <v>100000000</v>
      </c>
      <c r="G111" s="10">
        <f t="shared" si="538"/>
        <v>100000000</v>
      </c>
      <c r="H111" s="10">
        <f t="shared" si="538"/>
        <v>100000000</v>
      </c>
      <c r="I111" s="10">
        <f t="shared" si="538"/>
        <v>100000000</v>
      </c>
      <c r="J111" s="10">
        <f t="shared" si="538"/>
        <v>100000000</v>
      </c>
      <c r="BU111" s="9"/>
      <c r="CK111" s="9"/>
      <c r="DA111" s="9"/>
      <c r="DQ111" s="9"/>
      <c r="EG111" s="9"/>
      <c r="EW111" s="9"/>
      <c r="FM111" s="9"/>
      <c r="GC111" s="9"/>
      <c r="GS111" s="9"/>
      <c r="HI111" s="9"/>
      <c r="HY111" s="9"/>
      <c r="IO111" s="9"/>
      <c r="JE111" s="9"/>
      <c r="JU111" s="9"/>
      <c r="KK111" s="9"/>
      <c r="LA111" s="9"/>
      <c r="LQ111" s="9"/>
      <c r="MG111" s="9"/>
      <c r="MW111" s="9"/>
      <c r="NM111" s="9"/>
      <c r="OC111" s="9"/>
      <c r="OS111" s="9"/>
    </row>
    <row r="112" spans="1:508" x14ac:dyDescent="0.2">
      <c r="A112" t="s">
        <v>1632</v>
      </c>
      <c r="B112" s="8">
        <f>B109+B110</f>
        <v>0</v>
      </c>
      <c r="C112" s="8">
        <f t="shared" ref="C112:J112" si="539">C109+C110</f>
        <v>0</v>
      </c>
      <c r="D112" s="8">
        <f t="shared" si="539"/>
        <v>0</v>
      </c>
      <c r="E112" s="8">
        <f t="shared" si="539"/>
        <v>0</v>
      </c>
      <c r="F112" s="8">
        <f t="shared" si="539"/>
        <v>0</v>
      </c>
      <c r="G112" s="8">
        <f t="shared" si="539"/>
        <v>0</v>
      </c>
      <c r="H112" s="8">
        <f t="shared" si="539"/>
        <v>0</v>
      </c>
      <c r="I112" s="8">
        <f t="shared" si="539"/>
        <v>0</v>
      </c>
      <c r="J112" s="8">
        <f t="shared" si="539"/>
        <v>0</v>
      </c>
      <c r="X112" s="5"/>
      <c r="AP112" s="5"/>
      <c r="BU112" s="9"/>
      <c r="CK112" s="9"/>
      <c r="DA112" s="9"/>
      <c r="DQ112" s="9"/>
      <c r="EG112" s="9"/>
      <c r="EW112" s="9"/>
      <c r="FM112" s="9"/>
      <c r="GC112" s="9"/>
      <c r="GS112" s="9"/>
      <c r="HI112" s="9"/>
      <c r="HY112" s="9"/>
      <c r="IO112" s="9"/>
      <c r="JE112" s="9"/>
      <c r="JU112" s="9"/>
      <c r="KK112" s="9"/>
      <c r="LA112" s="9"/>
      <c r="LQ112" s="9"/>
      <c r="MG112" s="9"/>
      <c r="MW112" s="9"/>
      <c r="NM112" s="9"/>
      <c r="OC112" s="9"/>
      <c r="OS112" s="9"/>
    </row>
    <row r="113" spans="1:409" x14ac:dyDescent="0.2">
      <c r="A113" t="s">
        <v>1633</v>
      </c>
      <c r="B113" s="8">
        <f>B108-B112</f>
        <v>0</v>
      </c>
      <c r="C113" s="8">
        <f t="shared" ref="C113:J113" si="540">C108-C112</f>
        <v>100000000</v>
      </c>
      <c r="D113" s="8">
        <f t="shared" si="540"/>
        <v>100000000</v>
      </c>
      <c r="E113" s="8">
        <f t="shared" si="540"/>
        <v>100000000</v>
      </c>
      <c r="F113" s="8">
        <f t="shared" si="540"/>
        <v>100000000</v>
      </c>
      <c r="G113" s="8">
        <f t="shared" si="540"/>
        <v>100000000</v>
      </c>
      <c r="H113" s="8">
        <f t="shared" si="540"/>
        <v>100000000</v>
      </c>
      <c r="I113" s="8">
        <f t="shared" si="540"/>
        <v>100000000</v>
      </c>
      <c r="J113" s="8">
        <f t="shared" si="540"/>
        <v>100000000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BH113" s="5"/>
      <c r="BU113" s="9"/>
      <c r="BX113" s="5"/>
      <c r="CK113" s="9"/>
      <c r="CN113" s="5"/>
      <c r="DA113" s="9"/>
      <c r="DD113" s="5"/>
      <c r="DQ113" s="9"/>
      <c r="DT113" s="5"/>
      <c r="EG113" s="9"/>
      <c r="EJ113" s="5"/>
      <c r="EW113" s="9"/>
      <c r="EZ113" s="5"/>
      <c r="FM113" s="9"/>
      <c r="FP113" s="5"/>
      <c r="GC113" s="9"/>
      <c r="GF113" s="5"/>
      <c r="GS113" s="9"/>
      <c r="HI113" s="9"/>
      <c r="HY113" s="9"/>
      <c r="IO113" s="9"/>
      <c r="JE113" s="9"/>
      <c r="JU113" s="9"/>
      <c r="KK113" s="9"/>
      <c r="LA113" s="9"/>
      <c r="LQ113" s="9"/>
      <c r="MG113" s="9"/>
      <c r="MW113" s="9"/>
      <c r="NM113" s="9"/>
      <c r="OC113" s="9"/>
      <c r="OS113" s="9"/>
    </row>
    <row r="114" spans="1:409" x14ac:dyDescent="0.2">
      <c r="A114" t="s">
        <v>1634</v>
      </c>
      <c r="B114" s="8">
        <f>C110</f>
        <v>0</v>
      </c>
      <c r="C114" s="8">
        <f t="shared" ref="C114:I114" si="541">D110</f>
        <v>0</v>
      </c>
      <c r="D114" s="8">
        <f t="shared" si="541"/>
        <v>0</v>
      </c>
      <c r="E114" s="8">
        <f t="shared" si="541"/>
        <v>0</v>
      </c>
      <c r="F114" s="8">
        <f t="shared" si="541"/>
        <v>0</v>
      </c>
      <c r="G114" s="8">
        <f t="shared" si="541"/>
        <v>0</v>
      </c>
      <c r="H114" s="8">
        <f t="shared" si="541"/>
        <v>0</v>
      </c>
      <c r="I114" s="8">
        <f t="shared" si="541"/>
        <v>0</v>
      </c>
      <c r="J114" s="8">
        <f>K110</f>
        <v>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BU114" s="9"/>
      <c r="CK114" s="9"/>
      <c r="DA114" s="9"/>
      <c r="DQ114" s="9"/>
      <c r="EG114" s="9"/>
      <c r="EW114" s="9"/>
      <c r="FM114" s="9"/>
      <c r="GC114" s="9"/>
      <c r="GS114" s="9"/>
      <c r="HI114" s="9"/>
      <c r="HY114" s="9"/>
      <c r="IO114" s="9"/>
      <c r="JE114" s="9"/>
      <c r="JU114" s="9"/>
      <c r="KK114" s="9"/>
      <c r="LA114" s="9"/>
      <c r="LQ114" s="9"/>
      <c r="MG114" s="9"/>
      <c r="MW114" s="9"/>
      <c r="NM114" s="9"/>
      <c r="OC114" s="9"/>
      <c r="OS114" s="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4D7-556F-48C4-A92A-419E7832707F}">
  <dimension ref="A1:DI1421"/>
  <sheetViews>
    <sheetView workbookViewId="0">
      <pane xSplit="1" ySplit="20" topLeftCell="AS21" activePane="bottomRight" state="frozen"/>
      <selection pane="topRight" activeCell="B1" sqref="B1"/>
      <selection pane="bottomLeft" activeCell="A21" sqref="A21"/>
      <selection pane="bottomRight" activeCell="AY16" sqref="AY16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7.6640625" customWidth="1"/>
    <col min="30" max="42" width="11.5" customWidth="1"/>
    <col min="43" max="43" width="17.33203125" customWidth="1"/>
    <col min="44" max="56" width="11.83203125" customWidth="1"/>
    <col min="57" max="57" width="17" customWidth="1"/>
    <col min="58" max="70" width="11.83203125" customWidth="1"/>
    <col min="71" max="71" width="17" customWidth="1"/>
    <col min="72" max="84" width="11.83203125" customWidth="1"/>
    <col min="85" max="85" width="17" customWidth="1"/>
    <col min="86" max="99" width="11.83203125" customWidth="1"/>
    <col min="100" max="100" width="17" customWidth="1"/>
    <col min="101" max="113" width="11.83203125" customWidth="1"/>
  </cols>
  <sheetData>
    <row r="1" spans="1:113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1734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1734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1734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1734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1734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1734</v>
      </c>
      <c r="CV1" s="9"/>
      <c r="CW1" s="9"/>
      <c r="CX1" s="9"/>
      <c r="CY1" s="9"/>
      <c r="CZ1" s="9"/>
      <c r="DA1" s="9"/>
      <c r="DB1" s="9"/>
      <c r="DC1" s="9"/>
      <c r="DD1" s="9"/>
      <c r="DE1" s="9"/>
      <c r="DG1" s="15"/>
    </row>
    <row r="2" spans="1:11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"/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C2" s="9"/>
      <c r="AD2" s="9"/>
      <c r="AE2" s="9"/>
      <c r="AF2" s="9"/>
      <c r="AG2" s="9"/>
      <c r="AH2" s="9"/>
      <c r="AI2" s="9"/>
      <c r="AN2" s="17" t="s">
        <v>1320</v>
      </c>
      <c r="AO2" s="17" t="s">
        <v>1319</v>
      </c>
      <c r="AQ2" s="9"/>
      <c r="AR2" s="9"/>
      <c r="AS2" s="9"/>
      <c r="AT2" s="9"/>
      <c r="AU2" s="9"/>
      <c r="AV2" s="9"/>
      <c r="AW2" s="9"/>
      <c r="BB2" s="17" t="s">
        <v>1320</v>
      </c>
      <c r="BC2" s="17" t="s">
        <v>1319</v>
      </c>
      <c r="BE2" s="9"/>
      <c r="BF2" s="9"/>
      <c r="BG2" s="9"/>
      <c r="BH2" s="9"/>
      <c r="BI2" s="9"/>
      <c r="BJ2" s="9"/>
      <c r="BK2" s="9"/>
      <c r="BP2" s="17" t="s">
        <v>1320</v>
      </c>
      <c r="BQ2" s="17" t="s">
        <v>1319</v>
      </c>
      <c r="BS2" s="9"/>
      <c r="BT2" s="9"/>
      <c r="BU2" s="9"/>
      <c r="BV2" s="9"/>
      <c r="BW2" s="9"/>
      <c r="BX2" s="9"/>
      <c r="BY2" s="9"/>
      <c r="CD2" s="17" t="s">
        <v>1320</v>
      </c>
      <c r="CE2" s="17" t="s">
        <v>1319</v>
      </c>
      <c r="CG2" s="9"/>
      <c r="CH2" s="9"/>
      <c r="CI2" s="9"/>
      <c r="CJ2" s="9"/>
      <c r="CK2" s="9"/>
      <c r="CL2" s="9"/>
      <c r="CM2" s="9"/>
      <c r="CR2" s="17" t="s">
        <v>1320</v>
      </c>
      <c r="CS2" s="17" t="s">
        <v>1319</v>
      </c>
      <c r="CV2" s="9"/>
      <c r="CW2" s="9"/>
      <c r="CX2" s="9"/>
      <c r="CY2" s="9"/>
      <c r="CZ2" s="9"/>
      <c r="DA2" s="9"/>
      <c r="DB2" s="9"/>
    </row>
    <row r="3" spans="1:113" x14ac:dyDescent="0.2">
      <c r="A3" s="11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1705</v>
      </c>
      <c r="P3" s="9"/>
      <c r="Q3" s="9"/>
      <c r="R3" s="9"/>
      <c r="S3" s="9"/>
      <c r="T3" s="9"/>
      <c r="U3" s="9"/>
      <c r="Z3" s="6"/>
      <c r="AA3" s="6"/>
      <c r="AC3" s="20" t="s">
        <v>1688</v>
      </c>
      <c r="AD3" s="9"/>
      <c r="AE3" s="9"/>
      <c r="AF3" s="9"/>
      <c r="AG3" s="9"/>
      <c r="AH3" s="9"/>
      <c r="AI3" s="9"/>
      <c r="AQ3" s="11" t="s">
        <v>1689</v>
      </c>
      <c r="AR3" s="9"/>
      <c r="AS3" s="9"/>
      <c r="AT3" s="9"/>
      <c r="AU3" s="9"/>
      <c r="AV3" s="9"/>
      <c r="AW3" s="9"/>
      <c r="BE3" s="11" t="s">
        <v>1690</v>
      </c>
      <c r="BF3" s="9"/>
      <c r="BG3" s="9"/>
      <c r="BH3" s="9"/>
      <c r="BI3" s="9"/>
      <c r="BJ3" s="9"/>
      <c r="BK3" s="9"/>
      <c r="BS3" s="11" t="s">
        <v>1691</v>
      </c>
      <c r="BT3" s="9"/>
      <c r="BU3" s="9"/>
      <c r="BV3" s="9"/>
      <c r="BW3" s="9"/>
      <c r="BX3" s="9"/>
      <c r="BY3" s="9"/>
      <c r="CG3" s="11" t="s">
        <v>1704</v>
      </c>
      <c r="CH3" s="9"/>
      <c r="CI3" s="9"/>
      <c r="CJ3" s="9"/>
      <c r="CK3" s="9"/>
      <c r="CL3" s="9"/>
      <c r="CM3" s="9"/>
      <c r="CV3" s="11"/>
      <c r="CW3" s="9"/>
      <c r="CX3" s="9"/>
      <c r="CY3" s="9"/>
      <c r="CZ3" s="9"/>
      <c r="DA3" s="9"/>
      <c r="DB3" s="9"/>
    </row>
    <row r="4" spans="1:113" x14ac:dyDescent="0.2">
      <c r="A4" s="9" t="s">
        <v>13</v>
      </c>
      <c r="M4" s="9"/>
      <c r="N4" s="9"/>
      <c r="O4" s="9" t="s">
        <v>14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C4" s="9" t="s">
        <v>15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Q4" s="9" t="s">
        <v>16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E4" s="9" t="s">
        <v>17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R4" s="11"/>
      <c r="BS4" s="9" t="s">
        <v>1692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F4" s="11"/>
      <c r="CG4" s="9" t="s">
        <v>1698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T4" s="11"/>
      <c r="CU4" s="11"/>
      <c r="CV4" s="9"/>
      <c r="DI4" s="11"/>
    </row>
    <row r="5" spans="1:113" x14ac:dyDescent="0.2">
      <c r="A5" s="9" t="s">
        <v>18</v>
      </c>
      <c r="B5" s="12"/>
      <c r="M5" s="9"/>
      <c r="N5" s="9"/>
      <c r="O5" s="9" t="s">
        <v>19</v>
      </c>
      <c r="P5" s="12">
        <f>IF(P8=0, P4*P7, 0)</f>
        <v>0</v>
      </c>
      <c r="Q5">
        <f>IF(P5=1,1,IF(Q8=0, Q4*Q7, 0))</f>
        <v>0</v>
      </c>
      <c r="R5">
        <f t="shared" ref="R5" si="0">IF(Q5=1,1,IF(R8=0, R4*R7, 0))</f>
        <v>0</v>
      </c>
      <c r="S5">
        <f t="shared" ref="S5" si="1">IF(R5=1,1,IF(S8=0, S4*S7, 0))</f>
        <v>0</v>
      </c>
      <c r="T5">
        <f t="shared" ref="T5" si="2">IF(S5=1,1,IF(T8=0, T4*T7, 0))</f>
        <v>0</v>
      </c>
      <c r="U5">
        <f t="shared" ref="U5" si="3">IF(T5=1,1,IF(U8=0, U4*U7, 0))</f>
        <v>0</v>
      </c>
      <c r="V5">
        <f t="shared" ref="V5" si="4">IF(U5=1,1,IF(V8=0, V4*V7, 0))</f>
        <v>0</v>
      </c>
      <c r="W5">
        <f t="shared" ref="W5" si="5">IF(V5=1,1,IF(W8=0, W4*W7, 0))</f>
        <v>0</v>
      </c>
      <c r="X5">
        <f t="shared" ref="X5" si="6">IF(W5=1,1,IF(X8=0, X4*X7, 0))</f>
        <v>0</v>
      </c>
      <c r="AC5" s="9" t="s">
        <v>20</v>
      </c>
      <c r="AD5" s="12">
        <f>IF(AD8=0, AD4*AD7, 0)</f>
        <v>0</v>
      </c>
      <c r="AE5">
        <f>IF(AD5=1,1,IF(AE8=0, AE4*AE7, 0))</f>
        <v>0</v>
      </c>
      <c r="AF5">
        <f t="shared" ref="AF5:AL5" si="7">IF(AE5=1,1,IF(AF8=0, AF4*AF7, 0))</f>
        <v>0</v>
      </c>
      <c r="AG5">
        <f t="shared" si="7"/>
        <v>0</v>
      </c>
      <c r="AH5">
        <f t="shared" si="7"/>
        <v>0</v>
      </c>
      <c r="AI5">
        <f t="shared" si="7"/>
        <v>0</v>
      </c>
      <c r="AJ5">
        <f t="shared" si="7"/>
        <v>0</v>
      </c>
      <c r="AK5">
        <f t="shared" si="7"/>
        <v>0</v>
      </c>
      <c r="AL5">
        <f t="shared" si="7"/>
        <v>0</v>
      </c>
      <c r="AQ5" s="9" t="s">
        <v>21</v>
      </c>
      <c r="AR5" s="12">
        <f>IF(AR8=0, AR4*AR7, 0)</f>
        <v>0</v>
      </c>
      <c r="AS5">
        <f>IF(AR5=1,1,IF(AS8=0, AS4*AS7, 0))</f>
        <v>0</v>
      </c>
      <c r="AT5">
        <f t="shared" ref="AT5" si="8">IF(AS5=1,1,IF(AT8=0, AT4*AT7, 0))</f>
        <v>0</v>
      </c>
      <c r="AU5">
        <f t="shared" ref="AU5" si="9">IF(AT5=1,1,IF(AU8=0, AU4*AU7, 0))</f>
        <v>0</v>
      </c>
      <c r="AV5">
        <f t="shared" ref="AV5" si="10">IF(AU5=1,1,IF(AV8=0, AV4*AV7, 0))</f>
        <v>0</v>
      </c>
      <c r="AW5">
        <f t="shared" ref="AW5" si="11">IF(AV5=1,1,IF(AW8=0, AW4*AW7, 0))</f>
        <v>0</v>
      </c>
      <c r="AX5">
        <f t="shared" ref="AX5" si="12">IF(AW5=1,1,IF(AX8=0, AX4*AX7, 0))</f>
        <v>0</v>
      </c>
      <c r="AY5">
        <f t="shared" ref="AY5" si="13">IF(AX5=1,1,IF(AY8=0, AY4*AY7, 0))</f>
        <v>0</v>
      </c>
      <c r="AZ5">
        <f t="shared" ref="AZ5" si="14">IF(AY5=1,1,IF(AZ8=0, AZ4*AZ7, 0))</f>
        <v>0</v>
      </c>
      <c r="BE5" s="9" t="s">
        <v>22</v>
      </c>
      <c r="BF5" s="12">
        <f>IF(BF8=0, BF4*BF7, 0)</f>
        <v>0</v>
      </c>
      <c r="BG5">
        <f>IF(BF5=1,1,IF(BG8=0, BG4*BG7, 0))</f>
        <v>0</v>
      </c>
      <c r="BH5">
        <f t="shared" ref="BH5" si="15">IF(BG5=1,1,IF(BH8=0, BH4*BH7, 0))</f>
        <v>0</v>
      </c>
      <c r="BI5">
        <f t="shared" ref="BI5" si="16">IF(BH5=1,1,IF(BI8=0, BI4*BI7, 0))</f>
        <v>0</v>
      </c>
      <c r="BJ5">
        <f t="shared" ref="BJ5" si="17">IF(BI5=1,1,IF(BJ8=0, BJ4*BJ7, 0))</f>
        <v>0</v>
      </c>
      <c r="BK5">
        <f t="shared" ref="BK5" si="18">IF(BJ5=1,1,IF(BK8=0, BK4*BK7, 0))</f>
        <v>0</v>
      </c>
      <c r="BL5">
        <f t="shared" ref="BL5" si="19">IF(BK5=1,1,IF(BL8=0, BL4*BL7, 0))</f>
        <v>0</v>
      </c>
      <c r="BM5">
        <f t="shared" ref="BM5" si="20">IF(BL5=1,1,IF(BM8=0, BM4*BM7, 0))</f>
        <v>0</v>
      </c>
      <c r="BN5">
        <f t="shared" ref="BN5" si="21">IF(BM5=1,1,IF(BN8=0, BN4*BN7, 0))</f>
        <v>0</v>
      </c>
      <c r="BS5" s="9" t="s">
        <v>1693</v>
      </c>
      <c r="BT5" s="12">
        <f>IF(BT8=0, BT4*BT7, 0)</f>
        <v>0</v>
      </c>
      <c r="BU5">
        <f>IF(BT5=1,1,IF(BU8=0, BU4*BU7, 0))</f>
        <v>0</v>
      </c>
      <c r="BV5">
        <f t="shared" ref="BV5" si="22">IF(BU5=1,1,IF(BV8=0, BV4*BV7, 0))</f>
        <v>0</v>
      </c>
      <c r="BW5">
        <f t="shared" ref="BW5" si="23">IF(BV5=1,1,IF(BW8=0, BW4*BW7, 0))</f>
        <v>0</v>
      </c>
      <c r="BX5">
        <f t="shared" ref="BX5" si="24">IF(BW5=1,1,IF(BX8=0, BX4*BX7, 0))</f>
        <v>0</v>
      </c>
      <c r="BY5">
        <f t="shared" ref="BY5" si="25">IF(BX5=1,1,IF(BY8=0, BY4*BY7, 0))</f>
        <v>0</v>
      </c>
      <c r="BZ5">
        <f t="shared" ref="BZ5" si="26">IF(BY5=1,1,IF(BZ8=0, BZ4*BZ7, 0))</f>
        <v>0</v>
      </c>
      <c r="CA5">
        <f t="shared" ref="CA5" si="27">IF(BZ5=1,1,IF(CA8=0, CA4*CA7, 0))</f>
        <v>0</v>
      </c>
      <c r="CB5">
        <f t="shared" ref="CB5" si="28">IF(CA5=1,1,IF(CB8=0, CB4*CB7, 0))</f>
        <v>0</v>
      </c>
      <c r="CG5" s="9" t="s">
        <v>1699</v>
      </c>
      <c r="CH5" s="12">
        <f>IF(CH8=0, CH4*CH7, 0)</f>
        <v>0</v>
      </c>
      <c r="CI5">
        <f>IF(CH5=1,1,IF(CI8=0, CI4*CI7, 0))</f>
        <v>0</v>
      </c>
      <c r="CJ5">
        <f t="shared" ref="CJ5" si="29">IF(CI5=1,1,IF(CJ8=0, CJ4*CJ7, 0))</f>
        <v>0</v>
      </c>
      <c r="CK5">
        <f t="shared" ref="CK5" si="30">IF(CJ5=1,1,IF(CK8=0, CK4*CK7, 0))</f>
        <v>0</v>
      </c>
      <c r="CL5">
        <f t="shared" ref="CL5" si="31">IF(CK5=1,1,IF(CL8=0, CL4*CL7, 0))</f>
        <v>0</v>
      </c>
      <c r="CM5">
        <f t="shared" ref="CM5" si="32">IF(CL5=1,1,IF(CM8=0, CM4*CM7, 0))</f>
        <v>0</v>
      </c>
      <c r="CN5">
        <f t="shared" ref="CN5" si="33">IF(CM5=1,1,IF(CN8=0, CN4*CN7, 0))</f>
        <v>0</v>
      </c>
      <c r="CO5">
        <f t="shared" ref="CO5" si="34">IF(CN5=1,1,IF(CO8=0, CO4*CO7, 0))</f>
        <v>0</v>
      </c>
      <c r="CP5">
        <f t="shared" ref="CP5" si="35">IF(CO5=1,1,IF(CP8=0, CP4*CP7, 0))</f>
        <v>0</v>
      </c>
      <c r="CV5" s="9"/>
      <c r="CW5" s="12"/>
    </row>
    <row r="6" spans="1:113" x14ac:dyDescent="0.2">
      <c r="A6" s="9" t="s">
        <v>23</v>
      </c>
      <c r="B6" s="13"/>
      <c r="J6" s="13"/>
      <c r="K6" s="13"/>
      <c r="L6" s="13"/>
      <c r="M6" s="9"/>
      <c r="N6" s="9"/>
      <c r="O6" s="9" t="s">
        <v>24</v>
      </c>
      <c r="P6" s="13">
        <v>0</v>
      </c>
      <c r="Q6" s="13">
        <f>(Q5-P5)</f>
        <v>0</v>
      </c>
      <c r="R6" s="13">
        <f t="shared" ref="R6" si="36">(R5-Q5)</f>
        <v>0</v>
      </c>
      <c r="S6" s="13">
        <f t="shared" ref="S6" si="37">(S5-R5)</f>
        <v>0</v>
      </c>
      <c r="T6" s="13">
        <f t="shared" ref="T6" si="38">(T5-S5)</f>
        <v>0</v>
      </c>
      <c r="U6" s="13">
        <f t="shared" ref="U6" si="39">(U5-T5)</f>
        <v>0</v>
      </c>
      <c r="V6" s="13">
        <f t="shared" ref="V6" si="40">(V5-U5)</f>
        <v>0</v>
      </c>
      <c r="W6" s="13">
        <f t="shared" ref="W6" si="41">(W5-V5)</f>
        <v>0</v>
      </c>
      <c r="X6" s="13">
        <f t="shared" ref="X6" si="42">(X5-W5)</f>
        <v>0</v>
      </c>
      <c r="AC6" s="9" t="s">
        <v>25</v>
      </c>
      <c r="AD6" s="13">
        <v>0</v>
      </c>
      <c r="AE6" s="13">
        <f>(AE5-AD5)</f>
        <v>0</v>
      </c>
      <c r="AF6" s="13">
        <f t="shared" ref="AF6:AI6" si="43">(AF5-AE5)</f>
        <v>0</v>
      </c>
      <c r="AG6" s="13">
        <f t="shared" si="43"/>
        <v>0</v>
      </c>
      <c r="AH6" s="13">
        <f t="shared" si="43"/>
        <v>0</v>
      </c>
      <c r="AI6" s="13">
        <f t="shared" si="43"/>
        <v>0</v>
      </c>
      <c r="AJ6" s="13">
        <f t="shared" ref="AJ6" si="44">(AJ5-AI5)</f>
        <v>0</v>
      </c>
      <c r="AK6" s="13">
        <f t="shared" ref="AK6" si="45">(AK5-AJ5)</f>
        <v>0</v>
      </c>
      <c r="AL6" s="13">
        <f t="shared" ref="AL6" si="46">(AL5-AK5)</f>
        <v>0</v>
      </c>
      <c r="AQ6" s="9" t="s">
        <v>26</v>
      </c>
      <c r="AR6" s="13">
        <v>0</v>
      </c>
      <c r="AS6" s="13">
        <f>(AS5-AR5)</f>
        <v>0</v>
      </c>
      <c r="AT6" s="13">
        <f t="shared" ref="AT6" si="47">(AT5-AS5)</f>
        <v>0</v>
      </c>
      <c r="AU6" s="13">
        <f t="shared" ref="AU6" si="48">(AU5-AT5)</f>
        <v>0</v>
      </c>
      <c r="AV6" s="13">
        <f t="shared" ref="AV6" si="49">(AV5-AU5)</f>
        <v>0</v>
      </c>
      <c r="AW6" s="13">
        <f t="shared" ref="AW6" si="50">(AW5-AV5)</f>
        <v>0</v>
      </c>
      <c r="AX6" s="13">
        <f t="shared" ref="AX6" si="51">(AX5-AW5)</f>
        <v>0</v>
      </c>
      <c r="AY6" s="13">
        <f t="shared" ref="AY6" si="52">(AY5-AX5)</f>
        <v>0</v>
      </c>
      <c r="AZ6" s="13">
        <f t="shared" ref="AZ6" si="53">(AZ5-AY5)</f>
        <v>0</v>
      </c>
      <c r="BE6" s="9" t="s">
        <v>27</v>
      </c>
      <c r="BF6" s="13">
        <v>0</v>
      </c>
      <c r="BG6" s="13">
        <f>(BG5-BF5)</f>
        <v>0</v>
      </c>
      <c r="BH6" s="13">
        <f t="shared" ref="BH6" si="54">(BH5-BG5)</f>
        <v>0</v>
      </c>
      <c r="BI6" s="13">
        <f t="shared" ref="BI6" si="55">(BI5-BH5)</f>
        <v>0</v>
      </c>
      <c r="BJ6" s="13">
        <f t="shared" ref="BJ6" si="56">(BJ5-BI5)</f>
        <v>0</v>
      </c>
      <c r="BK6" s="13">
        <f t="shared" ref="BK6" si="57">(BK5-BJ5)</f>
        <v>0</v>
      </c>
      <c r="BL6" s="13">
        <f t="shared" ref="BL6" si="58">(BL5-BK5)</f>
        <v>0</v>
      </c>
      <c r="BM6" s="13">
        <f t="shared" ref="BM6" si="59">(BM5-BL5)</f>
        <v>0</v>
      </c>
      <c r="BN6" s="13">
        <f t="shared" ref="BN6" si="60">(BN5-BM5)</f>
        <v>0</v>
      </c>
      <c r="BS6" s="9" t="s">
        <v>1694</v>
      </c>
      <c r="BT6" s="13">
        <v>0</v>
      </c>
      <c r="BU6" s="13">
        <f>(BU5-BT5)</f>
        <v>0</v>
      </c>
      <c r="BV6" s="13">
        <f t="shared" ref="BV6" si="61">(BV5-BU5)</f>
        <v>0</v>
      </c>
      <c r="BW6" s="13">
        <f t="shared" ref="BW6" si="62">(BW5-BV5)</f>
        <v>0</v>
      </c>
      <c r="BX6" s="13">
        <f t="shared" ref="BX6" si="63">(BX5-BW5)</f>
        <v>0</v>
      </c>
      <c r="BY6" s="13">
        <f t="shared" ref="BY6" si="64">(BY5-BX5)</f>
        <v>0</v>
      </c>
      <c r="BZ6" s="13">
        <f t="shared" ref="BZ6" si="65">(BZ5-BY5)</f>
        <v>0</v>
      </c>
      <c r="CA6" s="13">
        <f t="shared" ref="CA6" si="66">(CA5-BZ5)</f>
        <v>0</v>
      </c>
      <c r="CB6" s="13">
        <f t="shared" ref="CB6" si="67">(CB5-CA5)</f>
        <v>0</v>
      </c>
      <c r="CG6" s="9" t="s">
        <v>1700</v>
      </c>
      <c r="CH6" s="13">
        <v>0</v>
      </c>
      <c r="CI6" s="13">
        <f>(CI5-CH5)</f>
        <v>0</v>
      </c>
      <c r="CJ6" s="13">
        <f t="shared" ref="CJ6" si="68">(CJ5-CI5)</f>
        <v>0</v>
      </c>
      <c r="CK6" s="13">
        <f t="shared" ref="CK6" si="69">(CK5-CJ5)</f>
        <v>0</v>
      </c>
      <c r="CL6" s="13">
        <f t="shared" ref="CL6" si="70">(CL5-CK5)</f>
        <v>0</v>
      </c>
      <c r="CM6" s="13">
        <f t="shared" ref="CM6" si="71">(CM5-CL5)</f>
        <v>0</v>
      </c>
      <c r="CN6" s="13">
        <f t="shared" ref="CN6" si="72">(CN5-CM5)</f>
        <v>0</v>
      </c>
      <c r="CO6" s="13">
        <f t="shared" ref="CO6" si="73">(CO5-CN5)</f>
        <v>0</v>
      </c>
      <c r="CP6" s="13">
        <f t="shared" ref="CP6" si="74">(CP5-CO5)</f>
        <v>0</v>
      </c>
      <c r="CV6" s="9"/>
      <c r="CW6" s="13"/>
      <c r="CX6" s="13"/>
      <c r="CY6" s="13"/>
      <c r="CZ6" s="13"/>
      <c r="DA6" s="13"/>
      <c r="DB6" s="13"/>
      <c r="DC6" s="13"/>
      <c r="DD6" s="13"/>
      <c r="DE6" s="13"/>
    </row>
    <row r="7" spans="1:113" x14ac:dyDescent="0.2">
      <c r="A7" s="9" t="s">
        <v>28</v>
      </c>
      <c r="B7" s="13"/>
      <c r="J7" s="13"/>
      <c r="K7" s="13"/>
      <c r="L7" s="13"/>
      <c r="M7" s="9"/>
      <c r="N7" s="9"/>
      <c r="O7" s="9" t="s">
        <v>29</v>
      </c>
      <c r="P7" s="13">
        <v>0</v>
      </c>
      <c r="Q7" s="13">
        <f>P7</f>
        <v>0</v>
      </c>
      <c r="R7" s="13">
        <f t="shared" ref="R7" si="75">Q7</f>
        <v>0</v>
      </c>
      <c r="S7" s="13">
        <f t="shared" ref="S7" si="76">R7</f>
        <v>0</v>
      </c>
      <c r="T7" s="13">
        <f t="shared" ref="T7" si="77">S7</f>
        <v>0</v>
      </c>
      <c r="U7" s="13">
        <f t="shared" ref="U7" si="78">T7</f>
        <v>0</v>
      </c>
      <c r="V7" s="13">
        <f t="shared" ref="V7" si="79">U7</f>
        <v>0</v>
      </c>
      <c r="W7" s="13">
        <f t="shared" ref="W7" si="80">V7</f>
        <v>0</v>
      </c>
      <c r="X7" s="13">
        <f t="shared" ref="X7" si="81">W7</f>
        <v>0</v>
      </c>
      <c r="AC7" s="9" t="s">
        <v>30</v>
      </c>
      <c r="AD7" s="13">
        <v>0</v>
      </c>
      <c r="AE7" s="13">
        <f>AD7</f>
        <v>0</v>
      </c>
      <c r="AF7" s="13">
        <f t="shared" ref="AF7:AI7" si="82">AE7</f>
        <v>0</v>
      </c>
      <c r="AG7" s="13">
        <f t="shared" si="82"/>
        <v>0</v>
      </c>
      <c r="AH7" s="13">
        <f t="shared" si="82"/>
        <v>0</v>
      </c>
      <c r="AI7" s="13">
        <f t="shared" si="82"/>
        <v>0</v>
      </c>
      <c r="AJ7" s="13">
        <f t="shared" ref="AJ7" si="83">AI7</f>
        <v>0</v>
      </c>
      <c r="AK7" s="13">
        <f t="shared" ref="AK7" si="84">AJ7</f>
        <v>0</v>
      </c>
      <c r="AL7" s="13">
        <f t="shared" ref="AL7" si="85">AK7</f>
        <v>0</v>
      </c>
      <c r="AQ7" s="9" t="s">
        <v>31</v>
      </c>
      <c r="AR7" s="13">
        <v>0</v>
      </c>
      <c r="AS7" s="13">
        <f>AR7</f>
        <v>0</v>
      </c>
      <c r="AT7" s="13">
        <f t="shared" ref="AT7" si="86">AS7</f>
        <v>0</v>
      </c>
      <c r="AU7" s="13">
        <f t="shared" ref="AU7" si="87">AT7</f>
        <v>0</v>
      </c>
      <c r="AV7" s="13">
        <f t="shared" ref="AV7" si="88">AU7</f>
        <v>0</v>
      </c>
      <c r="AW7" s="13">
        <f t="shared" ref="AW7" si="89">AV7</f>
        <v>0</v>
      </c>
      <c r="AX7" s="13">
        <f t="shared" ref="AX7" si="90">AW7</f>
        <v>0</v>
      </c>
      <c r="AY7" s="13">
        <f t="shared" ref="AY7" si="91">AX7</f>
        <v>0</v>
      </c>
      <c r="AZ7" s="13">
        <f t="shared" ref="AZ7" si="92">AY7</f>
        <v>0</v>
      </c>
      <c r="BE7" s="9" t="s">
        <v>32</v>
      </c>
      <c r="BF7" s="13">
        <v>0</v>
      </c>
      <c r="BG7" s="13">
        <f>BF7</f>
        <v>0</v>
      </c>
      <c r="BH7" s="13">
        <f t="shared" ref="BH7" si="93">BG7</f>
        <v>0</v>
      </c>
      <c r="BI7" s="13">
        <f t="shared" ref="BI7" si="94">BH7</f>
        <v>0</v>
      </c>
      <c r="BJ7" s="13">
        <f t="shared" ref="BJ7" si="95">BI7</f>
        <v>0</v>
      </c>
      <c r="BK7" s="13">
        <f t="shared" ref="BK7" si="96">BJ7</f>
        <v>0</v>
      </c>
      <c r="BL7" s="13">
        <f t="shared" ref="BL7" si="97">BK7</f>
        <v>0</v>
      </c>
      <c r="BM7" s="13">
        <f t="shared" ref="BM7" si="98">BL7</f>
        <v>0</v>
      </c>
      <c r="BN7" s="13">
        <f t="shared" ref="BN7" si="99">BM7</f>
        <v>0</v>
      </c>
      <c r="BS7" s="9" t="s">
        <v>1695</v>
      </c>
      <c r="BT7" s="13">
        <v>0</v>
      </c>
      <c r="BU7" s="13">
        <f>BT7</f>
        <v>0</v>
      </c>
      <c r="BV7" s="13">
        <f t="shared" ref="BV7" si="100">BU7</f>
        <v>0</v>
      </c>
      <c r="BW7" s="13">
        <f t="shared" ref="BW7" si="101">BV7</f>
        <v>0</v>
      </c>
      <c r="BX7" s="13">
        <f t="shared" ref="BX7" si="102">BW7</f>
        <v>0</v>
      </c>
      <c r="BY7" s="13">
        <f t="shared" ref="BY7" si="103">BX7</f>
        <v>0</v>
      </c>
      <c r="BZ7" s="13">
        <f t="shared" ref="BZ7" si="104">BY7</f>
        <v>0</v>
      </c>
      <c r="CA7" s="13">
        <f t="shared" ref="CA7" si="105">BZ7</f>
        <v>0</v>
      </c>
      <c r="CB7" s="13">
        <f t="shared" ref="CB7" si="106">CA7</f>
        <v>0</v>
      </c>
      <c r="CG7" s="9" t="s">
        <v>1701</v>
      </c>
      <c r="CH7" s="13">
        <v>0</v>
      </c>
      <c r="CI7" s="13">
        <f>CH7</f>
        <v>0</v>
      </c>
      <c r="CJ7" s="13">
        <f t="shared" ref="CJ7:CJ8" si="107">CI7</f>
        <v>0</v>
      </c>
      <c r="CK7" s="13">
        <f t="shared" ref="CK7:CK8" si="108">CJ7</f>
        <v>0</v>
      </c>
      <c r="CL7" s="13">
        <f t="shared" ref="CL7:CL8" si="109">CK7</f>
        <v>0</v>
      </c>
      <c r="CM7" s="13">
        <f t="shared" ref="CM7:CM8" si="110">CL7</f>
        <v>0</v>
      </c>
      <c r="CN7" s="13">
        <f t="shared" ref="CN7:CN8" si="111">CM7</f>
        <v>0</v>
      </c>
      <c r="CO7" s="13">
        <f t="shared" ref="CO7:CO8" si="112">CN7</f>
        <v>0</v>
      </c>
      <c r="CP7" s="13">
        <f t="shared" ref="CP7:CP8" si="113">CO7</f>
        <v>0</v>
      </c>
      <c r="CV7" s="9"/>
      <c r="CW7" s="13"/>
      <c r="CX7" s="13"/>
      <c r="CY7" s="13"/>
      <c r="CZ7" s="13"/>
      <c r="DA7" s="13"/>
      <c r="DB7" s="13"/>
      <c r="DC7" s="13"/>
      <c r="DD7" s="13"/>
      <c r="DE7" s="13"/>
    </row>
    <row r="8" spans="1:113" x14ac:dyDescent="0.2">
      <c r="A8" s="9" t="s">
        <v>33</v>
      </c>
      <c r="B8" s="13"/>
      <c r="J8" s="13"/>
      <c r="K8" s="13"/>
      <c r="L8" s="13"/>
      <c r="M8" s="9"/>
      <c r="N8" s="9"/>
      <c r="O8" s="9" t="s">
        <v>34</v>
      </c>
      <c r="P8" s="13">
        <f>IF(('Economy Ministry'!Y6+'Economy Ministry'!AQ6)*EcEnabled+('Environment Ministry'!Y6+'Environment Ministry'!AQ6)*EnvEnabled+('Defence Ministry'!Y6+'Defence Ministry'!AQ6)*DefEnabled+('Education Ministry'!Y6+'Education Ministry'!AQ6)*EduEnabled&gt;=(EcEnabled + EnvEnabled + DefEnabled + EduEnabled)*20000000,1,0)</f>
        <v>0</v>
      </c>
      <c r="Q8" s="13">
        <f>IF(('Economy Ministry'!Z6+'Economy Ministry'!AR6)*EcEnabled+('Environment Ministry'!Z6+'Environment Ministry'!AR6)*EnvEnabled+('Defence Ministry'!Z6+'Defence Ministry'!AR6)*DefEnabled+('Education Ministry'!Z6+'Education Ministry'!AR6)*EduEnabled&gt;=(EcEnabled + EnvEnabled + DefEnabled + EduEnabled)*20000000,1,0)</f>
        <v>0</v>
      </c>
      <c r="R8" s="13">
        <f>IF(('Economy Ministry'!AA6+'Economy Ministry'!AS6)*EcEnabled+('Environment Ministry'!AA6+'Environment Ministry'!AS6)*EnvEnabled+('Defence Ministry'!AA6+'Defence Ministry'!AS6)*DefEnabled+('Education Ministry'!AA6+'Education Ministry'!AS6)*EduEnabled&gt;=(EcEnabled + EnvEnabled + DefEnabled + EduEnabled)*20000000,1,0)</f>
        <v>0</v>
      </c>
      <c r="S8" s="13">
        <f>IF(('Economy Ministry'!AB6+'Economy Ministry'!AT6)*EcEnabled+('Environment Ministry'!AB6+'Environment Ministry'!AT6)*EnvEnabled+('Defence Ministry'!AB6+'Defence Ministry'!AT6)*DefEnabled+('Education Ministry'!AB6+'Education Ministry'!AT6)*EduEnabled&gt;=(EcEnabled + EnvEnabled + DefEnabled + EduEnabled)*20000000,1,0)</f>
        <v>0</v>
      </c>
      <c r="T8" s="13">
        <f>IF(('Economy Ministry'!AC6+'Economy Ministry'!AU6)*EcEnabled+('Environment Ministry'!AC6+'Environment Ministry'!AU6)*EnvEnabled+('Defence Ministry'!AC6+'Defence Ministry'!AU6)*DefEnabled+('Education Ministry'!AC6+'Education Ministry'!AU6)*EduEnabled&gt;=(EcEnabled + EnvEnabled + DefEnabled + EduEnabled)*20000000,1,0)</f>
        <v>0</v>
      </c>
      <c r="U8" s="13">
        <f>IF(('Economy Ministry'!AD6+'Economy Ministry'!AV6)*EcEnabled+('Environment Ministry'!AD6+'Environment Ministry'!AV6)*EnvEnabled+('Defence Ministry'!AD6+'Defence Ministry'!AV6)*DefEnabled+('Education Ministry'!AD6+'Education Ministry'!AV6)*EduEnabled&gt;=(EcEnabled + EnvEnabled + DefEnabled + EduEnabled)*20000000,1,0)</f>
        <v>0</v>
      </c>
      <c r="V8" s="13">
        <f>IF(('Economy Ministry'!AE6+'Economy Ministry'!AW6)*EcEnabled+('Environment Ministry'!AE6+'Environment Ministry'!AW6)*EnvEnabled+('Defence Ministry'!AE6+'Defence Ministry'!AW6)*DefEnabled+('Education Ministry'!AE6+'Education Ministry'!AW6)*EduEnabled&gt;=(EcEnabled + EnvEnabled + DefEnabled + EduEnabled)*20000000,1,0)</f>
        <v>0</v>
      </c>
      <c r="W8" s="13">
        <f>IF(('Economy Ministry'!AF6+'Economy Ministry'!AX6)*EcEnabled+('Environment Ministry'!AF6+'Environment Ministry'!AX6)*EnvEnabled+('Defence Ministry'!AF6+'Defence Ministry'!AX6)*DefEnabled+('Education Ministry'!AF6+'Education Ministry'!AX6)*EduEnabled&gt;=(EcEnabled + EnvEnabled + DefEnabled + EduEnabled)*20000000,1,0)</f>
        <v>0</v>
      </c>
      <c r="X8" s="13">
        <f>IF(('Economy Ministry'!AG6+'Economy Ministry'!AY6)*EcEnabled+('Environment Ministry'!AG6+'Environment Ministry'!AY6)*EnvEnabled+('Defence Ministry'!AG6+'Defence Ministry'!AY6)*DefEnabled+('Education Ministry'!AG6+'Education Ministry'!AY6)*EduEnabled&gt;=(EcEnabled + EnvEnabled + DefEnabled + EduEnabled)*20000000,1,0)</f>
        <v>0</v>
      </c>
      <c r="AC8" s="9" t="s">
        <v>35</v>
      </c>
      <c r="AD8" s="13">
        <f>IF('Environment Ministry'!DE4+'Environment Ministry'!CO4=2,1,0)</f>
        <v>0</v>
      </c>
      <c r="AE8" s="13">
        <f>IF('Environment Ministry'!DF4+'Environment Ministry'!CP4=2,1,0)</f>
        <v>0</v>
      </c>
      <c r="AF8" s="13">
        <f>IF('Environment Ministry'!DG4+'Environment Ministry'!CQ4=2,1,0)</f>
        <v>0</v>
      </c>
      <c r="AG8" s="13">
        <f>IF('Environment Ministry'!DH4+'Environment Ministry'!CR4=2,1,0)</f>
        <v>0</v>
      </c>
      <c r="AH8" s="13">
        <f>IF('Environment Ministry'!DI4+'Environment Ministry'!CS4=2,1,0)</f>
        <v>0</v>
      </c>
      <c r="AI8" s="13">
        <f>IF('Environment Ministry'!DJ4+'Environment Ministry'!CT4=2,1,0)</f>
        <v>0</v>
      </c>
      <c r="AJ8" s="13">
        <f>IF('Environment Ministry'!DK4+'Environment Ministry'!CU4=2,1,0)</f>
        <v>0</v>
      </c>
      <c r="AK8" s="13">
        <f>IF('Environment Ministry'!DL4+'Environment Ministry'!CV4=2,1,0)</f>
        <v>0</v>
      </c>
      <c r="AL8" s="13">
        <f>IF('Environment Ministry'!DM4+'Environment Ministry'!CW4=2,1,0)</f>
        <v>0</v>
      </c>
      <c r="AQ8" s="9" t="s">
        <v>36</v>
      </c>
      <c r="AR8" s="13">
        <f>IF(Results!B76&lt;Results!B75*2,1,0)</f>
        <v>0</v>
      </c>
      <c r="AS8" s="13">
        <f>IF(Results!C76&lt;Results!C75*2,1,0)</f>
        <v>0</v>
      </c>
      <c r="AT8" s="13">
        <f>IF(Results!D76&lt;Results!D75*2,1,0)</f>
        <v>0</v>
      </c>
      <c r="AU8" s="13">
        <f>IF(Results!E76&lt;Results!E75*2,1,0)</f>
        <v>0</v>
      </c>
      <c r="AV8" s="13">
        <f>IF(Results!F76&lt;Results!F75*2,1,0)</f>
        <v>0</v>
      </c>
      <c r="AW8" s="13">
        <f>IF(Results!G76&lt;Results!G75*2,1,0)</f>
        <v>0</v>
      </c>
      <c r="AX8" s="13">
        <f>IF(Results!H76&lt;Results!H75*2,1,0)</f>
        <v>0</v>
      </c>
      <c r="AY8" s="13">
        <f>IF(Results!I76&lt;Results!I75*2,1,0)</f>
        <v>0</v>
      </c>
      <c r="AZ8" s="13">
        <f>IF(Results!J76&lt;Results!J75*2,1,0)</f>
        <v>0</v>
      </c>
      <c r="BE8" s="9" t="s">
        <v>37</v>
      </c>
      <c r="BF8" s="13">
        <f>IF('Defence Ministry'!BI4=1,1,0)</f>
        <v>0</v>
      </c>
      <c r="BG8" s="13">
        <f>IF('Defence Ministry'!BJ4=1,1,0)</f>
        <v>0</v>
      </c>
      <c r="BH8" s="13">
        <f>IF('Defence Ministry'!BK4=1,1,0)</f>
        <v>0</v>
      </c>
      <c r="BI8" s="13">
        <f>IF('Defence Ministry'!BL4=1,1,0)</f>
        <v>0</v>
      </c>
      <c r="BJ8" s="13">
        <f>IF('Defence Ministry'!BM4=1,1,0)</f>
        <v>0</v>
      </c>
      <c r="BK8" s="13">
        <f>IF('Defence Ministry'!BN4=1,1,0)</f>
        <v>0</v>
      </c>
      <c r="BL8" s="13">
        <f>IF('Defence Ministry'!BO4=1,1,0)</f>
        <v>0</v>
      </c>
      <c r="BM8" s="13">
        <f>IF('Defence Ministry'!BP4=1,1,0)</f>
        <v>0</v>
      </c>
      <c r="BN8" s="13">
        <f>IF('Defence Ministry'!BQ4=1,1,0)</f>
        <v>0</v>
      </c>
      <c r="BS8" s="9" t="s">
        <v>1696</v>
      </c>
      <c r="BT8" s="13">
        <f>IF('Education Ministry'!DU4=1,1,0)</f>
        <v>0</v>
      </c>
      <c r="BU8" s="13">
        <f>IF('Education Ministry'!DV4=1,1,0)</f>
        <v>0</v>
      </c>
      <c r="BV8" s="13">
        <f>IF('Education Ministry'!DW4=1,1,0)</f>
        <v>0</v>
      </c>
      <c r="BW8" s="13">
        <f>IF('Education Ministry'!DX4=1,1,0)</f>
        <v>0</v>
      </c>
      <c r="BX8" s="13">
        <f>IF('Education Ministry'!DY4=1,1,0)</f>
        <v>0</v>
      </c>
      <c r="BY8" s="13">
        <f>IF('Education Ministry'!DZ4=1,1,0)</f>
        <v>0</v>
      </c>
      <c r="BZ8" s="13">
        <f>IF('Education Ministry'!EA4=1,1,0)</f>
        <v>0</v>
      </c>
      <c r="CA8" s="13">
        <f>IF('Education Ministry'!EB4=1,1,0)</f>
        <v>0</v>
      </c>
      <c r="CB8" s="13">
        <f>IF('Education Ministry'!EC4=1,1,0)</f>
        <v>0</v>
      </c>
      <c r="CG8" s="9" t="s">
        <v>1702</v>
      </c>
      <c r="CH8" s="13">
        <v>0</v>
      </c>
      <c r="CI8" s="13">
        <f>CH8</f>
        <v>0</v>
      </c>
      <c r="CJ8" s="13">
        <f t="shared" si="107"/>
        <v>0</v>
      </c>
      <c r="CK8" s="13">
        <f t="shared" si="108"/>
        <v>0</v>
      </c>
      <c r="CL8" s="13">
        <f t="shared" si="109"/>
        <v>0</v>
      </c>
      <c r="CM8" s="13">
        <f t="shared" si="110"/>
        <v>0</v>
      </c>
      <c r="CN8" s="13">
        <f t="shared" si="111"/>
        <v>0</v>
      </c>
      <c r="CO8" s="13">
        <f t="shared" si="112"/>
        <v>0</v>
      </c>
      <c r="CP8" s="13">
        <f t="shared" si="113"/>
        <v>0</v>
      </c>
      <c r="CV8" s="9"/>
      <c r="CW8" s="13"/>
      <c r="CX8" s="13"/>
      <c r="CY8" s="13"/>
      <c r="CZ8" s="13"/>
      <c r="DA8" s="13"/>
      <c r="DB8" s="13"/>
      <c r="DC8" s="13"/>
      <c r="DD8" s="13"/>
      <c r="DE8" s="13"/>
    </row>
    <row r="9" spans="1:113" x14ac:dyDescent="0.2">
      <c r="A9" s="9"/>
      <c r="M9" s="9"/>
      <c r="O9" s="9" t="s">
        <v>38</v>
      </c>
      <c r="P9" s="12">
        <f>P6</f>
        <v>0</v>
      </c>
      <c r="Q9" s="12">
        <f t="shared" ref="Q9:R9" si="114">Q6</f>
        <v>0</v>
      </c>
      <c r="R9" s="12">
        <f t="shared" si="114"/>
        <v>0</v>
      </c>
      <c r="S9" s="12">
        <f>S6</f>
        <v>0</v>
      </c>
      <c r="T9" s="12">
        <f t="shared" ref="T9:X9" si="115">T6</f>
        <v>0</v>
      </c>
      <c r="U9" s="12">
        <f t="shared" si="115"/>
        <v>0</v>
      </c>
      <c r="V9" s="12">
        <f t="shared" si="115"/>
        <v>0</v>
      </c>
      <c r="W9" s="12">
        <f t="shared" si="115"/>
        <v>0</v>
      </c>
      <c r="X9" s="12">
        <f t="shared" si="115"/>
        <v>0</v>
      </c>
      <c r="AC9" s="9" t="s">
        <v>39</v>
      </c>
      <c r="AD9" s="12">
        <f>AD6</f>
        <v>0</v>
      </c>
      <c r="AE9" s="12">
        <f t="shared" ref="AE9:AL9" si="116">AE6</f>
        <v>0</v>
      </c>
      <c r="AF9" s="12">
        <f t="shared" si="116"/>
        <v>0</v>
      </c>
      <c r="AG9" s="12">
        <f>AG6</f>
        <v>0</v>
      </c>
      <c r="AH9" s="12">
        <f t="shared" si="116"/>
        <v>0</v>
      </c>
      <c r="AI9" s="12">
        <f t="shared" si="116"/>
        <v>0</v>
      </c>
      <c r="AJ9" s="12">
        <f t="shared" si="116"/>
        <v>0</v>
      </c>
      <c r="AK9" s="12">
        <f t="shared" si="116"/>
        <v>0</v>
      </c>
      <c r="AL9" s="12">
        <f t="shared" si="116"/>
        <v>0</v>
      </c>
      <c r="AQ9" s="9" t="s">
        <v>40</v>
      </c>
      <c r="AR9" s="12">
        <f>AR6</f>
        <v>0</v>
      </c>
      <c r="AS9" s="12">
        <f t="shared" ref="AS9:AT9" si="117">AS6</f>
        <v>0</v>
      </c>
      <c r="AT9" s="12">
        <f t="shared" si="117"/>
        <v>0</v>
      </c>
      <c r="AU9" s="12">
        <f>AU6</f>
        <v>0</v>
      </c>
      <c r="AV9" s="12">
        <f t="shared" ref="AV9:AZ9" si="118">AV6</f>
        <v>0</v>
      </c>
      <c r="AW9" s="12">
        <f t="shared" si="118"/>
        <v>0</v>
      </c>
      <c r="AX9" s="12">
        <f t="shared" si="118"/>
        <v>0</v>
      </c>
      <c r="AY9" s="12">
        <f t="shared" si="118"/>
        <v>0</v>
      </c>
      <c r="AZ9" s="12">
        <f t="shared" si="118"/>
        <v>0</v>
      </c>
      <c r="BE9" s="9" t="s">
        <v>41</v>
      </c>
      <c r="BF9" s="12">
        <f>BF6</f>
        <v>0</v>
      </c>
      <c r="BG9" s="12">
        <f t="shared" ref="BG9:BH9" si="119">BG6</f>
        <v>0</v>
      </c>
      <c r="BH9" s="12">
        <f t="shared" si="119"/>
        <v>0</v>
      </c>
      <c r="BI9" s="12">
        <f>BI6</f>
        <v>0</v>
      </c>
      <c r="BJ9" s="12">
        <f t="shared" ref="BJ9:BN9" si="120">BJ6</f>
        <v>0</v>
      </c>
      <c r="BK9" s="12">
        <f t="shared" si="120"/>
        <v>0</v>
      </c>
      <c r="BL9" s="12">
        <f t="shared" si="120"/>
        <v>0</v>
      </c>
      <c r="BM9" s="12">
        <f t="shared" si="120"/>
        <v>0</v>
      </c>
      <c r="BN9" s="12">
        <f t="shared" si="120"/>
        <v>0</v>
      </c>
      <c r="BS9" s="9" t="s">
        <v>1697</v>
      </c>
      <c r="BT9" s="12">
        <f>BT6</f>
        <v>0</v>
      </c>
      <c r="BU9" s="12">
        <f t="shared" ref="BU9:BV9" si="121">BU6</f>
        <v>0</v>
      </c>
      <c r="BV9" s="12">
        <f t="shared" si="121"/>
        <v>0</v>
      </c>
      <c r="BW9" s="12">
        <f>BW6</f>
        <v>0</v>
      </c>
      <c r="BX9" s="12">
        <f t="shared" ref="BX9:CB9" si="122">BX6</f>
        <v>0</v>
      </c>
      <c r="BY9" s="12">
        <f t="shared" si="122"/>
        <v>0</v>
      </c>
      <c r="BZ9" s="12">
        <f t="shared" si="122"/>
        <v>0</v>
      </c>
      <c r="CA9" s="12">
        <f t="shared" si="122"/>
        <v>0</v>
      </c>
      <c r="CB9" s="12">
        <f t="shared" si="122"/>
        <v>0</v>
      </c>
      <c r="CG9" s="9" t="s">
        <v>1703</v>
      </c>
      <c r="CH9" s="12">
        <f>CH6</f>
        <v>0</v>
      </c>
      <c r="CI9" s="12">
        <f t="shared" ref="CI9:CJ9" si="123">CI6</f>
        <v>0</v>
      </c>
      <c r="CJ9" s="12">
        <f t="shared" si="123"/>
        <v>0</v>
      </c>
      <c r="CK9" s="12">
        <f>CK6</f>
        <v>0</v>
      </c>
      <c r="CL9" s="12">
        <f t="shared" ref="CL9:CP9" si="124">CL6</f>
        <v>0</v>
      </c>
      <c r="CM9" s="12">
        <f t="shared" si="124"/>
        <v>0</v>
      </c>
      <c r="CN9" s="12">
        <f t="shared" si="124"/>
        <v>0</v>
      </c>
      <c r="CO9" s="12">
        <f t="shared" si="124"/>
        <v>0</v>
      </c>
      <c r="CP9" s="12">
        <f t="shared" si="124"/>
        <v>0</v>
      </c>
      <c r="CV9" s="9"/>
      <c r="CW9" s="12"/>
      <c r="CX9" s="12"/>
      <c r="CY9" s="12"/>
      <c r="CZ9" s="12"/>
      <c r="DA9" s="12"/>
      <c r="DB9" s="12"/>
      <c r="DC9" s="12"/>
      <c r="DD9" s="12"/>
      <c r="DE9" s="12"/>
    </row>
    <row r="10" spans="1:113" x14ac:dyDescent="0.2">
      <c r="M10" s="9"/>
      <c r="AQ10" s="9"/>
      <c r="BE10" s="9"/>
      <c r="BS10" s="9"/>
      <c r="CG10" s="9"/>
      <c r="CV10" s="9"/>
    </row>
    <row r="15" spans="1:113" x14ac:dyDescent="0.2">
      <c r="P15" s="13"/>
    </row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09" hidden="1" x14ac:dyDescent="0.2"/>
    <row r="50" spans="1:109" hidden="1" x14ac:dyDescent="0.2"/>
    <row r="51" spans="1:109" hidden="1" x14ac:dyDescent="0.2"/>
    <row r="52" spans="1:109" hidden="1" x14ac:dyDescent="0.2"/>
    <row r="53" spans="1:109" hidden="1" x14ac:dyDescent="0.2"/>
    <row r="54" spans="1:109" hidden="1" x14ac:dyDescent="0.2"/>
    <row r="55" spans="1:109" hidden="1" x14ac:dyDescent="0.2"/>
    <row r="56" spans="1:109" hidden="1" x14ac:dyDescent="0.2"/>
    <row r="57" spans="1:109" hidden="1" x14ac:dyDescent="0.2"/>
    <row r="58" spans="1:109" hidden="1" x14ac:dyDescent="0.2"/>
    <row r="59" spans="1:109" hidden="1" x14ac:dyDescent="0.2"/>
    <row r="60" spans="1:109" hidden="1" x14ac:dyDescent="0.2"/>
    <row r="61" spans="1:109" hidden="1" x14ac:dyDescent="0.2"/>
    <row r="63" spans="1:109" x14ac:dyDescent="0.2">
      <c r="A63" s="5" t="s">
        <v>45</v>
      </c>
    </row>
    <row r="64" spans="1:109" x14ac:dyDescent="0.2">
      <c r="A64" t="s">
        <v>1291</v>
      </c>
      <c r="B64" s="12">
        <f t="shared" ref="B64:B69" si="125">P64+AD64+AR64+BF64+BT64+CH64</f>
        <v>0</v>
      </c>
      <c r="C64" s="12">
        <f t="shared" ref="C64:J64" si="126">Q64+AE64+AS64+BG64+BU64+CI64</f>
        <v>0</v>
      </c>
      <c r="D64" s="12">
        <f t="shared" si="126"/>
        <v>0</v>
      </c>
      <c r="E64" s="12">
        <f t="shared" si="126"/>
        <v>0</v>
      </c>
      <c r="F64" s="12">
        <f t="shared" si="126"/>
        <v>0</v>
      </c>
      <c r="G64" s="12">
        <f t="shared" si="126"/>
        <v>0</v>
      </c>
      <c r="H64" s="12">
        <f t="shared" si="126"/>
        <v>0</v>
      </c>
      <c r="I64" s="12">
        <f t="shared" si="126"/>
        <v>0</v>
      </c>
      <c r="J64" s="12">
        <f t="shared" si="126"/>
        <v>0</v>
      </c>
      <c r="P64" s="12">
        <f>P$5*AA64</f>
        <v>0</v>
      </c>
      <c r="Q64" s="12">
        <f>Q$5*AA64</f>
        <v>0</v>
      </c>
      <c r="R64" s="12">
        <f>R$5*AA64</f>
        <v>0</v>
      </c>
      <c r="S64" s="12">
        <f>S$5*AA64</f>
        <v>0</v>
      </c>
      <c r="T64" s="12">
        <f>T$5*AA64</f>
        <v>0</v>
      </c>
      <c r="U64" s="12">
        <f>U$5*AA64</f>
        <v>0</v>
      </c>
      <c r="V64" s="12">
        <f>V$5*AA64</f>
        <v>0</v>
      </c>
      <c r="W64" s="12">
        <f>W$5*AA64</f>
        <v>0</v>
      </c>
      <c r="X64" s="12">
        <f>X$5*AA64</f>
        <v>0</v>
      </c>
      <c r="Z64" s="16" t="s">
        <v>1303</v>
      </c>
      <c r="AA64">
        <f>_xlfn.XLOOKUP(Z64,'KPI Impacts'!$B$2:$H$2,'KPI Impacts'!$B64:$H64)</f>
        <v>0</v>
      </c>
      <c r="AD64" s="12">
        <f>AD$5*AO64</f>
        <v>0</v>
      </c>
      <c r="AE64" s="12">
        <f>AE$5*AO64</f>
        <v>0</v>
      </c>
      <c r="AF64" s="12">
        <f>AF$5*AO64</f>
        <v>0</v>
      </c>
      <c r="AG64" s="12">
        <f>AG$5*AO64</f>
        <v>0</v>
      </c>
      <c r="AH64" s="12">
        <f>AH$5*AO64</f>
        <v>0</v>
      </c>
      <c r="AI64" s="12">
        <f>AI$5*AO64</f>
        <v>0</v>
      </c>
      <c r="AJ64" s="12">
        <f>AJ$5*AO64</f>
        <v>0</v>
      </c>
      <c r="AK64" s="12">
        <f>AK$5*AO64</f>
        <v>0</v>
      </c>
      <c r="AL64" s="12">
        <f>AL$5*AO64</f>
        <v>0</v>
      </c>
      <c r="AN64" s="29" t="s">
        <v>1306</v>
      </c>
      <c r="AO64">
        <f>_xlfn.XLOOKUP(AN64,'KPI Impacts'!$B$2:$H$2,'KPI Impacts'!$B64:$H64)</f>
        <v>-1.6</v>
      </c>
      <c r="AR64" s="12">
        <f>AR$5*BC64</f>
        <v>0</v>
      </c>
      <c r="AS64" s="12">
        <f>AS$5*BC64</f>
        <v>0</v>
      </c>
      <c r="AT64" s="12">
        <f>AT$5*BC64</f>
        <v>0</v>
      </c>
      <c r="AU64" s="12">
        <f>AU$5*BC64</f>
        <v>0</v>
      </c>
      <c r="AV64" s="12">
        <f>AV$5*BC64</f>
        <v>0</v>
      </c>
      <c r="AW64" s="12">
        <f>AW$5*BC64</f>
        <v>0</v>
      </c>
      <c r="AX64" s="12">
        <f>AX$5*BC64</f>
        <v>0</v>
      </c>
      <c r="AY64" s="12">
        <f>AY$5*BC64</f>
        <v>0</v>
      </c>
      <c r="AZ64" s="12">
        <f>AZ$5*BC64</f>
        <v>0</v>
      </c>
      <c r="BB64" s="16" t="s">
        <v>1303</v>
      </c>
      <c r="BC64">
        <f>_xlfn.XLOOKUP(BB64,'KPI Impacts'!$B$2:$H$2,'KPI Impacts'!$B64:$H64)</f>
        <v>0</v>
      </c>
      <c r="BF64" s="12">
        <f>BF$5*BQ64</f>
        <v>0</v>
      </c>
      <c r="BG64" s="12">
        <f>BG$5*BQ64</f>
        <v>0</v>
      </c>
      <c r="BH64" s="12">
        <f>BH$5*BQ64</f>
        <v>0</v>
      </c>
      <c r="BI64" s="12">
        <f>BI$5*BQ64</f>
        <v>0</v>
      </c>
      <c r="BJ64" s="12">
        <f>BJ$5*BQ64</f>
        <v>0</v>
      </c>
      <c r="BK64" s="12">
        <f>BK$5*BQ64</f>
        <v>0</v>
      </c>
      <c r="BL64" s="12">
        <f>BL$5*BQ64</f>
        <v>0</v>
      </c>
      <c r="BM64" s="12">
        <f>BM$5*BQ64</f>
        <v>0</v>
      </c>
      <c r="BN64" s="12">
        <f>BN$5*BQ64</f>
        <v>0</v>
      </c>
      <c r="BP64" s="16" t="s">
        <v>1303</v>
      </c>
      <c r="BQ64">
        <f>_xlfn.XLOOKUP(BP64,'KPI Impacts'!$B$2:$H$2,'KPI Impacts'!$B64:$H64)</f>
        <v>0</v>
      </c>
      <c r="BT64" s="12">
        <f>BT$5*CE64</f>
        <v>0</v>
      </c>
      <c r="BU64" s="12">
        <f>BU$5*CE64</f>
        <v>0</v>
      </c>
      <c r="BV64" s="12">
        <f>BV$5*CE64</f>
        <v>0</v>
      </c>
      <c r="BW64" s="12">
        <f>BW$5*CE64</f>
        <v>0</v>
      </c>
      <c r="BX64" s="12">
        <f>BX$5*CE64</f>
        <v>0</v>
      </c>
      <c r="BY64" s="12">
        <f>BY$5*CE64</f>
        <v>0</v>
      </c>
      <c r="BZ64" s="12">
        <f>BZ$5*CE64</f>
        <v>0</v>
      </c>
      <c r="CA64" s="12">
        <f>CA$5*CE64</f>
        <v>0</v>
      </c>
      <c r="CB64" s="12">
        <f>CB$5*CE64</f>
        <v>0</v>
      </c>
      <c r="CD64" s="16" t="s">
        <v>1303</v>
      </c>
      <c r="CE64">
        <f>_xlfn.XLOOKUP(CD64,'KPI Impacts'!$B$2:$H$2,'KPI Impacts'!$B64:$H64)</f>
        <v>0</v>
      </c>
      <c r="CH64" s="12">
        <f>CH$5*CS64</f>
        <v>0</v>
      </c>
      <c r="CI64" s="12">
        <f>CI$5*CS64</f>
        <v>0</v>
      </c>
      <c r="CJ64" s="12">
        <f>CJ$5*CS64</f>
        <v>0</v>
      </c>
      <c r="CK64" s="12">
        <f>CK$5*CS64</f>
        <v>0</v>
      </c>
      <c r="CL64" s="12">
        <f>CL$5*CS64</f>
        <v>0</v>
      </c>
      <c r="CM64" s="12">
        <f>CM$5*CS64</f>
        <v>0</v>
      </c>
      <c r="CN64" s="12">
        <f>CN$5*CS64</f>
        <v>0</v>
      </c>
      <c r="CO64" s="12">
        <f>CO$5*CS64</f>
        <v>0</v>
      </c>
      <c r="CP64" s="12">
        <f>CP$5*CS64</f>
        <v>0</v>
      </c>
      <c r="CR64" s="16" t="s">
        <v>1303</v>
      </c>
      <c r="CS64">
        <f>_xlfn.XLOOKUP(CR64,'KPI Impacts'!$B$2:$H$2,'KPI Impacts'!$B64:$H64)</f>
        <v>0</v>
      </c>
      <c r="CW64" s="12"/>
      <c r="CX64" s="12"/>
      <c r="CY64" s="12"/>
      <c r="CZ64" s="12"/>
      <c r="DA64" s="12"/>
      <c r="DB64" s="12"/>
      <c r="DC64" s="12"/>
      <c r="DD64" s="12"/>
      <c r="DE64" s="12"/>
    </row>
    <row r="65" spans="1:109" x14ac:dyDescent="0.2">
      <c r="A65" t="s">
        <v>47</v>
      </c>
      <c r="B65" s="12">
        <f t="shared" si="125"/>
        <v>0</v>
      </c>
      <c r="C65" s="12">
        <f t="shared" ref="C65:C69" si="127">Q65+AE65+AS65+BG65+BU65+CI65</f>
        <v>0</v>
      </c>
      <c r="D65" s="12">
        <f t="shared" ref="D65:D69" si="128">R65+AF65+AT65+BH65+BV65+CJ65</f>
        <v>0</v>
      </c>
      <c r="E65" s="12">
        <f t="shared" ref="E65:E69" si="129">S65+AG65+AU65+BI65+BW65+CK65</f>
        <v>0</v>
      </c>
      <c r="F65" s="12">
        <f t="shared" ref="F65:F69" si="130">T65+AH65+AV65+BJ65+BX65+CL65</f>
        <v>0</v>
      </c>
      <c r="G65" s="12">
        <f t="shared" ref="G65:G69" si="131">U65+AI65+AW65+BK65+BY65+CM65</f>
        <v>0</v>
      </c>
      <c r="H65" s="12">
        <f t="shared" ref="H65:H69" si="132">V65+AJ65+AX65+BL65+BZ65+CN65</f>
        <v>0</v>
      </c>
      <c r="I65" s="12">
        <f t="shared" ref="I65:I69" si="133">W65+AK65+AY65+BM65+CA65+CO65</f>
        <v>0</v>
      </c>
      <c r="J65" s="12">
        <f t="shared" ref="J65:J69" si="134">X65+AL65+AZ65+BN65+CB65+CP65</f>
        <v>0</v>
      </c>
      <c r="P65" s="12">
        <f t="shared" ref="P65:P69" si="135">P$5*AA65</f>
        <v>0</v>
      </c>
      <c r="Q65" s="12">
        <f t="shared" ref="Q65:Q69" si="136">Q$5*AA65</f>
        <v>0</v>
      </c>
      <c r="R65" s="12">
        <f t="shared" ref="R65:R69" si="137">R$5*AA65</f>
        <v>0</v>
      </c>
      <c r="S65" s="12">
        <f t="shared" ref="S65:S69" si="138">S$5*AA65</f>
        <v>0</v>
      </c>
      <c r="T65" s="12">
        <f t="shared" ref="T65:T69" si="139">T$5*AA65</f>
        <v>0</v>
      </c>
      <c r="U65" s="12">
        <f t="shared" ref="U65:U69" si="140">U$5*AA65</f>
        <v>0</v>
      </c>
      <c r="V65" s="12">
        <f t="shared" ref="V65:V69" si="141">V$5*AA65</f>
        <v>0</v>
      </c>
      <c r="W65" s="12">
        <f t="shared" ref="W65:W69" si="142">W$5*AA65</f>
        <v>0</v>
      </c>
      <c r="X65" s="12">
        <f t="shared" ref="X65:X69" si="143">X$5*AA65</f>
        <v>0</v>
      </c>
      <c r="Z65" s="16" t="s">
        <v>1303</v>
      </c>
      <c r="AA65">
        <f>_xlfn.XLOOKUP(Z65,'KPI Impacts'!$B$2:$H$2,'KPI Impacts'!$B65:$H65)</f>
        <v>0</v>
      </c>
      <c r="AD65" s="12">
        <f t="shared" ref="AD65:AD69" si="144">AD$5*AO65</f>
        <v>0</v>
      </c>
      <c r="AE65" s="12">
        <f t="shared" ref="AE65:AE69" si="145">AE$5*AO65</f>
        <v>0</v>
      </c>
      <c r="AF65" s="12">
        <f t="shared" ref="AF65:AF69" si="146">AF$5*AO65</f>
        <v>0</v>
      </c>
      <c r="AG65" s="12">
        <f t="shared" ref="AG65:AG69" si="147">AG$5*AO65</f>
        <v>0</v>
      </c>
      <c r="AH65" s="12">
        <f t="shared" ref="AH65:AH69" si="148">AH$5*AO65</f>
        <v>0</v>
      </c>
      <c r="AI65" s="12">
        <f t="shared" ref="AI65:AI69" si="149">AI$5*AO65</f>
        <v>0</v>
      </c>
      <c r="AJ65" s="12">
        <f t="shared" ref="AJ65:AJ69" si="150">AJ$5*AO65</f>
        <v>0</v>
      </c>
      <c r="AK65" s="12">
        <f t="shared" ref="AK65:AK69" si="151">AK$5*AO65</f>
        <v>0</v>
      </c>
      <c r="AL65" s="12">
        <f t="shared" ref="AL65:AL69" si="152">AL$5*AO65</f>
        <v>0</v>
      </c>
      <c r="AN65" s="16" t="s">
        <v>1303</v>
      </c>
      <c r="AO65">
        <f>_xlfn.XLOOKUP(AN65,'KPI Impacts'!$B$2:$H$2,'KPI Impacts'!$B65:$H65)</f>
        <v>0</v>
      </c>
      <c r="AR65" s="12">
        <f t="shared" ref="AR65:AR69" si="153">AR$5*BC65</f>
        <v>0</v>
      </c>
      <c r="AS65" s="12">
        <f t="shared" ref="AS65:AS69" si="154">AS$5*BC65</f>
        <v>0</v>
      </c>
      <c r="AT65" s="12">
        <f t="shared" ref="AT65:AT69" si="155">AT$5*BC65</f>
        <v>0</v>
      </c>
      <c r="AU65" s="12">
        <f t="shared" ref="AU65:AU69" si="156">AU$5*BC65</f>
        <v>0</v>
      </c>
      <c r="AV65" s="12">
        <f t="shared" ref="AV65:AV69" si="157">AV$5*BC65</f>
        <v>0</v>
      </c>
      <c r="AW65" s="12">
        <f t="shared" ref="AW65:AW69" si="158">AW$5*BC65</f>
        <v>0</v>
      </c>
      <c r="AX65" s="12">
        <f t="shared" ref="AX65:AX69" si="159">AX$5*BC65</f>
        <v>0</v>
      </c>
      <c r="AY65" s="12">
        <f t="shared" ref="AY65:AY69" si="160">AY$5*BC65</f>
        <v>0</v>
      </c>
      <c r="AZ65" s="12">
        <f t="shared" ref="AZ65:AZ69" si="161">AZ$5*BC65</f>
        <v>0</v>
      </c>
      <c r="BB65" s="29" t="s">
        <v>1306</v>
      </c>
      <c r="BC65">
        <f>_xlfn.XLOOKUP(BB65,'KPI Impacts'!$B$2:$H$2,'KPI Impacts'!$B65:$H65)</f>
        <v>-1.6</v>
      </c>
      <c r="BF65" s="12">
        <f t="shared" ref="BF65:BF69" si="162">BF$5*BQ65</f>
        <v>0</v>
      </c>
      <c r="BG65" s="12">
        <f t="shared" ref="BG65:BG69" si="163">BG$5*BQ65</f>
        <v>0</v>
      </c>
      <c r="BH65" s="12">
        <f t="shared" ref="BH65:BH69" si="164">BH$5*BQ65</f>
        <v>0</v>
      </c>
      <c r="BI65" s="12">
        <f t="shared" ref="BI65:BI69" si="165">BI$5*BQ65</f>
        <v>0</v>
      </c>
      <c r="BJ65" s="12">
        <f t="shared" ref="BJ65:BJ69" si="166">BJ$5*BQ65</f>
        <v>0</v>
      </c>
      <c r="BK65" s="12">
        <f t="shared" ref="BK65:BK69" si="167">BK$5*BQ65</f>
        <v>0</v>
      </c>
      <c r="BL65" s="12">
        <f t="shared" ref="BL65:BL69" si="168">BL$5*BQ65</f>
        <v>0</v>
      </c>
      <c r="BM65" s="12">
        <f t="shared" ref="BM65:BM69" si="169">BM$5*BQ65</f>
        <v>0</v>
      </c>
      <c r="BN65" s="12">
        <f t="shared" ref="BN65:BN69" si="170">BN$5*BQ65</f>
        <v>0</v>
      </c>
      <c r="BP65" s="16" t="s">
        <v>1303</v>
      </c>
      <c r="BQ65">
        <f>_xlfn.XLOOKUP(BP65,'KPI Impacts'!$B$2:$H$2,'KPI Impacts'!$B65:$H65)</f>
        <v>0</v>
      </c>
      <c r="BT65" s="12">
        <f t="shared" ref="BT65:BT69" si="171">BT$5*CE65</f>
        <v>0</v>
      </c>
      <c r="BU65" s="12">
        <f t="shared" ref="BU65:BU69" si="172">BU$5*CE65</f>
        <v>0</v>
      </c>
      <c r="BV65" s="12">
        <f t="shared" ref="BV65:BV69" si="173">BV$5*CE65</f>
        <v>0</v>
      </c>
      <c r="BW65" s="12">
        <f t="shared" ref="BW65:BW69" si="174">BW$5*CE65</f>
        <v>0</v>
      </c>
      <c r="BX65" s="12">
        <f t="shared" ref="BX65:BX69" si="175">BX$5*CE65</f>
        <v>0</v>
      </c>
      <c r="BY65" s="12">
        <f t="shared" ref="BY65:BY69" si="176">BY$5*CE65</f>
        <v>0</v>
      </c>
      <c r="BZ65" s="12">
        <f t="shared" ref="BZ65:BZ69" si="177">BZ$5*CE65</f>
        <v>0</v>
      </c>
      <c r="CA65" s="12">
        <f t="shared" ref="CA65:CA69" si="178">CA$5*CE65</f>
        <v>0</v>
      </c>
      <c r="CB65" s="12">
        <f t="shared" ref="CB65:CB69" si="179">CB$5*CE65</f>
        <v>0</v>
      </c>
      <c r="CD65" s="16" t="s">
        <v>1303</v>
      </c>
      <c r="CE65">
        <f>_xlfn.XLOOKUP(CD65,'KPI Impacts'!$B$2:$H$2,'KPI Impacts'!$B65:$H65)</f>
        <v>0</v>
      </c>
      <c r="CH65" s="12">
        <f t="shared" ref="CH65:CH69" si="180">CH$5*CS65</f>
        <v>0</v>
      </c>
      <c r="CI65" s="12">
        <f t="shared" ref="CI65:CI69" si="181">CI$5*CS65</f>
        <v>0</v>
      </c>
      <c r="CJ65" s="12">
        <f t="shared" ref="CJ65:CJ69" si="182">CJ$5*CS65</f>
        <v>0</v>
      </c>
      <c r="CK65" s="12">
        <f t="shared" ref="CK65:CK69" si="183">CK$5*CS65</f>
        <v>0</v>
      </c>
      <c r="CL65" s="12">
        <f t="shared" ref="CL65:CL69" si="184">CL$5*CS65</f>
        <v>0</v>
      </c>
      <c r="CM65" s="12">
        <f t="shared" ref="CM65:CM69" si="185">CM$5*CS65</f>
        <v>0</v>
      </c>
      <c r="CN65" s="12">
        <f t="shared" ref="CN65:CN69" si="186">CN$5*CS65</f>
        <v>0</v>
      </c>
      <c r="CO65" s="12">
        <f t="shared" ref="CO65:CO69" si="187">CO$5*CS65</f>
        <v>0</v>
      </c>
      <c r="CP65" s="12">
        <f t="shared" ref="CP65:CP69" si="188">CP$5*CS65</f>
        <v>0</v>
      </c>
      <c r="CR65" s="16" t="s">
        <v>1303</v>
      </c>
      <c r="CS65">
        <f>_xlfn.XLOOKUP(CR65,'KPI Impacts'!$B$2:$H$2,'KPI Impacts'!$B65:$H65)</f>
        <v>0</v>
      </c>
      <c r="CW65" s="12"/>
      <c r="CX65" s="12"/>
      <c r="CY65" s="12"/>
      <c r="CZ65" s="12"/>
      <c r="DA65" s="12"/>
      <c r="DB65" s="12"/>
      <c r="DC65" s="12"/>
      <c r="DD65" s="12"/>
      <c r="DE65" s="12"/>
    </row>
    <row r="66" spans="1:109" x14ac:dyDescent="0.2">
      <c r="A66" t="s">
        <v>1292</v>
      </c>
      <c r="B66" s="12">
        <f t="shared" si="125"/>
        <v>0</v>
      </c>
      <c r="C66" s="12">
        <f t="shared" si="127"/>
        <v>0</v>
      </c>
      <c r="D66" s="12">
        <f t="shared" si="128"/>
        <v>0</v>
      </c>
      <c r="E66" s="12">
        <f t="shared" si="129"/>
        <v>0</v>
      </c>
      <c r="F66" s="12">
        <f t="shared" si="130"/>
        <v>0</v>
      </c>
      <c r="G66" s="12">
        <f t="shared" si="131"/>
        <v>0</v>
      </c>
      <c r="H66" s="12">
        <f t="shared" si="132"/>
        <v>0</v>
      </c>
      <c r="I66" s="12">
        <f t="shared" si="133"/>
        <v>0</v>
      </c>
      <c r="J66" s="12">
        <f t="shared" si="134"/>
        <v>0</v>
      </c>
      <c r="P66" s="12">
        <f t="shared" si="135"/>
        <v>0</v>
      </c>
      <c r="Q66" s="12">
        <f t="shared" si="136"/>
        <v>0</v>
      </c>
      <c r="R66" s="12">
        <f t="shared" si="137"/>
        <v>0</v>
      </c>
      <c r="S66" s="12">
        <f t="shared" si="138"/>
        <v>0</v>
      </c>
      <c r="T66" s="12">
        <f t="shared" si="139"/>
        <v>0</v>
      </c>
      <c r="U66" s="12">
        <f t="shared" si="140"/>
        <v>0</v>
      </c>
      <c r="V66" s="12">
        <f t="shared" si="141"/>
        <v>0</v>
      </c>
      <c r="W66" s="12">
        <f t="shared" si="142"/>
        <v>0</v>
      </c>
      <c r="X66" s="12">
        <f t="shared" si="143"/>
        <v>0</v>
      </c>
      <c r="Z66" s="16" t="s">
        <v>1303</v>
      </c>
      <c r="AA66">
        <f>_xlfn.XLOOKUP(Z66,'KPI Impacts'!$B$2:$H$2,'KPI Impacts'!$B66:$H66)</f>
        <v>0</v>
      </c>
      <c r="AD66" s="12">
        <f t="shared" si="144"/>
        <v>0</v>
      </c>
      <c r="AE66" s="12">
        <f t="shared" si="145"/>
        <v>0</v>
      </c>
      <c r="AF66" s="12">
        <f t="shared" si="146"/>
        <v>0</v>
      </c>
      <c r="AG66" s="12">
        <f t="shared" si="147"/>
        <v>0</v>
      </c>
      <c r="AH66" s="12">
        <f t="shared" si="148"/>
        <v>0</v>
      </c>
      <c r="AI66" s="12">
        <f t="shared" si="149"/>
        <v>0</v>
      </c>
      <c r="AJ66" s="12">
        <f t="shared" si="150"/>
        <v>0</v>
      </c>
      <c r="AK66" s="12">
        <f t="shared" si="151"/>
        <v>0</v>
      </c>
      <c r="AL66" s="12">
        <f t="shared" si="152"/>
        <v>0</v>
      </c>
      <c r="AN66" s="16" t="s">
        <v>1303</v>
      </c>
      <c r="AO66">
        <f>_xlfn.XLOOKUP(AN66,'KPI Impacts'!$B$2:$H$2,'KPI Impacts'!$B66:$H66)</f>
        <v>0</v>
      </c>
      <c r="AR66" s="12">
        <f t="shared" si="153"/>
        <v>0</v>
      </c>
      <c r="AS66" s="12">
        <f t="shared" si="154"/>
        <v>0</v>
      </c>
      <c r="AT66" s="12">
        <f t="shared" si="155"/>
        <v>0</v>
      </c>
      <c r="AU66" s="12">
        <f t="shared" si="156"/>
        <v>0</v>
      </c>
      <c r="AV66" s="12">
        <f t="shared" si="157"/>
        <v>0</v>
      </c>
      <c r="AW66" s="12">
        <f t="shared" si="158"/>
        <v>0</v>
      </c>
      <c r="AX66" s="12">
        <f t="shared" si="159"/>
        <v>0</v>
      </c>
      <c r="AY66" s="12">
        <f t="shared" si="160"/>
        <v>0</v>
      </c>
      <c r="AZ66" s="12">
        <f t="shared" si="161"/>
        <v>0</v>
      </c>
      <c r="BB66" s="29" t="s">
        <v>1306</v>
      </c>
      <c r="BC66">
        <f>_xlfn.XLOOKUP(BB66,'KPI Impacts'!$B$2:$H$2,'KPI Impacts'!$B66:$H66)</f>
        <v>-3.2</v>
      </c>
      <c r="BF66" s="12">
        <f t="shared" si="162"/>
        <v>0</v>
      </c>
      <c r="BG66" s="12">
        <f t="shared" si="163"/>
        <v>0</v>
      </c>
      <c r="BH66" s="12">
        <f t="shared" si="164"/>
        <v>0</v>
      </c>
      <c r="BI66" s="12">
        <f t="shared" si="165"/>
        <v>0</v>
      </c>
      <c r="BJ66" s="12">
        <f t="shared" si="166"/>
        <v>0</v>
      </c>
      <c r="BK66" s="12">
        <f t="shared" si="167"/>
        <v>0</v>
      </c>
      <c r="BL66" s="12">
        <f t="shared" si="168"/>
        <v>0</v>
      </c>
      <c r="BM66" s="12">
        <f t="shared" si="169"/>
        <v>0</v>
      </c>
      <c r="BN66" s="12">
        <f t="shared" si="170"/>
        <v>0</v>
      </c>
      <c r="BP66" s="29" t="s">
        <v>1306</v>
      </c>
      <c r="BQ66">
        <f>_xlfn.XLOOKUP(BP66,'KPI Impacts'!$B$2:$H$2,'KPI Impacts'!$B66:$H66)</f>
        <v>-3.2</v>
      </c>
      <c r="BT66" s="12">
        <f t="shared" si="171"/>
        <v>0</v>
      </c>
      <c r="BU66" s="12">
        <f t="shared" si="172"/>
        <v>0</v>
      </c>
      <c r="BV66" s="12">
        <f t="shared" si="173"/>
        <v>0</v>
      </c>
      <c r="BW66" s="12">
        <f t="shared" si="174"/>
        <v>0</v>
      </c>
      <c r="BX66" s="12">
        <f t="shared" si="175"/>
        <v>0</v>
      </c>
      <c r="BY66" s="12">
        <f t="shared" si="176"/>
        <v>0</v>
      </c>
      <c r="BZ66" s="12">
        <f t="shared" si="177"/>
        <v>0</v>
      </c>
      <c r="CA66" s="12">
        <f t="shared" si="178"/>
        <v>0</v>
      </c>
      <c r="CB66" s="12">
        <f t="shared" si="179"/>
        <v>0</v>
      </c>
      <c r="CD66" s="29" t="s">
        <v>1306</v>
      </c>
      <c r="CE66">
        <f>_xlfn.XLOOKUP(CD66,'KPI Impacts'!$B$2:$H$2,'KPI Impacts'!$B66:$H66)</f>
        <v>-3.2</v>
      </c>
      <c r="CH66" s="12">
        <f t="shared" si="180"/>
        <v>0</v>
      </c>
      <c r="CI66" s="12">
        <f t="shared" si="181"/>
        <v>0</v>
      </c>
      <c r="CJ66" s="12">
        <f t="shared" si="182"/>
        <v>0</v>
      </c>
      <c r="CK66" s="12">
        <f t="shared" si="183"/>
        <v>0</v>
      </c>
      <c r="CL66" s="12">
        <f t="shared" si="184"/>
        <v>0</v>
      </c>
      <c r="CM66" s="12">
        <f t="shared" si="185"/>
        <v>0</v>
      </c>
      <c r="CN66" s="12">
        <f t="shared" si="186"/>
        <v>0</v>
      </c>
      <c r="CO66" s="12">
        <f t="shared" si="187"/>
        <v>0</v>
      </c>
      <c r="CP66" s="12">
        <f t="shared" si="188"/>
        <v>0</v>
      </c>
      <c r="CR66" s="16" t="s">
        <v>1303</v>
      </c>
      <c r="CS66">
        <f>_xlfn.XLOOKUP(CR66,'KPI Impacts'!$B$2:$H$2,'KPI Impacts'!$B66:$H66)</f>
        <v>0</v>
      </c>
      <c r="CW66" s="12"/>
      <c r="CX66" s="12"/>
      <c r="CY66" s="12"/>
      <c r="CZ66" s="12"/>
      <c r="DA66" s="12"/>
      <c r="DB66" s="12"/>
      <c r="DC66" s="12"/>
      <c r="DD66" s="12"/>
      <c r="DE66" s="12"/>
    </row>
    <row r="67" spans="1:109" x14ac:dyDescent="0.2">
      <c r="A67" t="s">
        <v>48</v>
      </c>
      <c r="B67" s="12">
        <f t="shared" si="125"/>
        <v>0</v>
      </c>
      <c r="C67" s="12">
        <f t="shared" si="127"/>
        <v>0</v>
      </c>
      <c r="D67" s="12">
        <f t="shared" si="128"/>
        <v>0</v>
      </c>
      <c r="E67" s="12">
        <f t="shared" si="129"/>
        <v>0</v>
      </c>
      <c r="F67" s="12">
        <f t="shared" si="130"/>
        <v>0</v>
      </c>
      <c r="G67" s="12">
        <f t="shared" si="131"/>
        <v>0</v>
      </c>
      <c r="H67" s="12">
        <f t="shared" si="132"/>
        <v>0</v>
      </c>
      <c r="I67" s="12">
        <f t="shared" si="133"/>
        <v>0</v>
      </c>
      <c r="J67" s="12">
        <f t="shared" si="134"/>
        <v>0</v>
      </c>
      <c r="P67" s="12">
        <f t="shared" si="135"/>
        <v>0</v>
      </c>
      <c r="Q67" s="12">
        <f t="shared" si="136"/>
        <v>0</v>
      </c>
      <c r="R67" s="12">
        <f t="shared" si="137"/>
        <v>0</v>
      </c>
      <c r="S67" s="12">
        <f t="shared" si="138"/>
        <v>0</v>
      </c>
      <c r="T67" s="12">
        <f t="shared" si="139"/>
        <v>0</v>
      </c>
      <c r="U67" s="12">
        <f t="shared" si="140"/>
        <v>0</v>
      </c>
      <c r="V67" s="12">
        <f t="shared" si="141"/>
        <v>0</v>
      </c>
      <c r="W67" s="12">
        <f t="shared" si="142"/>
        <v>0</v>
      </c>
      <c r="X67" s="12">
        <f t="shared" si="143"/>
        <v>0</v>
      </c>
      <c r="Z67" s="16" t="s">
        <v>1303</v>
      </c>
      <c r="AA67">
        <f>_xlfn.XLOOKUP(Z67,'KPI Impacts'!$B$2:$H$2,'KPI Impacts'!$B67:$H67)</f>
        <v>0</v>
      </c>
      <c r="AD67" s="12">
        <f t="shared" si="144"/>
        <v>0</v>
      </c>
      <c r="AE67" s="12">
        <f t="shared" si="145"/>
        <v>0</v>
      </c>
      <c r="AF67" s="12">
        <f t="shared" si="146"/>
        <v>0</v>
      </c>
      <c r="AG67" s="12">
        <f t="shared" si="147"/>
        <v>0</v>
      </c>
      <c r="AH67" s="12">
        <f t="shared" si="148"/>
        <v>0</v>
      </c>
      <c r="AI67" s="12">
        <f t="shared" si="149"/>
        <v>0</v>
      </c>
      <c r="AJ67" s="12">
        <f t="shared" si="150"/>
        <v>0</v>
      </c>
      <c r="AK67" s="12">
        <f t="shared" si="151"/>
        <v>0</v>
      </c>
      <c r="AL67" s="12">
        <f t="shared" si="152"/>
        <v>0</v>
      </c>
      <c r="AN67" s="16" t="s">
        <v>1303</v>
      </c>
      <c r="AO67">
        <f>_xlfn.XLOOKUP(AN67,'KPI Impacts'!$B$2:$H$2,'KPI Impacts'!$B67:$H67)</f>
        <v>0</v>
      </c>
      <c r="AR67" s="12">
        <f t="shared" si="153"/>
        <v>0</v>
      </c>
      <c r="AS67" s="12">
        <f t="shared" si="154"/>
        <v>0</v>
      </c>
      <c r="AT67" s="12">
        <f t="shared" si="155"/>
        <v>0</v>
      </c>
      <c r="AU67" s="12">
        <f t="shared" si="156"/>
        <v>0</v>
      </c>
      <c r="AV67" s="12">
        <f t="shared" si="157"/>
        <v>0</v>
      </c>
      <c r="AW67" s="12">
        <f t="shared" si="158"/>
        <v>0</v>
      </c>
      <c r="AX67" s="12">
        <f t="shared" si="159"/>
        <v>0</v>
      </c>
      <c r="AY67" s="12">
        <f t="shared" si="160"/>
        <v>0</v>
      </c>
      <c r="AZ67" s="12">
        <f t="shared" si="161"/>
        <v>0</v>
      </c>
      <c r="BB67" s="16" t="s">
        <v>1303</v>
      </c>
      <c r="BC67">
        <f>_xlfn.XLOOKUP(BB67,'KPI Impacts'!$B$2:$H$2,'KPI Impacts'!$B67:$H67)</f>
        <v>0</v>
      </c>
      <c r="BF67" s="12">
        <f t="shared" si="162"/>
        <v>0</v>
      </c>
      <c r="BG67" s="12">
        <f t="shared" si="163"/>
        <v>0</v>
      </c>
      <c r="BH67" s="12">
        <f t="shared" si="164"/>
        <v>0</v>
      </c>
      <c r="BI67" s="12">
        <f t="shared" si="165"/>
        <v>0</v>
      </c>
      <c r="BJ67" s="12">
        <f t="shared" si="166"/>
        <v>0</v>
      </c>
      <c r="BK67" s="12">
        <f t="shared" si="167"/>
        <v>0</v>
      </c>
      <c r="BL67" s="12">
        <f t="shared" si="168"/>
        <v>0</v>
      </c>
      <c r="BM67" s="12">
        <f t="shared" si="169"/>
        <v>0</v>
      </c>
      <c r="BN67" s="12">
        <f t="shared" si="170"/>
        <v>0</v>
      </c>
      <c r="BP67" s="16" t="s">
        <v>1303</v>
      </c>
      <c r="BQ67">
        <f>_xlfn.XLOOKUP(BP67,'KPI Impacts'!$B$2:$H$2,'KPI Impacts'!$B67:$H67)</f>
        <v>0</v>
      </c>
      <c r="BT67" s="12">
        <f t="shared" si="171"/>
        <v>0</v>
      </c>
      <c r="BU67" s="12">
        <f t="shared" si="172"/>
        <v>0</v>
      </c>
      <c r="BV67" s="12">
        <f t="shared" si="173"/>
        <v>0</v>
      </c>
      <c r="BW67" s="12">
        <f t="shared" si="174"/>
        <v>0</v>
      </c>
      <c r="BX67" s="12">
        <f t="shared" si="175"/>
        <v>0</v>
      </c>
      <c r="BY67" s="12">
        <f t="shared" si="176"/>
        <v>0</v>
      </c>
      <c r="BZ67" s="12">
        <f t="shared" si="177"/>
        <v>0</v>
      </c>
      <c r="CA67" s="12">
        <f t="shared" si="178"/>
        <v>0</v>
      </c>
      <c r="CB67" s="12">
        <f t="shared" si="179"/>
        <v>0</v>
      </c>
      <c r="CD67" s="29" t="s">
        <v>1306</v>
      </c>
      <c r="CE67">
        <f>_xlfn.XLOOKUP(CD67,'KPI Impacts'!$B$2:$H$2,'KPI Impacts'!$B67:$H67)</f>
        <v>-3.2</v>
      </c>
      <c r="CH67" s="12">
        <f t="shared" si="180"/>
        <v>0</v>
      </c>
      <c r="CI67" s="12">
        <f t="shared" si="181"/>
        <v>0</v>
      </c>
      <c r="CJ67" s="12">
        <f t="shared" si="182"/>
        <v>0</v>
      </c>
      <c r="CK67" s="12">
        <f t="shared" si="183"/>
        <v>0</v>
      </c>
      <c r="CL67" s="12">
        <f t="shared" si="184"/>
        <v>0</v>
      </c>
      <c r="CM67" s="12">
        <f t="shared" si="185"/>
        <v>0</v>
      </c>
      <c r="CN67" s="12">
        <f t="shared" si="186"/>
        <v>0</v>
      </c>
      <c r="CO67" s="12">
        <f t="shared" si="187"/>
        <v>0</v>
      </c>
      <c r="CP67" s="12">
        <f t="shared" si="188"/>
        <v>0</v>
      </c>
      <c r="CR67" s="16" t="s">
        <v>1303</v>
      </c>
      <c r="CS67">
        <f>_xlfn.XLOOKUP(CR67,'KPI Impacts'!$B$2:$H$2,'KPI Impacts'!$B67:$H67)</f>
        <v>0</v>
      </c>
      <c r="CW67" s="12"/>
      <c r="CX67" s="12"/>
      <c r="CY67" s="12"/>
      <c r="CZ67" s="12"/>
      <c r="DA67" s="12"/>
      <c r="DB67" s="12"/>
      <c r="DC67" s="12"/>
      <c r="DD67" s="12"/>
      <c r="DE67" s="12"/>
    </row>
    <row r="68" spans="1:109" x14ac:dyDescent="0.2">
      <c r="A68" t="s">
        <v>49</v>
      </c>
      <c r="B68" s="12">
        <f t="shared" si="125"/>
        <v>0</v>
      </c>
      <c r="C68" s="12">
        <f t="shared" si="127"/>
        <v>0</v>
      </c>
      <c r="D68" s="12">
        <f t="shared" si="128"/>
        <v>0</v>
      </c>
      <c r="E68" s="12">
        <f t="shared" si="129"/>
        <v>0</v>
      </c>
      <c r="F68" s="12">
        <f t="shared" si="130"/>
        <v>0</v>
      </c>
      <c r="G68" s="12">
        <f t="shared" si="131"/>
        <v>0</v>
      </c>
      <c r="H68" s="12">
        <f t="shared" si="132"/>
        <v>0</v>
      </c>
      <c r="I68" s="12">
        <f t="shared" si="133"/>
        <v>0</v>
      </c>
      <c r="J68" s="12">
        <f t="shared" si="134"/>
        <v>0</v>
      </c>
      <c r="P68" s="12">
        <f t="shared" si="135"/>
        <v>0</v>
      </c>
      <c r="Q68" s="12">
        <f t="shared" si="136"/>
        <v>0</v>
      </c>
      <c r="R68" s="12">
        <f t="shared" si="137"/>
        <v>0</v>
      </c>
      <c r="S68" s="12">
        <f t="shared" si="138"/>
        <v>0</v>
      </c>
      <c r="T68" s="12">
        <f t="shared" si="139"/>
        <v>0</v>
      </c>
      <c r="U68" s="12">
        <f t="shared" si="140"/>
        <v>0</v>
      </c>
      <c r="V68" s="12">
        <f t="shared" si="141"/>
        <v>0</v>
      </c>
      <c r="W68" s="12">
        <f t="shared" si="142"/>
        <v>0</v>
      </c>
      <c r="X68" s="12">
        <f t="shared" si="143"/>
        <v>0</v>
      </c>
      <c r="Z68" s="16" t="s">
        <v>1303</v>
      </c>
      <c r="AA68">
        <f>_xlfn.XLOOKUP(Z68,'KPI Impacts'!$B$2:$H$2,'KPI Impacts'!$B68:$H68)</f>
        <v>0</v>
      </c>
      <c r="AD68" s="12">
        <f t="shared" si="144"/>
        <v>0</v>
      </c>
      <c r="AE68" s="12">
        <f t="shared" si="145"/>
        <v>0</v>
      </c>
      <c r="AF68" s="12">
        <f t="shared" si="146"/>
        <v>0</v>
      </c>
      <c r="AG68" s="12">
        <f t="shared" si="147"/>
        <v>0</v>
      </c>
      <c r="AH68" s="12">
        <f t="shared" si="148"/>
        <v>0</v>
      </c>
      <c r="AI68" s="12">
        <f t="shared" si="149"/>
        <v>0</v>
      </c>
      <c r="AJ68" s="12">
        <f t="shared" si="150"/>
        <v>0</v>
      </c>
      <c r="AK68" s="12">
        <f t="shared" si="151"/>
        <v>0</v>
      </c>
      <c r="AL68" s="12">
        <f t="shared" si="152"/>
        <v>0</v>
      </c>
      <c r="AN68" s="29" t="s">
        <v>1304</v>
      </c>
      <c r="AO68">
        <f>_xlfn.XLOOKUP(AN68,'KPI Impacts'!$B$2:$H$2,'KPI Impacts'!$B68:$H68)</f>
        <v>-1.6</v>
      </c>
      <c r="AR68" s="12">
        <f t="shared" si="153"/>
        <v>0</v>
      </c>
      <c r="AS68" s="12">
        <f t="shared" si="154"/>
        <v>0</v>
      </c>
      <c r="AT68" s="12">
        <f t="shared" si="155"/>
        <v>0</v>
      </c>
      <c r="AU68" s="12">
        <f t="shared" si="156"/>
        <v>0</v>
      </c>
      <c r="AV68" s="12">
        <f t="shared" si="157"/>
        <v>0</v>
      </c>
      <c r="AW68" s="12">
        <f t="shared" si="158"/>
        <v>0</v>
      </c>
      <c r="AX68" s="12">
        <f t="shared" si="159"/>
        <v>0</v>
      </c>
      <c r="AY68" s="12">
        <f t="shared" si="160"/>
        <v>0</v>
      </c>
      <c r="AZ68" s="12">
        <f t="shared" si="161"/>
        <v>0</v>
      </c>
      <c r="BB68" s="29" t="s">
        <v>1304</v>
      </c>
      <c r="BC68">
        <f>_xlfn.XLOOKUP(BB68,'KPI Impacts'!$B$2:$H$2,'KPI Impacts'!$B68:$H68)</f>
        <v>-1.6</v>
      </c>
      <c r="BF68" s="12">
        <f t="shared" si="162"/>
        <v>0</v>
      </c>
      <c r="BG68" s="12">
        <f t="shared" si="163"/>
        <v>0</v>
      </c>
      <c r="BH68" s="12">
        <f t="shared" si="164"/>
        <v>0</v>
      </c>
      <c r="BI68" s="12">
        <f t="shared" si="165"/>
        <v>0</v>
      </c>
      <c r="BJ68" s="12">
        <f t="shared" si="166"/>
        <v>0</v>
      </c>
      <c r="BK68" s="12">
        <f t="shared" si="167"/>
        <v>0</v>
      </c>
      <c r="BL68" s="12">
        <f t="shared" si="168"/>
        <v>0</v>
      </c>
      <c r="BM68" s="12">
        <f t="shared" si="169"/>
        <v>0</v>
      </c>
      <c r="BN68" s="12">
        <f t="shared" si="170"/>
        <v>0</v>
      </c>
      <c r="BP68" s="29" t="s">
        <v>1306</v>
      </c>
      <c r="BQ68">
        <f>_xlfn.XLOOKUP(BP68,'KPI Impacts'!$B$2:$H$2,'KPI Impacts'!$B68:$H68)</f>
        <v>-3.2</v>
      </c>
      <c r="BT68" s="12">
        <f t="shared" si="171"/>
        <v>0</v>
      </c>
      <c r="BU68" s="12">
        <f t="shared" si="172"/>
        <v>0</v>
      </c>
      <c r="BV68" s="12">
        <f t="shared" si="173"/>
        <v>0</v>
      </c>
      <c r="BW68" s="12">
        <f t="shared" si="174"/>
        <v>0</v>
      </c>
      <c r="BX68" s="12">
        <f t="shared" si="175"/>
        <v>0</v>
      </c>
      <c r="BY68" s="12">
        <f t="shared" si="176"/>
        <v>0</v>
      </c>
      <c r="BZ68" s="12">
        <f t="shared" si="177"/>
        <v>0</v>
      </c>
      <c r="CA68" s="12">
        <f t="shared" si="178"/>
        <v>0</v>
      </c>
      <c r="CB68" s="12">
        <f t="shared" si="179"/>
        <v>0</v>
      </c>
      <c r="CD68" s="16" t="s">
        <v>1303</v>
      </c>
      <c r="CE68">
        <f>_xlfn.XLOOKUP(CD68,'KPI Impacts'!$B$2:$H$2,'KPI Impacts'!$B68:$H68)</f>
        <v>0</v>
      </c>
      <c r="CH68" s="12">
        <f t="shared" si="180"/>
        <v>0</v>
      </c>
      <c r="CI68" s="12">
        <f t="shared" si="181"/>
        <v>0</v>
      </c>
      <c r="CJ68" s="12">
        <f t="shared" si="182"/>
        <v>0</v>
      </c>
      <c r="CK68" s="12">
        <f t="shared" si="183"/>
        <v>0</v>
      </c>
      <c r="CL68" s="12">
        <f t="shared" si="184"/>
        <v>0</v>
      </c>
      <c r="CM68" s="12">
        <f t="shared" si="185"/>
        <v>0</v>
      </c>
      <c r="CN68" s="12">
        <f t="shared" si="186"/>
        <v>0</v>
      </c>
      <c r="CO68" s="12">
        <f t="shared" si="187"/>
        <v>0</v>
      </c>
      <c r="CP68" s="12">
        <f t="shared" si="188"/>
        <v>0</v>
      </c>
      <c r="CR68" s="16" t="s">
        <v>1303</v>
      </c>
      <c r="CS68">
        <f>_xlfn.XLOOKUP(CR68,'KPI Impacts'!$B$2:$H$2,'KPI Impacts'!$B68:$H68)</f>
        <v>0</v>
      </c>
      <c r="CW68" s="12"/>
      <c r="CX68" s="12"/>
      <c r="CY68" s="12"/>
      <c r="CZ68" s="12"/>
      <c r="DA68" s="12"/>
      <c r="DB68" s="12"/>
      <c r="DC68" s="12"/>
      <c r="DD68" s="12"/>
      <c r="DE68" s="12"/>
    </row>
    <row r="69" spans="1:109" x14ac:dyDescent="0.2">
      <c r="A69" t="s">
        <v>50</v>
      </c>
      <c r="B69" s="12">
        <f t="shared" si="125"/>
        <v>0</v>
      </c>
      <c r="C69" s="12">
        <f t="shared" si="127"/>
        <v>0</v>
      </c>
      <c r="D69" s="12">
        <f t="shared" si="128"/>
        <v>0</v>
      </c>
      <c r="E69" s="12">
        <f t="shared" si="129"/>
        <v>0</v>
      </c>
      <c r="F69" s="12">
        <f t="shared" si="130"/>
        <v>0</v>
      </c>
      <c r="G69" s="12">
        <f t="shared" si="131"/>
        <v>0</v>
      </c>
      <c r="H69" s="12">
        <f t="shared" si="132"/>
        <v>0</v>
      </c>
      <c r="I69" s="12">
        <f t="shared" si="133"/>
        <v>0</v>
      </c>
      <c r="J69" s="12">
        <f t="shared" si="134"/>
        <v>0</v>
      </c>
      <c r="P69" s="12">
        <f t="shared" si="135"/>
        <v>0</v>
      </c>
      <c r="Q69" s="12">
        <f t="shared" si="136"/>
        <v>0</v>
      </c>
      <c r="R69" s="12">
        <f t="shared" si="137"/>
        <v>0</v>
      </c>
      <c r="S69" s="12">
        <f t="shared" si="138"/>
        <v>0</v>
      </c>
      <c r="T69" s="12">
        <f t="shared" si="139"/>
        <v>0</v>
      </c>
      <c r="U69" s="12">
        <f t="shared" si="140"/>
        <v>0</v>
      </c>
      <c r="V69" s="12">
        <f t="shared" si="141"/>
        <v>0</v>
      </c>
      <c r="W69" s="12">
        <f t="shared" si="142"/>
        <v>0</v>
      </c>
      <c r="X69" s="12">
        <f t="shared" si="143"/>
        <v>0</v>
      </c>
      <c r="Z69" s="16" t="s">
        <v>1303</v>
      </c>
      <c r="AA69">
        <f>_xlfn.XLOOKUP(Z69,'KPI Impacts'!$B$2:$H$2,'KPI Impacts'!$B69:$H69)</f>
        <v>0</v>
      </c>
      <c r="AD69" s="12">
        <f t="shared" si="144"/>
        <v>0</v>
      </c>
      <c r="AE69" s="12">
        <f t="shared" si="145"/>
        <v>0</v>
      </c>
      <c r="AF69" s="12">
        <f t="shared" si="146"/>
        <v>0</v>
      </c>
      <c r="AG69" s="12">
        <f t="shared" si="147"/>
        <v>0</v>
      </c>
      <c r="AH69" s="12">
        <f t="shared" si="148"/>
        <v>0</v>
      </c>
      <c r="AI69" s="12">
        <f t="shared" si="149"/>
        <v>0</v>
      </c>
      <c r="AJ69" s="12">
        <f t="shared" si="150"/>
        <v>0</v>
      </c>
      <c r="AK69" s="12">
        <f t="shared" si="151"/>
        <v>0</v>
      </c>
      <c r="AL69" s="12">
        <f t="shared" si="152"/>
        <v>0</v>
      </c>
      <c r="AN69" s="16" t="s">
        <v>1303</v>
      </c>
      <c r="AO69">
        <f>_xlfn.XLOOKUP(AN69,'KPI Impacts'!$B$2:$H$2,'KPI Impacts'!$B69:$H69)</f>
        <v>0</v>
      </c>
      <c r="AR69" s="12">
        <f t="shared" si="153"/>
        <v>0</v>
      </c>
      <c r="AS69" s="12">
        <f t="shared" si="154"/>
        <v>0</v>
      </c>
      <c r="AT69" s="12">
        <f t="shared" si="155"/>
        <v>0</v>
      </c>
      <c r="AU69" s="12">
        <f t="shared" si="156"/>
        <v>0</v>
      </c>
      <c r="AV69" s="12">
        <f t="shared" si="157"/>
        <v>0</v>
      </c>
      <c r="AW69" s="12">
        <f t="shared" si="158"/>
        <v>0</v>
      </c>
      <c r="AX69" s="12">
        <f t="shared" si="159"/>
        <v>0</v>
      </c>
      <c r="AY69" s="12">
        <f t="shared" si="160"/>
        <v>0</v>
      </c>
      <c r="AZ69" s="12">
        <f t="shared" si="161"/>
        <v>0</v>
      </c>
      <c r="BB69" s="16" t="s">
        <v>1303</v>
      </c>
      <c r="BC69">
        <f>_xlfn.XLOOKUP(BB69,'KPI Impacts'!$B$2:$H$2,'KPI Impacts'!$B69:$H69)</f>
        <v>0</v>
      </c>
      <c r="BF69" s="12">
        <f t="shared" si="162"/>
        <v>0</v>
      </c>
      <c r="BG69" s="12">
        <f t="shared" si="163"/>
        <v>0</v>
      </c>
      <c r="BH69" s="12">
        <f t="shared" si="164"/>
        <v>0</v>
      </c>
      <c r="BI69" s="12">
        <f t="shared" si="165"/>
        <v>0</v>
      </c>
      <c r="BJ69" s="12">
        <f t="shared" si="166"/>
        <v>0</v>
      </c>
      <c r="BK69" s="12">
        <f t="shared" si="167"/>
        <v>0</v>
      </c>
      <c r="BL69" s="12">
        <f t="shared" si="168"/>
        <v>0</v>
      </c>
      <c r="BM69" s="12">
        <f t="shared" si="169"/>
        <v>0</v>
      </c>
      <c r="BN69" s="12">
        <f t="shared" si="170"/>
        <v>0</v>
      </c>
      <c r="BP69" s="16" t="s">
        <v>1303</v>
      </c>
      <c r="BQ69">
        <f>_xlfn.XLOOKUP(BP69,'KPI Impacts'!$B$2:$H$2,'KPI Impacts'!$B69:$H69)</f>
        <v>0</v>
      </c>
      <c r="BT69" s="12">
        <f t="shared" si="171"/>
        <v>0</v>
      </c>
      <c r="BU69" s="12">
        <f t="shared" si="172"/>
        <v>0</v>
      </c>
      <c r="BV69" s="12">
        <f t="shared" si="173"/>
        <v>0</v>
      </c>
      <c r="BW69" s="12">
        <f t="shared" si="174"/>
        <v>0</v>
      </c>
      <c r="BX69" s="12">
        <f t="shared" si="175"/>
        <v>0</v>
      </c>
      <c r="BY69" s="12">
        <f t="shared" si="176"/>
        <v>0</v>
      </c>
      <c r="BZ69" s="12">
        <f t="shared" si="177"/>
        <v>0</v>
      </c>
      <c r="CA69" s="12">
        <f t="shared" si="178"/>
        <v>0</v>
      </c>
      <c r="CB69" s="12">
        <f t="shared" si="179"/>
        <v>0</v>
      </c>
      <c r="CD69" s="29" t="s">
        <v>1306</v>
      </c>
      <c r="CE69">
        <f>_xlfn.XLOOKUP(CD69,'KPI Impacts'!$B$2:$H$2,'KPI Impacts'!$B69:$H69)</f>
        <v>-3.2</v>
      </c>
      <c r="CH69" s="12">
        <f t="shared" si="180"/>
        <v>0</v>
      </c>
      <c r="CI69" s="12">
        <f t="shared" si="181"/>
        <v>0</v>
      </c>
      <c r="CJ69" s="12">
        <f t="shared" si="182"/>
        <v>0</v>
      </c>
      <c r="CK69" s="12">
        <f t="shared" si="183"/>
        <v>0</v>
      </c>
      <c r="CL69" s="12">
        <f t="shared" si="184"/>
        <v>0</v>
      </c>
      <c r="CM69" s="12">
        <f t="shared" si="185"/>
        <v>0</v>
      </c>
      <c r="CN69" s="12">
        <f t="shared" si="186"/>
        <v>0</v>
      </c>
      <c r="CO69" s="12">
        <f t="shared" si="187"/>
        <v>0</v>
      </c>
      <c r="CP69" s="12">
        <f t="shared" si="188"/>
        <v>0</v>
      </c>
      <c r="CR69" s="16" t="s">
        <v>1303</v>
      </c>
      <c r="CS69">
        <f>_xlfn.XLOOKUP(CR69,'KPI Impacts'!$B$2:$H$2,'KPI Impacts'!$B69:$H69)</f>
        <v>0</v>
      </c>
      <c r="CW69" s="12"/>
      <c r="CX69" s="12"/>
      <c r="CY69" s="12"/>
      <c r="CZ69" s="12"/>
      <c r="DA69" s="12"/>
      <c r="DB69" s="12"/>
      <c r="DC69" s="12"/>
      <c r="DD69" s="12"/>
      <c r="DE69" s="12"/>
    </row>
    <row r="70" spans="1:109" x14ac:dyDescent="0.2">
      <c r="Z70" s="16"/>
      <c r="AN70" s="16"/>
      <c r="BB70" s="16"/>
      <c r="BP70" s="16"/>
      <c r="CD70" s="16"/>
      <c r="CR70" s="16"/>
      <c r="CZ70" s="12"/>
      <c r="DA70" s="12"/>
    </row>
    <row r="71" spans="1:109" x14ac:dyDescent="0.2">
      <c r="Z71" s="16"/>
      <c r="AN71" s="16"/>
      <c r="BB71" s="16"/>
      <c r="BP71" s="16"/>
      <c r="CD71" s="16"/>
      <c r="CR71" s="16"/>
      <c r="CZ71" s="12"/>
      <c r="DA71" s="12"/>
    </row>
    <row r="72" spans="1:109" x14ac:dyDescent="0.2">
      <c r="A72" s="5" t="s">
        <v>44</v>
      </c>
      <c r="Z72" s="16"/>
      <c r="AN72" s="16"/>
      <c r="BB72" s="16"/>
      <c r="BP72" s="16"/>
      <c r="CD72" s="16"/>
      <c r="CR72" s="16"/>
      <c r="CZ72" s="12"/>
      <c r="DA72" s="12"/>
    </row>
    <row r="73" spans="1:109" x14ac:dyDescent="0.2">
      <c r="A73" t="s">
        <v>55</v>
      </c>
      <c r="B73" s="12">
        <f>P73+AD73+AR73+BF73+BT73+CH73</f>
        <v>0</v>
      </c>
      <c r="C73" s="12">
        <f t="shared" ref="C73:C74" si="189">Q73+AE73+AS73+BG73+BU73+CI73</f>
        <v>0</v>
      </c>
      <c r="D73" s="12">
        <f t="shared" ref="D73:D74" si="190">R73+AF73+AT73+BH73+BV73+CJ73</f>
        <v>0</v>
      </c>
      <c r="E73" s="12">
        <f t="shared" ref="E73:E74" si="191">S73+AG73+AU73+BI73+BW73+CK73</f>
        <v>0</v>
      </c>
      <c r="F73" s="12">
        <f t="shared" ref="F73:F74" si="192">T73+AH73+AV73+BJ73+BX73+CL73</f>
        <v>0</v>
      </c>
      <c r="G73" s="12">
        <f t="shared" ref="G73:G74" si="193">U73+AI73+AW73+BK73+BY73+CM73</f>
        <v>0</v>
      </c>
      <c r="H73" s="12">
        <f t="shared" ref="H73:H74" si="194">V73+AJ73+AX73+BL73+BZ73+CN73</f>
        <v>0</v>
      </c>
      <c r="I73" s="12">
        <f t="shared" ref="I73:I74" si="195">W73+AK73+AY73+BM73+CA73+CO73</f>
        <v>0</v>
      </c>
      <c r="J73" s="12">
        <f t="shared" ref="J73:J74" si="196">X73+AL73+AZ73+BN73+CB73+CP73</f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s="29" t="s">
        <v>1304</v>
      </c>
      <c r="AA73">
        <f>_xlfn.XLOOKUP(Z73,'KPI Impacts'!$B$2:$H$2,'KPI Impacts'!$B73:$H73)</f>
        <v>-0.32000000000000006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s="16" t="s">
        <v>1303</v>
      </c>
      <c r="AO73">
        <f>_xlfn.XLOOKUP(AN73,'KPI Impacts'!$B$2:$H$2,'KPI Impacts'!$B73:$H73)</f>
        <v>0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16" t="s">
        <v>1303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1303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16" t="s">
        <v>1303</v>
      </c>
      <c r="CE73">
        <f>_xlfn.XLOOKUP(CD73,'KPI Impacts'!$B$2:$H$2,'KPI Impacts'!$B73:$H73)</f>
        <v>0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16" t="s">
        <v>1303</v>
      </c>
      <c r="CS73">
        <f>_xlfn.XLOOKUP(CR73,'KPI Impacts'!$B$2:$H$2,'KPI Impacts'!$B73:$H73)</f>
        <v>0</v>
      </c>
      <c r="CW73" s="12"/>
      <c r="CX73" s="12"/>
      <c r="CY73" s="12"/>
      <c r="CZ73" s="12"/>
      <c r="DA73" s="12"/>
      <c r="DB73" s="12"/>
      <c r="DC73" s="12"/>
      <c r="DD73" s="12"/>
      <c r="DE73" s="12"/>
    </row>
    <row r="74" spans="1:109" x14ac:dyDescent="0.2">
      <c r="A74" s="9" t="s">
        <v>1928</v>
      </c>
      <c r="B74" s="12">
        <f>P74+AD74+AR74+BF74+BT74+CH74</f>
        <v>0</v>
      </c>
      <c r="C74" s="12">
        <f t="shared" si="189"/>
        <v>0</v>
      </c>
      <c r="D74" s="12">
        <f t="shared" si="190"/>
        <v>0</v>
      </c>
      <c r="E74" s="12">
        <f t="shared" si="191"/>
        <v>0</v>
      </c>
      <c r="F74" s="12">
        <f t="shared" si="192"/>
        <v>0</v>
      </c>
      <c r="G74" s="12">
        <f t="shared" si="193"/>
        <v>0</v>
      </c>
      <c r="H74" s="12">
        <f t="shared" si="194"/>
        <v>0</v>
      </c>
      <c r="I74" s="12">
        <f t="shared" si="195"/>
        <v>0</v>
      </c>
      <c r="J74" s="12">
        <f t="shared" si="196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s="29" t="s">
        <v>1304</v>
      </c>
      <c r="AA74">
        <f>_xlfn.XLOOKUP(Z74,'KPI Impacts'!$B$2:$H$2,'KPI Impacts'!$B74:$H74)</f>
        <v>-1600000000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s="16" t="s">
        <v>1303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16" t="s">
        <v>1303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1303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1303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16" t="s">
        <v>1303</v>
      </c>
      <c r="CS74">
        <f>_xlfn.XLOOKUP(CR74,'KPI Impacts'!$B$2:$H$2,'KPI Impacts'!$B74:$H74)</f>
        <v>0</v>
      </c>
      <c r="CW74" s="12"/>
      <c r="CX74" s="12"/>
      <c r="CY74" s="12"/>
      <c r="CZ74" s="12"/>
      <c r="DA74" s="12"/>
      <c r="DB74" s="12"/>
      <c r="DC74" s="12"/>
      <c r="DD74" s="12"/>
      <c r="DE74" s="12"/>
    </row>
    <row r="75" spans="1:109" x14ac:dyDescent="0.2">
      <c r="A75" t="s">
        <v>1310</v>
      </c>
      <c r="B75" s="12">
        <f>P75+AD75+BF75+BT75+CH75</f>
        <v>0</v>
      </c>
      <c r="C75" s="12">
        <f t="shared" ref="C75:J75" si="197">Q75+AE75+BG75+BU75+CI75</f>
        <v>0</v>
      </c>
      <c r="D75" s="12">
        <f t="shared" si="197"/>
        <v>0</v>
      </c>
      <c r="E75" s="12">
        <f t="shared" si="197"/>
        <v>0</v>
      </c>
      <c r="F75" s="12">
        <f t="shared" si="197"/>
        <v>0</v>
      </c>
      <c r="G75" s="12">
        <f t="shared" si="197"/>
        <v>0</v>
      </c>
      <c r="H75" s="12">
        <f t="shared" si="197"/>
        <v>0</v>
      </c>
      <c r="I75" s="12">
        <f t="shared" si="197"/>
        <v>0</v>
      </c>
      <c r="J75" s="12">
        <f t="shared" si="197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s="16" t="s">
        <v>1303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s="16" t="s">
        <v>1303</v>
      </c>
      <c r="AO75">
        <f>_xlfn.XLOOKUP(AN75,'KPI Impacts'!$B$2:$H$2,'KPI Impacts'!$B75:$H75)</f>
        <v>0</v>
      </c>
      <c r="AR75" s="19" t="s">
        <v>1318</v>
      </c>
      <c r="AS75" s="19" t="s">
        <v>1318</v>
      </c>
      <c r="AT75" s="19" t="s">
        <v>1318</v>
      </c>
      <c r="AU75" s="19" t="s">
        <v>1318</v>
      </c>
      <c r="AV75" s="19" t="s">
        <v>1318</v>
      </c>
      <c r="AW75" s="19" t="s">
        <v>1318</v>
      </c>
      <c r="AX75" s="19" t="s">
        <v>1318</v>
      </c>
      <c r="AY75" s="19" t="s">
        <v>1318</v>
      </c>
      <c r="AZ75" s="19" t="s">
        <v>1318</v>
      </c>
      <c r="BA75" s="19" t="s">
        <v>1318</v>
      </c>
      <c r="BB75" s="19" t="s">
        <v>1318</v>
      </c>
      <c r="BC75" s="19" t="s">
        <v>1318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1303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16" t="s">
        <v>1303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16" t="s">
        <v>1303</v>
      </c>
      <c r="CS75">
        <f>_xlfn.XLOOKUP(CR75,'KPI Impacts'!$B$2:$H$2,'KPI Impacts'!$B75:$H75)</f>
        <v>0</v>
      </c>
      <c r="CW75" s="12"/>
      <c r="CX75" s="12"/>
      <c r="CY75" s="12"/>
      <c r="CZ75" s="12"/>
      <c r="DA75" s="12"/>
      <c r="DB75" s="12"/>
      <c r="DC75" s="12"/>
      <c r="DD75" s="12"/>
      <c r="DE75" s="12"/>
    </row>
    <row r="76" spans="1:109" x14ac:dyDescent="0.2">
      <c r="A76" t="s">
        <v>1311</v>
      </c>
      <c r="B76" s="12">
        <f>P76+AD76+BF76+BT76+CH76</f>
        <v>0</v>
      </c>
      <c r="C76" s="12">
        <f t="shared" ref="C76" si="198">Q76+AE76+BG76+BU76+CI76</f>
        <v>0</v>
      </c>
      <c r="D76" s="12">
        <f t="shared" ref="D76" si="199">R76+AF76+BH76+BV76+CJ76</f>
        <v>0</v>
      </c>
      <c r="E76" s="12">
        <f t="shared" ref="E76" si="200">S76+AG76+BI76+BW76+CK76</f>
        <v>0</v>
      </c>
      <c r="F76" s="12">
        <f t="shared" ref="F76" si="201">T76+AH76+BJ76+BX76+CL76</f>
        <v>0</v>
      </c>
      <c r="G76" s="12">
        <f t="shared" ref="G76" si="202">U76+AI76+BK76+BY76+CM76</f>
        <v>0</v>
      </c>
      <c r="H76" s="12">
        <f t="shared" ref="H76" si="203">V76+AJ76+BL76+BZ76+CN76</f>
        <v>0</v>
      </c>
      <c r="I76" s="12">
        <f t="shared" ref="I76" si="204">W76+AK76+BM76+CA76+CO76</f>
        <v>0</v>
      </c>
      <c r="J76" s="12">
        <f t="shared" ref="J76" si="205">X76+AL76+BN76+CB76+CP76</f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s="16" t="s">
        <v>1303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s="16" t="s">
        <v>1303</v>
      </c>
      <c r="AO76">
        <f>_xlfn.XLOOKUP(AN76,'KPI Impacts'!$B$2:$H$2,'KPI Impacts'!$B76:$H76)</f>
        <v>0</v>
      </c>
      <c r="AR76" s="19" t="s">
        <v>1318</v>
      </c>
      <c r="AS76" s="19" t="s">
        <v>1318</v>
      </c>
      <c r="AT76" s="19" t="s">
        <v>1318</v>
      </c>
      <c r="AU76" s="19" t="s">
        <v>1318</v>
      </c>
      <c r="AV76" s="19" t="s">
        <v>1318</v>
      </c>
      <c r="AW76" s="19" t="s">
        <v>1318</v>
      </c>
      <c r="AX76" s="19" t="s">
        <v>1318</v>
      </c>
      <c r="AY76" s="19" t="s">
        <v>1318</v>
      </c>
      <c r="AZ76" s="19" t="s">
        <v>1318</v>
      </c>
      <c r="BA76" s="19" t="s">
        <v>1318</v>
      </c>
      <c r="BB76" s="19" t="s">
        <v>1318</v>
      </c>
      <c r="BC76" s="19" t="s">
        <v>1318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1303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1303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1303</v>
      </c>
      <c r="CS76">
        <f>_xlfn.XLOOKUP(CR76,'KPI Impacts'!$B$2:$H$2,'KPI Impacts'!$B76:$H76)</f>
        <v>0</v>
      </c>
      <c r="CW76" s="12"/>
      <c r="CX76" s="12"/>
      <c r="CY76" s="12"/>
      <c r="CZ76" s="12"/>
      <c r="DA76" s="12"/>
      <c r="DB76" s="12"/>
      <c r="DC76" s="12"/>
      <c r="DD76" s="12"/>
      <c r="DE76" s="12"/>
    </row>
    <row r="77" spans="1:109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Z77" s="16"/>
      <c r="AN77" s="16"/>
      <c r="BB77" s="16"/>
      <c r="BP77" s="16"/>
      <c r="CD77" s="16"/>
      <c r="CR77" s="16"/>
      <c r="CZ77" s="12"/>
      <c r="DA77" s="12"/>
    </row>
    <row r="78" spans="1:109" hidden="1" x14ac:dyDescent="0.2">
      <c r="Z78" s="16"/>
      <c r="AN78" s="16"/>
      <c r="BB78" s="16"/>
      <c r="BP78" s="16"/>
      <c r="CD78" s="16"/>
      <c r="CR78" s="16"/>
      <c r="CZ78" s="12"/>
      <c r="DA78" s="12"/>
    </row>
    <row r="79" spans="1:109" hidden="1" x14ac:dyDescent="0.2">
      <c r="Z79" s="16"/>
      <c r="AN79" s="16"/>
      <c r="BB79" s="16"/>
      <c r="BP79" s="16"/>
      <c r="CD79" s="16"/>
      <c r="CR79" s="16"/>
      <c r="CZ79" s="12"/>
      <c r="DA79" s="12"/>
    </row>
    <row r="80" spans="1:109" x14ac:dyDescent="0.2">
      <c r="Z80" s="16"/>
      <c r="AN80" s="16"/>
      <c r="BB80" s="16"/>
      <c r="BP80" s="16"/>
      <c r="CD80" s="16"/>
      <c r="CR80" s="16"/>
      <c r="CZ80" s="12"/>
      <c r="DA80" s="12"/>
    </row>
    <row r="81" spans="1:109" x14ac:dyDescent="0.2">
      <c r="A81" s="5" t="s">
        <v>51</v>
      </c>
      <c r="Z81" s="16"/>
      <c r="AN81" s="16"/>
      <c r="BB81" s="16"/>
      <c r="BP81" s="16"/>
      <c r="CD81" s="16"/>
      <c r="CR81" s="16"/>
      <c r="CZ81" s="12"/>
      <c r="DA81" s="12"/>
    </row>
    <row r="82" spans="1:109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Z82" s="16"/>
      <c r="AD82" s="12"/>
      <c r="AE82" s="12"/>
      <c r="AF82" s="12"/>
      <c r="AG82" s="12"/>
      <c r="AH82" s="12"/>
      <c r="AI82" s="12"/>
      <c r="AJ82" s="12"/>
      <c r="AK82" s="12"/>
      <c r="AL82" s="12"/>
      <c r="AN82" s="16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W82" s="12"/>
      <c r="CX82" s="12"/>
      <c r="CY82" s="12"/>
      <c r="CZ82" s="12"/>
      <c r="DA82" s="12"/>
      <c r="DB82" s="12"/>
      <c r="DC82" s="12"/>
      <c r="DD82" s="12"/>
      <c r="DE82" s="12"/>
    </row>
    <row r="83" spans="1:109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Z83" s="16"/>
      <c r="AD83" s="12"/>
      <c r="AE83" s="12"/>
      <c r="AF83" s="12"/>
      <c r="AG83" s="12"/>
      <c r="AH83" s="12"/>
      <c r="AI83" s="12"/>
      <c r="AJ83" s="12"/>
      <c r="AK83" s="12"/>
      <c r="AL83" s="12"/>
      <c r="AN83" s="16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W83" s="12"/>
      <c r="CX83" s="12"/>
      <c r="CY83" s="12"/>
      <c r="CZ83" s="12"/>
      <c r="DA83" s="12"/>
      <c r="DB83" s="12"/>
      <c r="DC83" s="12"/>
      <c r="DD83" s="12"/>
      <c r="DE83" s="12"/>
    </row>
    <row r="84" spans="1:109" x14ac:dyDescent="0.2">
      <c r="A84" s="17" t="s">
        <v>1709</v>
      </c>
      <c r="B84" s="12">
        <f>P84+AD84+AR84+BF84+BT84+CH84</f>
        <v>0</v>
      </c>
      <c r="C84" s="12">
        <f t="shared" ref="C84:C86" si="206">Q84+AE84+AS84+BG84+BU84+CI84</f>
        <v>0</v>
      </c>
      <c r="D84" s="12">
        <f t="shared" ref="D84:D86" si="207">R84+AF84+AT84+BH84+BV84+CJ84</f>
        <v>0</v>
      </c>
      <c r="E84" s="12">
        <f t="shared" ref="E84:E86" si="208">S84+AG84+AU84+BI84+BW84+CK84</f>
        <v>0</v>
      </c>
      <c r="F84" s="12">
        <f t="shared" ref="F84:F86" si="209">T84+AH84+AV84+BJ84+BX84+CL84</f>
        <v>0</v>
      </c>
      <c r="G84" s="12">
        <f t="shared" ref="G84:G86" si="210">U84+AI84+AW84+BK84+BY84+CM84</f>
        <v>0</v>
      </c>
      <c r="H84" s="12">
        <f t="shared" ref="H84:H86" si="211">V84+AJ84+AX84+BL84+BZ84+CN84</f>
        <v>0</v>
      </c>
      <c r="I84" s="12">
        <f t="shared" ref="I84:I86" si="212">W84+AK84+AY84+BM84+CA84+CO84</f>
        <v>0</v>
      </c>
      <c r="J84" s="12">
        <f t="shared" ref="J84:J86" si="213">X84+AL84+AZ84+BN84+CB84+CP84</f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s="16" t="s">
        <v>1303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s="16" t="s">
        <v>1303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16" t="s">
        <v>1303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1303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1303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1303</v>
      </c>
      <c r="CS84">
        <f>_xlfn.XLOOKUP(CR84,'KPI Impacts'!$B$2:$H$2,'KPI Impacts'!$B84:$H84)</f>
        <v>0</v>
      </c>
      <c r="CZ84" s="12"/>
      <c r="DA84" s="12"/>
    </row>
    <row r="85" spans="1:109" x14ac:dyDescent="0.2">
      <c r="A85" s="9" t="s">
        <v>1314</v>
      </c>
      <c r="B85" s="12">
        <f>P85+AD85+AR85+BF85+BT85+CH85</f>
        <v>0</v>
      </c>
      <c r="C85" s="12">
        <f t="shared" si="206"/>
        <v>0</v>
      </c>
      <c r="D85" s="12">
        <f t="shared" si="207"/>
        <v>0</v>
      </c>
      <c r="E85" s="12">
        <f t="shared" si="208"/>
        <v>0</v>
      </c>
      <c r="F85" s="12">
        <f t="shared" si="209"/>
        <v>0</v>
      </c>
      <c r="G85" s="12">
        <f t="shared" si="210"/>
        <v>0</v>
      </c>
      <c r="H85" s="12">
        <f t="shared" si="211"/>
        <v>0</v>
      </c>
      <c r="I85" s="12">
        <f t="shared" si="212"/>
        <v>0</v>
      </c>
      <c r="J85" s="12">
        <f t="shared" si="213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s="16" t="s">
        <v>1303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s="29" t="s">
        <v>1304</v>
      </c>
      <c r="AO85">
        <f>_xlfn.XLOOKUP(AN85,'KPI Impacts'!$B$2:$H$2,'KPI Impacts'!$B85:$H85)</f>
        <v>-1.6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1303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1303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1303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1303</v>
      </c>
      <c r="CS85">
        <f>_xlfn.XLOOKUP(CR85,'KPI Impacts'!$B$2:$H$2,'KPI Impacts'!$B85:$H85)</f>
        <v>0</v>
      </c>
      <c r="CW85" s="12"/>
      <c r="CX85" s="12"/>
      <c r="CY85" s="12"/>
      <c r="CZ85" s="12"/>
      <c r="DA85" s="12"/>
      <c r="DB85" s="12"/>
      <c r="DC85" s="12"/>
      <c r="DD85" s="12"/>
      <c r="DE85" s="12"/>
    </row>
    <row r="86" spans="1:109" x14ac:dyDescent="0.2">
      <c r="A86" s="9" t="s">
        <v>1315</v>
      </c>
      <c r="B86" s="12">
        <f>P86+AD86+AR86+BF86+BT86+CH86</f>
        <v>0</v>
      </c>
      <c r="C86" s="12">
        <f t="shared" si="206"/>
        <v>0</v>
      </c>
      <c r="D86" s="12">
        <f t="shared" si="207"/>
        <v>0</v>
      </c>
      <c r="E86" s="12">
        <f t="shared" si="208"/>
        <v>0</v>
      </c>
      <c r="F86" s="12">
        <f t="shared" si="209"/>
        <v>0</v>
      </c>
      <c r="G86" s="12">
        <f t="shared" si="210"/>
        <v>0</v>
      </c>
      <c r="H86" s="12">
        <f t="shared" si="211"/>
        <v>0</v>
      </c>
      <c r="I86" s="12">
        <f t="shared" si="212"/>
        <v>0</v>
      </c>
      <c r="J86" s="12">
        <f t="shared" si="213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s="16" t="s">
        <v>1303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s="16" t="s">
        <v>1303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1303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1303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1303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1303</v>
      </c>
      <c r="CS86">
        <f>_xlfn.XLOOKUP(CR86,'KPI Impacts'!$B$2:$H$2,'KPI Impacts'!$B86:$H86)</f>
        <v>0</v>
      </c>
      <c r="CW86" s="12"/>
      <c r="CX86" s="12"/>
      <c r="CY86" s="12"/>
      <c r="CZ86" s="12"/>
      <c r="DA86" s="12"/>
      <c r="DB86" s="12"/>
      <c r="DC86" s="12"/>
      <c r="DD86" s="12"/>
      <c r="DE86" s="12"/>
    </row>
    <row r="87" spans="1:109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Z87" s="16"/>
      <c r="AN87" s="16"/>
      <c r="BB87" s="16"/>
      <c r="BP87" s="16"/>
      <c r="CD87" s="16"/>
      <c r="CR87" s="16"/>
      <c r="CZ87" s="12"/>
      <c r="DA87" s="12"/>
    </row>
    <row r="88" spans="1:109" x14ac:dyDescent="0.2">
      <c r="A88" s="9" t="s">
        <v>1290</v>
      </c>
      <c r="B88" s="12">
        <f>P88+AD88+AR88+BF88+BT88+CH88</f>
        <v>0</v>
      </c>
      <c r="C88" s="12">
        <f t="shared" ref="C88" si="214">Q88+AE88+AS88+BG88+BU88+CI88</f>
        <v>0</v>
      </c>
      <c r="D88" s="12">
        <f t="shared" ref="D88" si="215">R88+AF88+AT88+BH88+BV88+CJ88</f>
        <v>0</v>
      </c>
      <c r="E88" s="12">
        <f t="shared" ref="E88" si="216">S88+AG88+AU88+BI88+BW88+CK88</f>
        <v>0</v>
      </c>
      <c r="F88" s="12">
        <f t="shared" ref="F88" si="217">T88+AH88+AV88+BJ88+BX88+CL88</f>
        <v>0</v>
      </c>
      <c r="G88" s="12">
        <f t="shared" ref="G88" si="218">U88+AI88+AW88+BK88+BY88+CM88</f>
        <v>0</v>
      </c>
      <c r="H88" s="12">
        <f t="shared" ref="H88" si="219">V88+AJ88+AX88+BL88+BZ88+CN88</f>
        <v>0</v>
      </c>
      <c r="I88" s="12">
        <f t="shared" ref="I88" si="220">W88+AK88+AY88+BM88+CA88+CO88</f>
        <v>0</v>
      </c>
      <c r="J88" s="12">
        <f t="shared" ref="J88" si="221">X88+AL88+AZ88+BN88+CB88+CP88</f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s="16" t="s">
        <v>1303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s="16" t="s">
        <v>1303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1303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1303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1303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1303</v>
      </c>
      <c r="CS88">
        <f>_xlfn.XLOOKUP(CR88,'KPI Impacts'!$B$2:$H$2,'KPI Impacts'!$B88:$H88)</f>
        <v>0</v>
      </c>
      <c r="CW88" s="12"/>
      <c r="CX88" s="12"/>
      <c r="CY88" s="12"/>
      <c r="CZ88" s="12"/>
      <c r="DA88" s="12"/>
      <c r="DB88" s="12"/>
      <c r="DC88" s="12"/>
      <c r="DD88" s="12"/>
      <c r="DE88" s="12"/>
    </row>
    <row r="89" spans="1:109" hidden="1" x14ac:dyDescent="0.2">
      <c r="Z89" s="16"/>
      <c r="AA89">
        <v>1</v>
      </c>
      <c r="AN89" s="16"/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CZ89" s="12"/>
      <c r="DA89" s="12"/>
    </row>
    <row r="90" spans="1:109" hidden="1" x14ac:dyDescent="0.2">
      <c r="Z90" s="16"/>
      <c r="AA90">
        <v>1</v>
      </c>
      <c r="AN90" s="16"/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CZ90" s="12"/>
      <c r="DA90" s="12"/>
    </row>
    <row r="91" spans="1:109" x14ac:dyDescent="0.2">
      <c r="Z91" s="16"/>
      <c r="AN91" s="16"/>
      <c r="BB91" s="16"/>
      <c r="BP91" s="16"/>
      <c r="CD91" s="16"/>
      <c r="CR91" s="16"/>
      <c r="CZ91" s="12"/>
      <c r="DA91" s="12"/>
    </row>
    <row r="92" spans="1:109" x14ac:dyDescent="0.2">
      <c r="A92" s="5" t="s">
        <v>52</v>
      </c>
      <c r="Z92" s="16"/>
      <c r="AN92" s="16"/>
      <c r="BB92" s="16"/>
      <c r="BP92" s="16"/>
      <c r="CD92" s="16"/>
      <c r="CR92" s="16"/>
      <c r="CZ92" s="12"/>
      <c r="DA92" s="12"/>
    </row>
    <row r="93" spans="1:109" x14ac:dyDescent="0.2">
      <c r="A93" t="s">
        <v>56</v>
      </c>
      <c r="B93" s="12">
        <f>P93+AD93+AR93+BF93+BT93+CH93</f>
        <v>0</v>
      </c>
      <c r="C93" s="12">
        <f t="shared" ref="C93:C96" si="222">Q93+AE93+AS93+BG93+BU93+CI93</f>
        <v>0</v>
      </c>
      <c r="D93" s="12">
        <f t="shared" ref="D93:D96" si="223">R93+AF93+AT93+BH93+BV93+CJ93</f>
        <v>0</v>
      </c>
      <c r="E93" s="12">
        <f t="shared" ref="E93:E96" si="224">S93+AG93+AU93+BI93+BW93+CK93</f>
        <v>0</v>
      </c>
      <c r="F93" s="12">
        <f t="shared" ref="F93:F96" si="225">T93+AH93+AV93+BJ93+BX93+CL93</f>
        <v>0</v>
      </c>
      <c r="G93" s="12">
        <f t="shared" ref="G93:G96" si="226">U93+AI93+AW93+BK93+BY93+CM93</f>
        <v>0</v>
      </c>
      <c r="H93" s="12">
        <f t="shared" ref="H93:H96" si="227">V93+AJ93+AX93+BL93+BZ93+CN93</f>
        <v>0</v>
      </c>
      <c r="I93" s="12">
        <f t="shared" ref="I93:I96" si="228">W93+AK93+AY93+BM93+CA93+CO93</f>
        <v>0</v>
      </c>
      <c r="J93" s="12">
        <f t="shared" ref="J93:J96" si="229">X93+AL93+AZ93+BN93+CB93+CP93</f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s="16" t="s">
        <v>1303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s="16" t="s">
        <v>1303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16" t="s">
        <v>1303</v>
      </c>
      <c r="BC93">
        <f>_xlfn.XLOOKUP(BB93,'KPI Impacts'!$B$2:$H$2,'KPI Impacts'!$B93:$H93)</f>
        <v>0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s="29" t="s">
        <v>1305</v>
      </c>
      <c r="BQ93">
        <f>_xlfn.XLOOKUP(BP93,'KPI Impacts'!$B$2:$H$2,'KPI Impacts'!$B93:$H93)</f>
        <v>-2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16" t="s">
        <v>1303</v>
      </c>
      <c r="CE93">
        <f>_xlfn.XLOOKUP(CD93,'KPI Impacts'!$B$2:$H$2,'KPI Impacts'!$B93:$H93)</f>
        <v>0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16" t="s">
        <v>1303</v>
      </c>
      <c r="CS93">
        <f>_xlfn.XLOOKUP(CR93,'KPI Impacts'!$B$2:$H$2,'KPI Impacts'!$B93:$H93)</f>
        <v>0</v>
      </c>
      <c r="CW93" s="12"/>
      <c r="CX93" s="12"/>
      <c r="CY93" s="12"/>
      <c r="CZ93" s="12"/>
      <c r="DA93" s="12"/>
      <c r="DB93" s="12"/>
      <c r="DC93" s="12"/>
      <c r="DD93" s="12"/>
      <c r="DE93" s="12"/>
    </row>
    <row r="94" spans="1:109" x14ac:dyDescent="0.2">
      <c r="A94" s="9" t="s">
        <v>1711</v>
      </c>
      <c r="B94" s="12">
        <f>P94+AD94+AR94+BF94+BT94+CH94</f>
        <v>0</v>
      </c>
      <c r="C94" s="12">
        <f t="shared" si="222"/>
        <v>0</v>
      </c>
      <c r="D94" s="12">
        <f t="shared" si="223"/>
        <v>0</v>
      </c>
      <c r="E94" s="12">
        <f t="shared" si="224"/>
        <v>0</v>
      </c>
      <c r="F94" s="12">
        <f t="shared" si="225"/>
        <v>0</v>
      </c>
      <c r="G94" s="12">
        <f t="shared" si="226"/>
        <v>0</v>
      </c>
      <c r="H94" s="12">
        <f t="shared" si="227"/>
        <v>0</v>
      </c>
      <c r="I94" s="12">
        <f t="shared" si="228"/>
        <v>0</v>
      </c>
      <c r="J94" s="12">
        <f t="shared" si="229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s="16" t="s">
        <v>1303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s="16" t="s">
        <v>1303</v>
      </c>
      <c r="AO94">
        <f>_xlfn.XLOOKUP(AN94,'KPI Impacts'!$B$2:$H$2,'KPI Impacts'!$B94:$H94)</f>
        <v>0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1303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1303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1303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1303</v>
      </c>
      <c r="CS94">
        <f>_xlfn.XLOOKUP(CR94,'KPI Impacts'!$B$2:$H$2,'KPI Impacts'!$B94:$H94)</f>
        <v>0</v>
      </c>
      <c r="CW94" s="12"/>
      <c r="CX94" s="12"/>
      <c r="CY94" s="12"/>
      <c r="CZ94" s="12"/>
      <c r="DA94" s="12"/>
      <c r="DB94" s="12"/>
      <c r="DC94" s="12"/>
      <c r="DD94" s="12"/>
      <c r="DE94" s="12"/>
    </row>
    <row r="95" spans="1:109" x14ac:dyDescent="0.2">
      <c r="A95" t="s">
        <v>1316</v>
      </c>
      <c r="B95" s="12">
        <f>P95+AD95+AR95+BF95+BT95+CH95</f>
        <v>0</v>
      </c>
      <c r="C95" s="12">
        <f t="shared" si="222"/>
        <v>0</v>
      </c>
      <c r="D95" s="12">
        <f t="shared" si="223"/>
        <v>0</v>
      </c>
      <c r="E95" s="12">
        <f t="shared" si="224"/>
        <v>0</v>
      </c>
      <c r="F95" s="12">
        <f t="shared" si="225"/>
        <v>0</v>
      </c>
      <c r="G95" s="12">
        <f t="shared" si="226"/>
        <v>0</v>
      </c>
      <c r="H95" s="12">
        <f t="shared" si="227"/>
        <v>0</v>
      </c>
      <c r="I95" s="12">
        <f t="shared" si="228"/>
        <v>0</v>
      </c>
      <c r="J95" s="12">
        <f t="shared" si="229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s="16" t="s">
        <v>1303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s="16" t="s">
        <v>1303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1303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1303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1303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1303</v>
      </c>
      <c r="CS95">
        <f>_xlfn.XLOOKUP(CR95,'KPI Impacts'!$B$2:$H$2,'KPI Impacts'!$B95:$H95)</f>
        <v>0</v>
      </c>
      <c r="CW95" s="12"/>
      <c r="CX95" s="12"/>
      <c r="CY95" s="12"/>
      <c r="CZ95" s="12"/>
      <c r="DA95" s="12"/>
      <c r="DB95" s="12"/>
      <c r="DC95" s="12"/>
      <c r="DD95" s="12"/>
      <c r="DE95" s="12"/>
    </row>
    <row r="96" spans="1:109" x14ac:dyDescent="0.2">
      <c r="A96" t="s">
        <v>1317</v>
      </c>
      <c r="B96" s="12">
        <f>P96+AD96+AR96+BF96+BT96+CH96</f>
        <v>0</v>
      </c>
      <c r="C96" s="12">
        <f t="shared" si="222"/>
        <v>0</v>
      </c>
      <c r="D96" s="12">
        <f t="shared" si="223"/>
        <v>0</v>
      </c>
      <c r="E96" s="12">
        <f t="shared" si="224"/>
        <v>0</v>
      </c>
      <c r="F96" s="12">
        <f t="shared" si="225"/>
        <v>0</v>
      </c>
      <c r="G96" s="12">
        <f t="shared" si="226"/>
        <v>0</v>
      </c>
      <c r="H96" s="12">
        <f t="shared" si="227"/>
        <v>0</v>
      </c>
      <c r="I96" s="12">
        <f t="shared" si="228"/>
        <v>0</v>
      </c>
      <c r="J96" s="12">
        <f t="shared" si="229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s="16" t="s">
        <v>1303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s="16" t="s">
        <v>1303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1303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1303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1303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1303</v>
      </c>
      <c r="CS96">
        <f>_xlfn.XLOOKUP(CR96,'KPI Impacts'!$B$2:$H$2,'KPI Impacts'!$B96:$H96)</f>
        <v>0</v>
      </c>
      <c r="CW96" s="12"/>
      <c r="CX96" s="12"/>
      <c r="CY96" s="12"/>
      <c r="CZ96" s="12"/>
      <c r="DA96" s="12"/>
      <c r="DB96" s="12"/>
      <c r="DC96" s="12"/>
      <c r="DD96" s="12"/>
      <c r="DE96" s="12"/>
    </row>
    <row r="97" spans="1:109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Z97" s="16"/>
      <c r="AN97" s="16"/>
      <c r="BB97" s="16"/>
      <c r="BP97" s="16"/>
      <c r="CD97" s="16"/>
      <c r="CR97" s="16"/>
      <c r="CZ97" s="12"/>
      <c r="DA97" s="12"/>
    </row>
    <row r="98" spans="1:109" hidden="1" x14ac:dyDescent="0.2">
      <c r="Z98" s="16"/>
      <c r="AN98" s="16"/>
      <c r="BB98" s="16"/>
      <c r="BP98" s="16"/>
      <c r="CD98" s="16"/>
      <c r="CR98" s="16"/>
      <c r="CZ98" s="12"/>
      <c r="DA98" s="12"/>
    </row>
    <row r="99" spans="1:109" hidden="1" x14ac:dyDescent="0.2">
      <c r="Z99" s="16"/>
      <c r="AN99" s="16"/>
      <c r="BB99" s="16"/>
      <c r="BP99" s="16"/>
      <c r="CD99" s="16"/>
      <c r="CR99" s="16"/>
      <c r="CZ99" s="12"/>
      <c r="DA99" s="12"/>
    </row>
    <row r="100" spans="1:109" x14ac:dyDescent="0.2">
      <c r="Z100" s="16"/>
      <c r="AN100" s="16"/>
      <c r="BB100" s="16"/>
      <c r="BP100" s="16"/>
      <c r="CD100" s="16"/>
      <c r="CR100" s="16"/>
      <c r="CZ100" s="12"/>
      <c r="DA100" s="12"/>
    </row>
    <row r="101" spans="1:109" x14ac:dyDescent="0.2">
      <c r="A101" s="5" t="s">
        <v>53</v>
      </c>
      <c r="Z101" s="16"/>
      <c r="AN101" s="16"/>
      <c r="BB101" s="16"/>
      <c r="BP101" s="16"/>
      <c r="CD101" s="16"/>
      <c r="CR101" s="16"/>
      <c r="CZ101" s="12"/>
      <c r="DA101" s="12"/>
    </row>
    <row r="102" spans="1:109" x14ac:dyDescent="0.2">
      <c r="A102" t="s">
        <v>57</v>
      </c>
      <c r="B102" s="12">
        <f>P102+AD102+AR102+BF102+BT102+CH102</f>
        <v>0</v>
      </c>
      <c r="C102" s="12">
        <f t="shared" ref="C102:C104" si="230">Q102+AE102+AS102+BG102+BU102+CI102</f>
        <v>0</v>
      </c>
      <c r="D102" s="12">
        <f t="shared" ref="D102:D104" si="231">R102+AF102+AT102+BH102+BV102+CJ102</f>
        <v>0</v>
      </c>
      <c r="E102" s="12">
        <f t="shared" ref="E102:E104" si="232">S102+AG102+AU102+BI102+BW102+CK102</f>
        <v>0</v>
      </c>
      <c r="F102" s="12">
        <f t="shared" ref="F102:F104" si="233">T102+AH102+AV102+BJ102+BX102+CL102</f>
        <v>0</v>
      </c>
      <c r="G102" s="12">
        <f t="shared" ref="G102:G104" si="234">U102+AI102+AW102+BK102+BY102+CM102</f>
        <v>0</v>
      </c>
      <c r="H102" s="12">
        <f t="shared" ref="H102:H104" si="235">V102+AJ102+AX102+BL102+BZ102+CN102</f>
        <v>0</v>
      </c>
      <c r="I102" s="12">
        <f t="shared" ref="I102:I104" si="236">W102+AK102+AY102+BM102+CA102+CO102</f>
        <v>0</v>
      </c>
      <c r="J102" s="12">
        <f t="shared" ref="J102:J104" si="237">X102+AL102+AZ102+BN102+CB102+CP102</f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s="29" t="s">
        <v>1304</v>
      </c>
      <c r="AA102">
        <f>_xlfn.XLOOKUP(Z102,'KPI Impacts'!$B$2:$H$2,'KPI Impacts'!$B102:$H102)</f>
        <v>-0.8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s="16" t="s">
        <v>1303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1303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1303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1303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1303</v>
      </c>
      <c r="CS102">
        <f>_xlfn.XLOOKUP(CR102,'KPI Impacts'!$B$2:$H$2,'KPI Impacts'!$B102:$H102)</f>
        <v>0</v>
      </c>
      <c r="CW102" s="12"/>
      <c r="CX102" s="12"/>
      <c r="CY102" s="12"/>
      <c r="CZ102" s="12"/>
      <c r="DA102" s="12"/>
      <c r="DB102" s="12"/>
      <c r="DC102" s="12"/>
      <c r="DD102" s="12"/>
      <c r="DE102" s="12"/>
    </row>
    <row r="103" spans="1:109" x14ac:dyDescent="0.2">
      <c r="A103" t="s">
        <v>58</v>
      </c>
      <c r="B103" s="12">
        <f>P103+AD103+AR103+BF103+BT103+CH103</f>
        <v>0</v>
      </c>
      <c r="C103" s="12">
        <f t="shared" si="230"/>
        <v>0</v>
      </c>
      <c r="D103" s="12">
        <f t="shared" si="231"/>
        <v>0</v>
      </c>
      <c r="E103" s="12">
        <f t="shared" si="232"/>
        <v>0</v>
      </c>
      <c r="F103" s="12">
        <f t="shared" si="233"/>
        <v>0</v>
      </c>
      <c r="G103" s="12">
        <f t="shared" si="234"/>
        <v>0</v>
      </c>
      <c r="H103" s="12">
        <f t="shared" si="235"/>
        <v>0</v>
      </c>
      <c r="I103" s="12">
        <f t="shared" si="236"/>
        <v>0</v>
      </c>
      <c r="J103" s="12">
        <f t="shared" si="237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s="29" t="s">
        <v>1306</v>
      </c>
      <c r="AA103">
        <f>_xlfn.XLOOKUP(Z103,'KPI Impacts'!$B$2:$H$2,'KPI Impacts'!$B103:$H103)</f>
        <v>-0.8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s="16" t="s">
        <v>1303</v>
      </c>
      <c r="AO103">
        <f>_xlfn.XLOOKUP(AN103,'KPI Impacts'!$B$2:$H$2,'KPI Impacts'!$B103:$H103)</f>
        <v>0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1303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1303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1303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16" t="s">
        <v>1303</v>
      </c>
      <c r="CS103">
        <f>_xlfn.XLOOKUP(CR103,'KPI Impacts'!$B$2:$H$2,'KPI Impacts'!$B103:$H103)</f>
        <v>0</v>
      </c>
      <c r="CW103" s="12"/>
      <c r="CX103" s="12"/>
      <c r="CY103" s="12"/>
      <c r="CZ103" s="12"/>
      <c r="DA103" s="12"/>
      <c r="DB103" s="12"/>
      <c r="DC103" s="12"/>
      <c r="DD103" s="12"/>
      <c r="DE103" s="12"/>
    </row>
    <row r="104" spans="1:109" x14ac:dyDescent="0.2">
      <c r="A104" t="s">
        <v>1295</v>
      </c>
      <c r="B104" s="12">
        <f>P104+AD104+AR104+BF104+BT104+CH104</f>
        <v>0</v>
      </c>
      <c r="C104" s="12">
        <f t="shared" si="230"/>
        <v>0</v>
      </c>
      <c r="D104" s="12">
        <f t="shared" si="231"/>
        <v>0</v>
      </c>
      <c r="E104" s="12">
        <f t="shared" si="232"/>
        <v>0</v>
      </c>
      <c r="F104" s="12">
        <f t="shared" si="233"/>
        <v>0</v>
      </c>
      <c r="G104" s="12">
        <f t="shared" si="234"/>
        <v>0</v>
      </c>
      <c r="H104" s="12">
        <f t="shared" si="235"/>
        <v>0</v>
      </c>
      <c r="I104" s="12">
        <f t="shared" si="236"/>
        <v>0</v>
      </c>
      <c r="J104" s="12">
        <f t="shared" si="237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s="16" t="s">
        <v>1303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s="16" t="s">
        <v>1303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1303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16" t="s">
        <v>1303</v>
      </c>
      <c r="BQ104">
        <f>_xlfn.XLOOKUP(BP104,'KPI Impacts'!$B$2:$H$2,'KPI Impacts'!$B104:$H104)</f>
        <v>0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s="29" t="s">
        <v>1304</v>
      </c>
      <c r="CE104">
        <f>_xlfn.XLOOKUP(CD104,'KPI Impacts'!$B$2:$H$2,'KPI Impacts'!$B104:$H104)</f>
        <v>-1.6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1303</v>
      </c>
      <c r="CS104">
        <f>_xlfn.XLOOKUP(CR104,'KPI Impacts'!$B$2:$H$2,'KPI Impacts'!$B104:$H104)</f>
        <v>0</v>
      </c>
      <c r="CW104" s="12"/>
      <c r="CX104" s="12"/>
      <c r="CY104" s="12"/>
      <c r="CZ104" s="12"/>
      <c r="DA104" s="12"/>
      <c r="DB104" s="12"/>
      <c r="DC104" s="12"/>
      <c r="DD104" s="12"/>
      <c r="DE104" s="12"/>
    </row>
    <row r="105" spans="1:109" x14ac:dyDescent="0.2">
      <c r="CZ105" s="12"/>
      <c r="DA105" s="12"/>
    </row>
    <row r="106" spans="1:109" x14ac:dyDescent="0.2">
      <c r="CZ106" s="12"/>
      <c r="DA106" s="12"/>
    </row>
    <row r="107" spans="1:109" x14ac:dyDescent="0.2">
      <c r="CZ107" s="12"/>
      <c r="DA107" s="12"/>
    </row>
    <row r="108" spans="1:109" x14ac:dyDescent="0.2">
      <c r="A108" s="5"/>
      <c r="CZ108" s="12"/>
      <c r="DA108" s="12"/>
    </row>
    <row r="109" spans="1:109" x14ac:dyDescent="0.2">
      <c r="CZ109" s="12"/>
      <c r="DA109" s="12"/>
    </row>
    <row r="110" spans="1:109" x14ac:dyDescent="0.2">
      <c r="CZ110" s="12"/>
      <c r="DA110" s="12"/>
    </row>
    <row r="111" spans="1:109" x14ac:dyDescent="0.2">
      <c r="CZ111" s="12"/>
      <c r="DA111" s="12"/>
    </row>
    <row r="112" spans="1:109" x14ac:dyDescent="0.2">
      <c r="CZ112" s="12"/>
      <c r="DA112" s="12"/>
    </row>
    <row r="113" spans="104:105" x14ac:dyDescent="0.2">
      <c r="CZ113" s="12"/>
      <c r="DA113" s="12"/>
    </row>
    <row r="114" spans="104:105" x14ac:dyDescent="0.2">
      <c r="CZ114" s="12"/>
      <c r="DA114" s="12"/>
    </row>
    <row r="115" spans="104:105" x14ac:dyDescent="0.2">
      <c r="CZ115" s="12"/>
      <c r="DA115" s="12"/>
    </row>
    <row r="116" spans="104:105" x14ac:dyDescent="0.2">
      <c r="CZ116" s="12"/>
      <c r="DA116" s="12"/>
    </row>
    <row r="117" spans="104:105" x14ac:dyDescent="0.2">
      <c r="CZ117" s="12"/>
      <c r="DA117" s="12"/>
    </row>
    <row r="118" spans="104:105" x14ac:dyDescent="0.2">
      <c r="CZ118" s="12"/>
      <c r="DA118" s="12"/>
    </row>
    <row r="119" spans="104:105" x14ac:dyDescent="0.2">
      <c r="CZ119" s="12"/>
      <c r="DA119" s="12"/>
    </row>
    <row r="120" spans="104:105" x14ac:dyDescent="0.2">
      <c r="CZ120" s="12"/>
      <c r="DA120" s="12"/>
    </row>
    <row r="121" spans="104:105" x14ac:dyDescent="0.2">
      <c r="CZ121" s="12"/>
      <c r="DA121" s="12"/>
    </row>
    <row r="122" spans="104:105" x14ac:dyDescent="0.2">
      <c r="CZ122" s="12"/>
      <c r="DA122" s="12"/>
    </row>
    <row r="123" spans="104:105" x14ac:dyDescent="0.2">
      <c r="CZ123" s="12"/>
      <c r="DA123" s="12"/>
    </row>
    <row r="124" spans="104:105" x14ac:dyDescent="0.2">
      <c r="CZ124" s="12"/>
      <c r="DA124" s="12"/>
    </row>
    <row r="125" spans="104:105" x14ac:dyDescent="0.2">
      <c r="CZ125" s="12"/>
      <c r="DA125" s="12"/>
    </row>
    <row r="126" spans="104:105" x14ac:dyDescent="0.2">
      <c r="CZ126" s="12"/>
      <c r="DA126" s="12"/>
    </row>
    <row r="127" spans="104:105" x14ac:dyDescent="0.2">
      <c r="CZ127" s="12"/>
      <c r="DA127" s="12"/>
    </row>
    <row r="128" spans="104:105" x14ac:dyDescent="0.2">
      <c r="CZ128" s="12"/>
      <c r="DA128" s="12"/>
    </row>
    <row r="129" spans="104:105" x14ac:dyDescent="0.2">
      <c r="CZ129" s="12"/>
      <c r="DA129" s="12"/>
    </row>
    <row r="130" spans="104:105" x14ac:dyDescent="0.2">
      <c r="CZ130" s="12"/>
      <c r="DA130" s="12"/>
    </row>
    <row r="131" spans="104:105" x14ac:dyDescent="0.2">
      <c r="CZ131" s="12"/>
      <c r="DA131" s="12"/>
    </row>
    <row r="132" spans="104:105" x14ac:dyDescent="0.2">
      <c r="CZ132" s="12"/>
      <c r="DA132" s="12"/>
    </row>
    <row r="133" spans="104:105" x14ac:dyDescent="0.2">
      <c r="CZ133" s="12"/>
      <c r="DA133" s="12"/>
    </row>
    <row r="134" spans="104:105" x14ac:dyDescent="0.2">
      <c r="CZ134" s="12"/>
      <c r="DA134" s="12"/>
    </row>
    <row r="135" spans="104:105" x14ac:dyDescent="0.2">
      <c r="CZ135" s="12"/>
      <c r="DA135" s="12"/>
    </row>
    <row r="136" spans="104:105" x14ac:dyDescent="0.2">
      <c r="CZ136" s="12"/>
      <c r="DA136" s="12"/>
    </row>
    <row r="137" spans="104:105" x14ac:dyDescent="0.2">
      <c r="CZ137" s="12"/>
      <c r="DA137" s="12"/>
    </row>
    <row r="138" spans="104:105" x14ac:dyDescent="0.2">
      <c r="CZ138" s="12"/>
      <c r="DA138" s="12"/>
    </row>
    <row r="139" spans="104:105" x14ac:dyDescent="0.2">
      <c r="CZ139" s="12"/>
      <c r="DA139" s="12"/>
    </row>
    <row r="140" spans="104:105" x14ac:dyDescent="0.2">
      <c r="CZ140" s="12"/>
      <c r="DA140" s="12"/>
    </row>
    <row r="141" spans="104:105" x14ac:dyDescent="0.2">
      <c r="CZ141" s="12"/>
      <c r="DA141" s="12"/>
    </row>
    <row r="142" spans="104:105" x14ac:dyDescent="0.2">
      <c r="CZ142" s="12"/>
      <c r="DA142" s="12"/>
    </row>
    <row r="143" spans="104:105" x14ac:dyDescent="0.2">
      <c r="CZ143" s="12"/>
      <c r="DA143" s="12"/>
    </row>
    <row r="144" spans="104:105" x14ac:dyDescent="0.2">
      <c r="CZ144" s="12"/>
      <c r="DA144" s="12"/>
    </row>
    <row r="145" spans="104:105" x14ac:dyDescent="0.2">
      <c r="CZ145" s="12"/>
      <c r="DA145" s="12"/>
    </row>
    <row r="146" spans="104:105" x14ac:dyDescent="0.2">
      <c r="CZ146" s="12"/>
      <c r="DA146" s="12"/>
    </row>
    <row r="147" spans="104:105" x14ac:dyDescent="0.2">
      <c r="CZ147" s="12"/>
      <c r="DA147" s="12"/>
    </row>
    <row r="148" spans="104:105" x14ac:dyDescent="0.2">
      <c r="CZ148" s="12"/>
      <c r="DA148" s="12"/>
    </row>
    <row r="149" spans="104:105" x14ac:dyDescent="0.2">
      <c r="CZ149" s="12"/>
      <c r="DA149" s="12"/>
    </row>
    <row r="150" spans="104:105" x14ac:dyDescent="0.2">
      <c r="CZ150" s="12"/>
      <c r="DA150" s="12"/>
    </row>
    <row r="151" spans="104:105" x14ac:dyDescent="0.2">
      <c r="CZ151" s="12"/>
      <c r="DA151" s="12"/>
    </row>
    <row r="152" spans="104:105" x14ac:dyDescent="0.2">
      <c r="CZ152" s="12"/>
      <c r="DA152" s="12"/>
    </row>
    <row r="153" spans="104:105" x14ac:dyDescent="0.2">
      <c r="CZ153" s="12"/>
      <c r="DA153" s="12"/>
    </row>
    <row r="154" spans="104:105" x14ac:dyDescent="0.2">
      <c r="CZ154" s="12"/>
      <c r="DA154" s="12"/>
    </row>
    <row r="155" spans="104:105" x14ac:dyDescent="0.2">
      <c r="CZ155" s="12"/>
      <c r="DA155" s="12"/>
    </row>
    <row r="156" spans="104:105" x14ac:dyDescent="0.2">
      <c r="CZ156" s="12"/>
      <c r="DA156" s="12"/>
    </row>
    <row r="157" spans="104:105" x14ac:dyDescent="0.2">
      <c r="CZ157" s="12"/>
      <c r="DA157" s="12"/>
    </row>
    <row r="158" spans="104:105" x14ac:dyDescent="0.2">
      <c r="CZ158" s="12"/>
      <c r="DA158" s="12"/>
    </row>
    <row r="159" spans="104:105" x14ac:dyDescent="0.2">
      <c r="CZ159" s="12"/>
      <c r="DA159" s="12"/>
    </row>
    <row r="160" spans="104:105" x14ac:dyDescent="0.2">
      <c r="CZ160" s="12"/>
      <c r="DA160" s="12"/>
    </row>
    <row r="161" spans="104:105" x14ac:dyDescent="0.2">
      <c r="CZ161" s="12"/>
      <c r="DA161" s="12"/>
    </row>
    <row r="162" spans="104:105" x14ac:dyDescent="0.2">
      <c r="CZ162" s="12"/>
      <c r="DA162" s="12"/>
    </row>
    <row r="163" spans="104:105" x14ac:dyDescent="0.2">
      <c r="CZ163" s="12"/>
      <c r="DA163" s="12"/>
    </row>
    <row r="164" spans="104:105" x14ac:dyDescent="0.2">
      <c r="CZ164" s="12"/>
      <c r="DA164" s="12"/>
    </row>
    <row r="165" spans="104:105" x14ac:dyDescent="0.2">
      <c r="CZ165" s="12"/>
      <c r="DA165" s="12"/>
    </row>
    <row r="166" spans="104:105" x14ac:dyDescent="0.2">
      <c r="CZ166" s="12"/>
      <c r="DA166" s="12"/>
    </row>
    <row r="167" spans="104:105" x14ac:dyDescent="0.2">
      <c r="CZ167" s="12"/>
      <c r="DA167" s="12"/>
    </row>
    <row r="168" spans="104:105" x14ac:dyDescent="0.2">
      <c r="CZ168" s="12"/>
      <c r="DA168" s="12"/>
    </row>
    <row r="169" spans="104:105" x14ac:dyDescent="0.2">
      <c r="CZ169" s="12"/>
      <c r="DA169" s="12"/>
    </row>
    <row r="170" spans="104:105" x14ac:dyDescent="0.2">
      <c r="CZ170" s="12"/>
      <c r="DA170" s="12"/>
    </row>
    <row r="171" spans="104:105" x14ac:dyDescent="0.2">
      <c r="CZ171" s="12"/>
      <c r="DA171" s="12"/>
    </row>
    <row r="172" spans="104:105" x14ac:dyDescent="0.2">
      <c r="CZ172" s="12"/>
      <c r="DA172" s="12"/>
    </row>
    <row r="173" spans="104:105" x14ac:dyDescent="0.2">
      <c r="CZ173" s="12"/>
      <c r="DA173" s="12"/>
    </row>
    <row r="174" spans="104:105" x14ac:dyDescent="0.2">
      <c r="CZ174" s="12"/>
      <c r="DA174" s="12"/>
    </row>
    <row r="175" spans="104:105" x14ac:dyDescent="0.2">
      <c r="CZ175" s="12"/>
      <c r="DA175" s="12"/>
    </row>
    <row r="176" spans="104:105" x14ac:dyDescent="0.2">
      <c r="CZ176" s="12"/>
      <c r="DA176" s="12"/>
    </row>
    <row r="177" spans="104:105" x14ac:dyDescent="0.2">
      <c r="CZ177" s="12"/>
      <c r="DA177" s="12"/>
    </row>
    <row r="178" spans="104:105" x14ac:dyDescent="0.2">
      <c r="CZ178" s="12"/>
      <c r="DA178" s="12"/>
    </row>
    <row r="179" spans="104:105" x14ac:dyDescent="0.2">
      <c r="CZ179" s="12"/>
      <c r="DA179" s="12"/>
    </row>
    <row r="180" spans="104:105" x14ac:dyDescent="0.2">
      <c r="CZ180" s="12"/>
      <c r="DA180" s="12"/>
    </row>
    <row r="181" spans="104:105" x14ac:dyDescent="0.2">
      <c r="CZ181" s="12"/>
      <c r="DA181" s="12"/>
    </row>
    <row r="182" spans="104:105" x14ac:dyDescent="0.2">
      <c r="CZ182" s="12"/>
      <c r="DA182" s="12"/>
    </row>
    <row r="183" spans="104:105" x14ac:dyDescent="0.2">
      <c r="CZ183" s="12"/>
      <c r="DA183" s="12"/>
    </row>
    <row r="184" spans="104:105" x14ac:dyDescent="0.2">
      <c r="CZ184" s="12"/>
      <c r="DA184" s="12"/>
    </row>
    <row r="185" spans="104:105" x14ac:dyDescent="0.2">
      <c r="CZ185" s="12"/>
      <c r="DA185" s="12"/>
    </row>
    <row r="186" spans="104:105" x14ac:dyDescent="0.2">
      <c r="CZ186" s="12"/>
      <c r="DA186" s="12"/>
    </row>
    <row r="187" spans="104:105" x14ac:dyDescent="0.2">
      <c r="CZ187" s="12"/>
      <c r="DA187" s="12"/>
    </row>
    <row r="188" spans="104:105" x14ac:dyDescent="0.2">
      <c r="CZ188" s="12"/>
      <c r="DA188" s="12"/>
    </row>
    <row r="189" spans="104:105" x14ac:dyDescent="0.2">
      <c r="CZ189" s="12"/>
      <c r="DA189" s="12"/>
    </row>
    <row r="190" spans="104:105" x14ac:dyDescent="0.2">
      <c r="CZ190" s="12"/>
      <c r="DA190" s="12"/>
    </row>
    <row r="191" spans="104:105" x14ac:dyDescent="0.2">
      <c r="CZ191" s="12"/>
      <c r="DA191" s="12"/>
    </row>
    <row r="192" spans="104:105" x14ac:dyDescent="0.2">
      <c r="CZ192" s="12"/>
      <c r="DA192" s="12"/>
    </row>
    <row r="193" spans="104:105" x14ac:dyDescent="0.2">
      <c r="CZ193" s="12"/>
      <c r="DA193" s="12"/>
    </row>
    <row r="194" spans="104:105" x14ac:dyDescent="0.2">
      <c r="CZ194" s="12"/>
      <c r="DA194" s="12"/>
    </row>
    <row r="195" spans="104:105" x14ac:dyDescent="0.2">
      <c r="CZ195" s="12"/>
      <c r="DA195" s="12"/>
    </row>
    <row r="196" spans="104:105" x14ac:dyDescent="0.2">
      <c r="CZ196" s="12"/>
      <c r="DA196" s="12"/>
    </row>
    <row r="197" spans="104:105" x14ac:dyDescent="0.2">
      <c r="CZ197" s="12"/>
      <c r="DA197" s="12"/>
    </row>
    <row r="198" spans="104:105" x14ac:dyDescent="0.2">
      <c r="CZ198" s="12"/>
      <c r="DA198" s="12"/>
    </row>
    <row r="199" spans="104:105" x14ac:dyDescent="0.2">
      <c r="CZ199" s="12"/>
      <c r="DA199" s="12"/>
    </row>
    <row r="200" spans="104:105" x14ac:dyDescent="0.2">
      <c r="CZ200" s="12"/>
      <c r="DA200" s="12"/>
    </row>
    <row r="201" spans="104:105" x14ac:dyDescent="0.2">
      <c r="CZ201" s="12"/>
      <c r="DA201" s="12"/>
    </row>
    <row r="202" spans="104:105" x14ac:dyDescent="0.2">
      <c r="CZ202" s="12"/>
      <c r="DA202" s="12"/>
    </row>
    <row r="203" spans="104:105" x14ac:dyDescent="0.2">
      <c r="CZ203" s="12"/>
      <c r="DA203" s="12"/>
    </row>
    <row r="204" spans="104:105" x14ac:dyDescent="0.2">
      <c r="CZ204" s="12"/>
      <c r="DA204" s="12"/>
    </row>
    <row r="205" spans="104:105" x14ac:dyDescent="0.2">
      <c r="CZ205" s="12"/>
      <c r="DA205" s="12"/>
    </row>
    <row r="206" spans="104:105" x14ac:dyDescent="0.2">
      <c r="CZ206" s="12"/>
      <c r="DA206" s="12"/>
    </row>
    <row r="207" spans="104:105" x14ac:dyDescent="0.2">
      <c r="CZ207" s="12"/>
      <c r="DA207" s="12"/>
    </row>
    <row r="208" spans="104:105" x14ac:dyDescent="0.2">
      <c r="CZ208" s="12"/>
      <c r="DA208" s="12"/>
    </row>
    <row r="209" spans="104:105" x14ac:dyDescent="0.2">
      <c r="CZ209" s="12"/>
      <c r="DA209" s="12"/>
    </row>
    <row r="210" spans="104:105" x14ac:dyDescent="0.2">
      <c r="CZ210" s="12"/>
      <c r="DA210" s="12"/>
    </row>
    <row r="211" spans="104:105" x14ac:dyDescent="0.2">
      <c r="CZ211" s="12"/>
      <c r="DA211" s="12"/>
    </row>
    <row r="212" spans="104:105" x14ac:dyDescent="0.2">
      <c r="CZ212" s="12"/>
      <c r="DA212" s="12"/>
    </row>
    <row r="213" spans="104:105" x14ac:dyDescent="0.2">
      <c r="CZ213" s="12"/>
      <c r="DA213" s="12"/>
    </row>
    <row r="214" spans="104:105" x14ac:dyDescent="0.2">
      <c r="CZ214" s="12"/>
      <c r="DA214" s="12"/>
    </row>
    <row r="215" spans="104:105" x14ac:dyDescent="0.2">
      <c r="CZ215" s="12"/>
      <c r="DA215" s="12"/>
    </row>
    <row r="216" spans="104:105" x14ac:dyDescent="0.2">
      <c r="CZ216" s="12"/>
      <c r="DA216" s="12"/>
    </row>
    <row r="217" spans="104:105" x14ac:dyDescent="0.2">
      <c r="CZ217" s="12"/>
      <c r="DA217" s="12"/>
    </row>
    <row r="218" spans="104:105" x14ac:dyDescent="0.2">
      <c r="CZ218" s="12"/>
      <c r="DA218" s="12"/>
    </row>
    <row r="219" spans="104:105" x14ac:dyDescent="0.2">
      <c r="CZ219" s="12"/>
      <c r="DA219" s="12"/>
    </row>
    <row r="220" spans="104:105" x14ac:dyDescent="0.2">
      <c r="CZ220" s="12"/>
      <c r="DA220" s="12"/>
    </row>
    <row r="221" spans="104:105" x14ac:dyDescent="0.2">
      <c r="CZ221" s="12"/>
      <c r="DA221" s="12"/>
    </row>
    <row r="222" spans="104:105" x14ac:dyDescent="0.2">
      <c r="CZ222" s="12"/>
      <c r="DA222" s="12"/>
    </row>
    <row r="223" spans="104:105" x14ac:dyDescent="0.2">
      <c r="CZ223" s="12"/>
      <c r="DA223" s="12"/>
    </row>
    <row r="224" spans="104:105" x14ac:dyDescent="0.2">
      <c r="CZ224" s="12"/>
      <c r="DA224" s="12"/>
    </row>
    <row r="225" spans="104:105" x14ac:dyDescent="0.2">
      <c r="CZ225" s="12"/>
      <c r="DA225" s="12"/>
    </row>
    <row r="226" spans="104:105" x14ac:dyDescent="0.2">
      <c r="CZ226" s="12"/>
      <c r="DA226" s="12"/>
    </row>
    <row r="227" spans="104:105" x14ac:dyDescent="0.2">
      <c r="CZ227" s="12"/>
      <c r="DA227" s="12"/>
    </row>
    <row r="228" spans="104:105" x14ac:dyDescent="0.2">
      <c r="CZ228" s="12"/>
      <c r="DA228" s="12"/>
    </row>
    <row r="229" spans="104:105" x14ac:dyDescent="0.2">
      <c r="CZ229" s="12"/>
      <c r="DA229" s="12"/>
    </row>
    <row r="230" spans="104:105" x14ac:dyDescent="0.2">
      <c r="CZ230" s="12"/>
      <c r="DA230" s="12"/>
    </row>
    <row r="231" spans="104:105" x14ac:dyDescent="0.2">
      <c r="CZ231" s="12"/>
      <c r="DA231" s="12"/>
    </row>
    <row r="232" spans="104:105" x14ac:dyDescent="0.2">
      <c r="CZ232" s="12"/>
      <c r="DA232" s="12"/>
    </row>
    <row r="233" spans="104:105" x14ac:dyDescent="0.2">
      <c r="CZ233" s="12"/>
      <c r="DA233" s="12"/>
    </row>
    <row r="234" spans="104:105" x14ac:dyDescent="0.2">
      <c r="CZ234" s="12"/>
      <c r="DA234" s="12"/>
    </row>
    <row r="235" spans="104:105" x14ac:dyDescent="0.2">
      <c r="CZ235" s="12"/>
      <c r="DA235" s="12"/>
    </row>
    <row r="236" spans="104:105" x14ac:dyDescent="0.2">
      <c r="CZ236" s="12"/>
      <c r="DA236" s="12"/>
    </row>
    <row r="237" spans="104:105" x14ac:dyDescent="0.2">
      <c r="CZ237" s="12"/>
      <c r="DA237" s="12"/>
    </row>
    <row r="238" spans="104:105" x14ac:dyDescent="0.2">
      <c r="CZ238" s="12"/>
      <c r="DA238" s="12"/>
    </row>
    <row r="239" spans="104:105" x14ac:dyDescent="0.2">
      <c r="CZ239" s="12"/>
      <c r="DA239" s="12"/>
    </row>
    <row r="240" spans="104:105" x14ac:dyDescent="0.2">
      <c r="CZ240" s="12"/>
      <c r="DA240" s="12"/>
    </row>
    <row r="241" spans="104:105" x14ac:dyDescent="0.2">
      <c r="CZ241" s="12"/>
      <c r="DA241" s="12"/>
    </row>
    <row r="242" spans="104:105" x14ac:dyDescent="0.2">
      <c r="CZ242" s="12"/>
      <c r="DA242" s="12"/>
    </row>
    <row r="243" spans="104:105" x14ac:dyDescent="0.2">
      <c r="CZ243" s="12"/>
      <c r="DA243" s="12"/>
    </row>
    <row r="244" spans="104:105" x14ac:dyDescent="0.2">
      <c r="CZ244" s="12"/>
      <c r="DA244" s="12"/>
    </row>
    <row r="245" spans="104:105" x14ac:dyDescent="0.2">
      <c r="CZ245" s="12"/>
      <c r="DA245" s="12"/>
    </row>
    <row r="246" spans="104:105" x14ac:dyDescent="0.2">
      <c r="CZ246" s="12"/>
      <c r="DA246" s="12"/>
    </row>
    <row r="247" spans="104:105" x14ac:dyDescent="0.2">
      <c r="CZ247" s="12"/>
      <c r="DA247" s="12"/>
    </row>
    <row r="248" spans="104:105" x14ac:dyDescent="0.2">
      <c r="CZ248" s="12"/>
      <c r="DA248" s="12"/>
    </row>
    <row r="249" spans="104:105" x14ac:dyDescent="0.2">
      <c r="CZ249" s="12"/>
      <c r="DA249" s="12"/>
    </row>
    <row r="250" spans="104:105" x14ac:dyDescent="0.2">
      <c r="CZ250" s="12"/>
      <c r="DA250" s="12"/>
    </row>
    <row r="251" spans="104:105" x14ac:dyDescent="0.2">
      <c r="CZ251" s="12"/>
      <c r="DA251" s="12"/>
    </row>
    <row r="252" spans="104:105" x14ac:dyDescent="0.2">
      <c r="CZ252" s="12"/>
      <c r="DA252" s="12"/>
    </row>
    <row r="253" spans="104:105" x14ac:dyDescent="0.2">
      <c r="CZ253" s="12"/>
      <c r="DA253" s="12"/>
    </row>
    <row r="254" spans="104:105" x14ac:dyDescent="0.2">
      <c r="CZ254" s="12"/>
      <c r="DA254" s="12"/>
    </row>
    <row r="255" spans="104:105" x14ac:dyDescent="0.2">
      <c r="CZ255" s="12"/>
      <c r="DA255" s="12"/>
    </row>
    <row r="256" spans="104:105" x14ac:dyDescent="0.2">
      <c r="CZ256" s="12"/>
      <c r="DA256" s="12"/>
    </row>
    <row r="257" spans="104:105" x14ac:dyDescent="0.2">
      <c r="CZ257" s="12"/>
      <c r="DA257" s="12"/>
    </row>
    <row r="258" spans="104:105" x14ac:dyDescent="0.2">
      <c r="CZ258" s="12"/>
      <c r="DA258" s="12"/>
    </row>
    <row r="259" spans="104:105" x14ac:dyDescent="0.2">
      <c r="CZ259" s="12"/>
      <c r="DA259" s="12"/>
    </row>
    <row r="260" spans="104:105" x14ac:dyDescent="0.2">
      <c r="CZ260" s="12"/>
      <c r="DA260" s="12"/>
    </row>
    <row r="261" spans="104:105" x14ac:dyDescent="0.2">
      <c r="CZ261" s="12"/>
      <c r="DA261" s="12"/>
    </row>
    <row r="262" spans="104:105" x14ac:dyDescent="0.2">
      <c r="CZ262" s="12"/>
      <c r="DA262" s="12"/>
    </row>
    <row r="263" spans="104:105" x14ac:dyDescent="0.2">
      <c r="CZ263" s="12"/>
      <c r="DA263" s="12"/>
    </row>
    <row r="264" spans="104:105" x14ac:dyDescent="0.2">
      <c r="CZ264" s="12"/>
      <c r="DA264" s="12"/>
    </row>
    <row r="265" spans="104:105" x14ac:dyDescent="0.2">
      <c r="CZ265" s="12"/>
      <c r="DA265" s="12"/>
    </row>
    <row r="266" spans="104:105" x14ac:dyDescent="0.2">
      <c r="CZ266" s="12"/>
      <c r="DA266" s="12"/>
    </row>
    <row r="267" spans="104:105" x14ac:dyDescent="0.2">
      <c r="CZ267" s="12"/>
      <c r="DA267" s="12"/>
    </row>
    <row r="268" spans="104:105" x14ac:dyDescent="0.2">
      <c r="CZ268" s="12"/>
      <c r="DA268" s="12"/>
    </row>
    <row r="269" spans="104:105" x14ac:dyDescent="0.2">
      <c r="CZ269" s="12"/>
      <c r="DA269" s="12"/>
    </row>
    <row r="270" spans="104:105" x14ac:dyDescent="0.2">
      <c r="CZ270" s="12"/>
      <c r="DA270" s="12"/>
    </row>
    <row r="271" spans="104:105" x14ac:dyDescent="0.2">
      <c r="CZ271" s="12"/>
      <c r="DA271" s="12"/>
    </row>
    <row r="272" spans="104:105" x14ac:dyDescent="0.2">
      <c r="CZ272" s="12"/>
      <c r="DA272" s="12"/>
    </row>
    <row r="273" spans="104:105" x14ac:dyDescent="0.2">
      <c r="CZ273" s="12"/>
      <c r="DA273" s="12"/>
    </row>
    <row r="274" spans="104:105" x14ac:dyDescent="0.2">
      <c r="CZ274" s="12"/>
      <c r="DA274" s="12"/>
    </row>
    <row r="275" spans="104:105" x14ac:dyDescent="0.2">
      <c r="CZ275" s="12"/>
      <c r="DA275" s="12"/>
    </row>
    <row r="276" spans="104:105" x14ac:dyDescent="0.2">
      <c r="CZ276" s="12"/>
      <c r="DA276" s="12"/>
    </row>
    <row r="277" spans="104:105" x14ac:dyDescent="0.2">
      <c r="CZ277" s="12"/>
      <c r="DA277" s="12"/>
    </row>
    <row r="278" spans="104:105" x14ac:dyDescent="0.2">
      <c r="CZ278" s="12"/>
      <c r="DA278" s="12"/>
    </row>
    <row r="279" spans="104:105" x14ac:dyDescent="0.2">
      <c r="CZ279" s="12"/>
      <c r="DA279" s="12"/>
    </row>
    <row r="280" spans="104:105" x14ac:dyDescent="0.2">
      <c r="CZ280" s="12"/>
      <c r="DA280" s="12"/>
    </row>
    <row r="281" spans="104:105" x14ac:dyDescent="0.2">
      <c r="CZ281" s="12"/>
      <c r="DA281" s="12"/>
    </row>
    <row r="282" spans="104:105" x14ac:dyDescent="0.2">
      <c r="CZ282" s="12"/>
      <c r="DA282" s="12"/>
    </row>
    <row r="283" spans="104:105" x14ac:dyDescent="0.2">
      <c r="CZ283" s="12"/>
      <c r="DA283" s="12"/>
    </row>
    <row r="284" spans="104:105" x14ac:dyDescent="0.2">
      <c r="CZ284" s="12"/>
      <c r="DA284" s="12"/>
    </row>
    <row r="285" spans="104:105" x14ac:dyDescent="0.2">
      <c r="CZ285" s="12"/>
      <c r="DA285" s="12"/>
    </row>
    <row r="286" spans="104:105" x14ac:dyDescent="0.2">
      <c r="CZ286" s="12"/>
      <c r="DA286" s="12"/>
    </row>
    <row r="287" spans="104:105" x14ac:dyDescent="0.2">
      <c r="CZ287" s="12"/>
      <c r="DA287" s="12"/>
    </row>
    <row r="288" spans="104:105" x14ac:dyDescent="0.2">
      <c r="CZ288" s="12"/>
      <c r="DA288" s="12"/>
    </row>
    <row r="289" spans="104:105" x14ac:dyDescent="0.2">
      <c r="CZ289" s="12"/>
      <c r="DA289" s="12"/>
    </row>
    <row r="290" spans="104:105" x14ac:dyDescent="0.2">
      <c r="CZ290" s="12"/>
      <c r="DA290" s="12"/>
    </row>
    <row r="291" spans="104:105" x14ac:dyDescent="0.2">
      <c r="CZ291" s="12"/>
      <c r="DA291" s="12"/>
    </row>
    <row r="292" spans="104:105" x14ac:dyDescent="0.2">
      <c r="CZ292" s="12"/>
      <c r="DA292" s="12"/>
    </row>
    <row r="293" spans="104:105" x14ac:dyDescent="0.2">
      <c r="CZ293" s="12"/>
      <c r="DA293" s="12"/>
    </row>
    <row r="294" spans="104:105" x14ac:dyDescent="0.2">
      <c r="CZ294" s="12"/>
      <c r="DA294" s="12"/>
    </row>
    <row r="295" spans="104:105" x14ac:dyDescent="0.2">
      <c r="CZ295" s="12"/>
      <c r="DA295" s="12"/>
    </row>
    <row r="296" spans="104:105" x14ac:dyDescent="0.2">
      <c r="CZ296" s="12"/>
      <c r="DA296" s="12"/>
    </row>
    <row r="297" spans="104:105" x14ac:dyDescent="0.2">
      <c r="CZ297" s="12"/>
      <c r="DA297" s="12"/>
    </row>
    <row r="298" spans="104:105" x14ac:dyDescent="0.2">
      <c r="CZ298" s="12"/>
      <c r="DA298" s="12"/>
    </row>
    <row r="299" spans="104:105" x14ac:dyDescent="0.2">
      <c r="CZ299" s="12"/>
      <c r="DA299" s="12"/>
    </row>
    <row r="300" spans="104:105" x14ac:dyDescent="0.2">
      <c r="CZ300" s="12"/>
      <c r="DA300" s="12"/>
    </row>
    <row r="301" spans="104:105" x14ac:dyDescent="0.2">
      <c r="CZ301" s="12"/>
      <c r="DA301" s="12"/>
    </row>
    <row r="302" spans="104:105" x14ac:dyDescent="0.2">
      <c r="CZ302" s="12"/>
      <c r="DA302" s="12"/>
    </row>
    <row r="303" spans="104:105" x14ac:dyDescent="0.2">
      <c r="CZ303" s="12"/>
      <c r="DA303" s="12"/>
    </row>
    <row r="304" spans="104:105" x14ac:dyDescent="0.2">
      <c r="CZ304" s="12"/>
      <c r="DA304" s="12"/>
    </row>
    <row r="305" spans="104:105" x14ac:dyDescent="0.2">
      <c r="CZ305" s="12"/>
      <c r="DA305" s="12"/>
    </row>
    <row r="306" spans="104:105" x14ac:dyDescent="0.2">
      <c r="CZ306" s="12"/>
      <c r="DA306" s="12"/>
    </row>
    <row r="307" spans="104:105" x14ac:dyDescent="0.2">
      <c r="CZ307" s="12"/>
      <c r="DA307" s="12"/>
    </row>
    <row r="308" spans="104:105" x14ac:dyDescent="0.2">
      <c r="CZ308" s="12"/>
      <c r="DA308" s="12"/>
    </row>
    <row r="309" spans="104:105" x14ac:dyDescent="0.2">
      <c r="CZ309" s="12"/>
      <c r="DA309" s="12"/>
    </row>
    <row r="310" spans="104:105" x14ac:dyDescent="0.2">
      <c r="CZ310" s="12"/>
      <c r="DA310" s="12"/>
    </row>
    <row r="311" spans="104:105" x14ac:dyDescent="0.2">
      <c r="CZ311" s="12"/>
      <c r="DA311" s="12"/>
    </row>
    <row r="312" spans="104:105" x14ac:dyDescent="0.2">
      <c r="CZ312" s="12"/>
      <c r="DA312" s="12"/>
    </row>
    <row r="313" spans="104:105" x14ac:dyDescent="0.2">
      <c r="CZ313" s="12"/>
      <c r="DA313" s="12"/>
    </row>
    <row r="314" spans="104:105" x14ac:dyDescent="0.2">
      <c r="CZ314" s="12"/>
      <c r="DA314" s="12"/>
    </row>
    <row r="315" spans="104:105" x14ac:dyDescent="0.2">
      <c r="CZ315" s="12"/>
      <c r="DA315" s="12"/>
    </row>
    <row r="316" spans="104:105" x14ac:dyDescent="0.2">
      <c r="CZ316" s="12"/>
      <c r="DA316" s="12"/>
    </row>
    <row r="317" spans="104:105" x14ac:dyDescent="0.2">
      <c r="CZ317" s="12"/>
      <c r="DA317" s="12"/>
    </row>
    <row r="318" spans="104:105" x14ac:dyDescent="0.2">
      <c r="CZ318" s="12"/>
      <c r="DA318" s="12"/>
    </row>
    <row r="319" spans="104:105" x14ac:dyDescent="0.2">
      <c r="CZ319" s="12"/>
      <c r="DA319" s="12"/>
    </row>
    <row r="320" spans="104:105" x14ac:dyDescent="0.2">
      <c r="CZ320" s="12"/>
      <c r="DA320" s="12"/>
    </row>
    <row r="321" spans="104:105" x14ac:dyDescent="0.2">
      <c r="CZ321" s="12"/>
      <c r="DA321" s="12"/>
    </row>
    <row r="322" spans="104:105" x14ac:dyDescent="0.2">
      <c r="CZ322" s="12"/>
      <c r="DA322" s="12"/>
    </row>
    <row r="323" spans="104:105" x14ac:dyDescent="0.2">
      <c r="CZ323" s="12"/>
      <c r="DA323" s="12"/>
    </row>
    <row r="324" spans="104:105" x14ac:dyDescent="0.2">
      <c r="CZ324" s="12"/>
      <c r="DA324" s="12"/>
    </row>
    <row r="325" spans="104:105" x14ac:dyDescent="0.2">
      <c r="CZ325" s="12"/>
      <c r="DA325" s="12"/>
    </row>
    <row r="326" spans="104:105" x14ac:dyDescent="0.2">
      <c r="CZ326" s="12"/>
      <c r="DA326" s="12"/>
    </row>
    <row r="327" spans="104:105" x14ac:dyDescent="0.2">
      <c r="CZ327" s="12"/>
      <c r="DA327" s="12"/>
    </row>
    <row r="328" spans="104:105" x14ac:dyDescent="0.2">
      <c r="CZ328" s="12"/>
      <c r="DA328" s="12"/>
    </row>
    <row r="329" spans="104:105" x14ac:dyDescent="0.2">
      <c r="CZ329" s="12"/>
      <c r="DA329" s="12"/>
    </row>
    <row r="330" spans="104:105" x14ac:dyDescent="0.2">
      <c r="CZ330" s="12"/>
      <c r="DA330" s="12"/>
    </row>
    <row r="331" spans="104:105" x14ac:dyDescent="0.2">
      <c r="CZ331" s="12"/>
      <c r="DA331" s="12"/>
    </row>
    <row r="332" spans="104:105" x14ac:dyDescent="0.2">
      <c r="CZ332" s="12"/>
      <c r="DA332" s="12"/>
    </row>
    <row r="333" spans="104:105" x14ac:dyDescent="0.2">
      <c r="CZ333" s="12"/>
      <c r="DA333" s="12"/>
    </row>
    <row r="334" spans="104:105" x14ac:dyDescent="0.2">
      <c r="CZ334" s="12"/>
      <c r="DA334" s="12"/>
    </row>
    <row r="335" spans="104:105" x14ac:dyDescent="0.2">
      <c r="CZ335" s="12"/>
      <c r="DA335" s="12"/>
    </row>
    <row r="336" spans="104:105" x14ac:dyDescent="0.2">
      <c r="CZ336" s="12"/>
      <c r="DA336" s="12"/>
    </row>
    <row r="337" spans="104:105" x14ac:dyDescent="0.2">
      <c r="CZ337" s="12"/>
      <c r="DA337" s="12"/>
    </row>
    <row r="338" spans="104:105" x14ac:dyDescent="0.2">
      <c r="CZ338" s="12"/>
      <c r="DA338" s="12"/>
    </row>
    <row r="339" spans="104:105" x14ac:dyDescent="0.2">
      <c r="CZ339" s="12"/>
      <c r="DA339" s="12"/>
    </row>
    <row r="340" spans="104:105" x14ac:dyDescent="0.2">
      <c r="CZ340" s="12"/>
      <c r="DA340" s="12"/>
    </row>
    <row r="341" spans="104:105" x14ac:dyDescent="0.2">
      <c r="CZ341" s="12"/>
      <c r="DA341" s="12"/>
    </row>
    <row r="342" spans="104:105" x14ac:dyDescent="0.2">
      <c r="CZ342" s="12"/>
      <c r="DA342" s="12"/>
    </row>
    <row r="343" spans="104:105" x14ac:dyDescent="0.2">
      <c r="CZ343" s="12"/>
      <c r="DA343" s="12"/>
    </row>
    <row r="344" spans="104:105" x14ac:dyDescent="0.2">
      <c r="CZ344" s="12"/>
      <c r="DA344" s="12"/>
    </row>
    <row r="345" spans="104:105" x14ac:dyDescent="0.2">
      <c r="CZ345" s="12"/>
      <c r="DA345" s="12"/>
    </row>
    <row r="346" spans="104:105" x14ac:dyDescent="0.2">
      <c r="CZ346" s="12"/>
      <c r="DA346" s="12"/>
    </row>
    <row r="347" spans="104:105" x14ac:dyDescent="0.2">
      <c r="CZ347" s="12"/>
      <c r="DA347" s="12"/>
    </row>
    <row r="348" spans="104:105" x14ac:dyDescent="0.2">
      <c r="CZ348" s="12"/>
      <c r="DA348" s="12"/>
    </row>
    <row r="349" spans="104:105" x14ac:dyDescent="0.2">
      <c r="CZ349" s="12"/>
      <c r="DA349" s="12"/>
    </row>
    <row r="350" spans="104:105" x14ac:dyDescent="0.2">
      <c r="CZ350" s="12"/>
      <c r="DA350" s="12"/>
    </row>
    <row r="351" spans="104:105" x14ac:dyDescent="0.2">
      <c r="CZ351" s="12"/>
      <c r="DA351" s="12"/>
    </row>
    <row r="352" spans="104:105" x14ac:dyDescent="0.2">
      <c r="CZ352" s="12"/>
      <c r="DA352" s="12"/>
    </row>
    <row r="353" spans="104:105" x14ac:dyDescent="0.2">
      <c r="CZ353" s="12"/>
      <c r="DA353" s="12"/>
    </row>
    <row r="354" spans="104:105" x14ac:dyDescent="0.2">
      <c r="CZ354" s="12"/>
      <c r="DA354" s="12"/>
    </row>
    <row r="355" spans="104:105" x14ac:dyDescent="0.2">
      <c r="CZ355" s="12"/>
      <c r="DA355" s="12"/>
    </row>
    <row r="356" spans="104:105" x14ac:dyDescent="0.2">
      <c r="CZ356" s="12"/>
      <c r="DA356" s="12"/>
    </row>
    <row r="357" spans="104:105" x14ac:dyDescent="0.2">
      <c r="CZ357" s="12"/>
      <c r="DA357" s="12"/>
    </row>
    <row r="358" spans="104:105" x14ac:dyDescent="0.2">
      <c r="CZ358" s="12"/>
      <c r="DA358" s="12"/>
    </row>
    <row r="359" spans="104:105" x14ac:dyDescent="0.2">
      <c r="CZ359" s="12"/>
      <c r="DA359" s="12"/>
    </row>
    <row r="360" spans="104:105" x14ac:dyDescent="0.2">
      <c r="CZ360" s="12"/>
      <c r="DA360" s="12"/>
    </row>
    <row r="361" spans="104:105" x14ac:dyDescent="0.2">
      <c r="CZ361" s="12"/>
      <c r="DA361" s="12"/>
    </row>
    <row r="362" spans="104:105" x14ac:dyDescent="0.2">
      <c r="CZ362" s="12"/>
      <c r="DA362" s="12"/>
    </row>
    <row r="363" spans="104:105" x14ac:dyDescent="0.2">
      <c r="CZ363" s="12"/>
      <c r="DA363" s="12"/>
    </row>
    <row r="364" spans="104:105" x14ac:dyDescent="0.2">
      <c r="CZ364" s="12"/>
      <c r="DA364" s="12"/>
    </row>
    <row r="365" spans="104:105" x14ac:dyDescent="0.2">
      <c r="CZ365" s="12"/>
      <c r="DA365" s="12"/>
    </row>
    <row r="366" spans="104:105" x14ac:dyDescent="0.2">
      <c r="CZ366" s="12"/>
      <c r="DA366" s="12"/>
    </row>
    <row r="367" spans="104:105" x14ac:dyDescent="0.2">
      <c r="CZ367" s="12"/>
      <c r="DA367" s="12"/>
    </row>
    <row r="368" spans="104:105" x14ac:dyDescent="0.2">
      <c r="CZ368" s="12"/>
      <c r="DA368" s="12"/>
    </row>
    <row r="369" spans="104:105" x14ac:dyDescent="0.2">
      <c r="CZ369" s="12"/>
      <c r="DA369" s="12"/>
    </row>
    <row r="370" spans="104:105" x14ac:dyDescent="0.2">
      <c r="CZ370" s="12"/>
      <c r="DA370" s="12"/>
    </row>
    <row r="371" spans="104:105" x14ac:dyDescent="0.2">
      <c r="CZ371" s="12"/>
      <c r="DA371" s="12"/>
    </row>
    <row r="372" spans="104:105" x14ac:dyDescent="0.2">
      <c r="CZ372" s="12"/>
      <c r="DA372" s="12"/>
    </row>
    <row r="373" spans="104:105" x14ac:dyDescent="0.2">
      <c r="CZ373" s="12"/>
      <c r="DA373" s="12"/>
    </row>
    <row r="374" spans="104:105" x14ac:dyDescent="0.2">
      <c r="CZ374" s="12"/>
      <c r="DA374" s="12"/>
    </row>
    <row r="375" spans="104:105" x14ac:dyDescent="0.2">
      <c r="CZ375" s="12"/>
      <c r="DA375" s="12"/>
    </row>
    <row r="376" spans="104:105" x14ac:dyDescent="0.2">
      <c r="CZ376" s="12"/>
      <c r="DA376" s="12"/>
    </row>
    <row r="377" spans="104:105" x14ac:dyDescent="0.2">
      <c r="CZ377" s="12"/>
      <c r="DA377" s="12"/>
    </row>
    <row r="378" spans="104:105" x14ac:dyDescent="0.2">
      <c r="CZ378" s="12"/>
      <c r="DA378" s="12"/>
    </row>
    <row r="379" spans="104:105" x14ac:dyDescent="0.2">
      <c r="CZ379" s="12"/>
      <c r="DA379" s="12"/>
    </row>
    <row r="380" spans="104:105" x14ac:dyDescent="0.2">
      <c r="CZ380" s="12"/>
      <c r="DA380" s="12"/>
    </row>
    <row r="381" spans="104:105" x14ac:dyDescent="0.2">
      <c r="CZ381" s="12"/>
      <c r="DA381" s="12"/>
    </row>
    <row r="382" spans="104:105" x14ac:dyDescent="0.2">
      <c r="CZ382" s="12"/>
      <c r="DA382" s="12"/>
    </row>
    <row r="383" spans="104:105" x14ac:dyDescent="0.2">
      <c r="CZ383" s="12"/>
      <c r="DA383" s="12"/>
    </row>
    <row r="384" spans="104:105" x14ac:dyDescent="0.2">
      <c r="CZ384" s="12"/>
      <c r="DA384" s="12"/>
    </row>
    <row r="385" spans="104:105" x14ac:dyDescent="0.2">
      <c r="CZ385" s="12"/>
      <c r="DA385" s="12"/>
    </row>
    <row r="386" spans="104:105" x14ac:dyDescent="0.2">
      <c r="CZ386" s="12"/>
      <c r="DA386" s="12"/>
    </row>
    <row r="387" spans="104:105" x14ac:dyDescent="0.2">
      <c r="CZ387" s="12"/>
      <c r="DA387" s="12"/>
    </row>
    <row r="388" spans="104:105" x14ac:dyDescent="0.2">
      <c r="CZ388" s="12"/>
      <c r="DA388" s="12"/>
    </row>
    <row r="389" spans="104:105" x14ac:dyDescent="0.2">
      <c r="CZ389" s="12"/>
      <c r="DA389" s="12"/>
    </row>
    <row r="390" spans="104:105" x14ac:dyDescent="0.2">
      <c r="CZ390" s="12"/>
      <c r="DA390" s="12"/>
    </row>
    <row r="391" spans="104:105" x14ac:dyDescent="0.2">
      <c r="CZ391" s="12"/>
      <c r="DA391" s="12"/>
    </row>
    <row r="392" spans="104:105" x14ac:dyDescent="0.2">
      <c r="CZ392" s="12"/>
      <c r="DA392" s="12"/>
    </row>
    <row r="393" spans="104:105" x14ac:dyDescent="0.2">
      <c r="CZ393" s="12"/>
      <c r="DA393" s="12"/>
    </row>
    <row r="394" spans="104:105" x14ac:dyDescent="0.2">
      <c r="CZ394" s="12"/>
      <c r="DA394" s="12"/>
    </row>
    <row r="395" spans="104:105" x14ac:dyDescent="0.2">
      <c r="CZ395" s="12"/>
      <c r="DA395" s="12"/>
    </row>
    <row r="396" spans="104:105" x14ac:dyDescent="0.2">
      <c r="CZ396" s="12"/>
      <c r="DA396" s="12"/>
    </row>
    <row r="397" spans="104:105" x14ac:dyDescent="0.2">
      <c r="CZ397" s="12"/>
      <c r="DA397" s="12"/>
    </row>
    <row r="398" spans="104:105" x14ac:dyDescent="0.2">
      <c r="CZ398" s="12"/>
      <c r="DA398" s="12"/>
    </row>
    <row r="399" spans="104:105" x14ac:dyDescent="0.2">
      <c r="CZ399" s="12"/>
      <c r="DA399" s="12"/>
    </row>
    <row r="400" spans="104:105" x14ac:dyDescent="0.2">
      <c r="CZ400" s="12"/>
      <c r="DA400" s="12"/>
    </row>
    <row r="401" spans="104:105" x14ac:dyDescent="0.2">
      <c r="CZ401" s="12"/>
      <c r="DA401" s="12"/>
    </row>
    <row r="402" spans="104:105" x14ac:dyDescent="0.2">
      <c r="CZ402" s="12"/>
      <c r="DA402" s="12"/>
    </row>
    <row r="403" spans="104:105" x14ac:dyDescent="0.2">
      <c r="CZ403" s="12"/>
      <c r="DA403" s="12"/>
    </row>
    <row r="404" spans="104:105" x14ac:dyDescent="0.2">
      <c r="CZ404" s="12"/>
      <c r="DA404" s="12"/>
    </row>
    <row r="405" spans="104:105" x14ac:dyDescent="0.2">
      <c r="CZ405" s="12"/>
      <c r="DA405" s="12"/>
    </row>
    <row r="406" spans="104:105" x14ac:dyDescent="0.2">
      <c r="CZ406" s="12"/>
      <c r="DA406" s="12"/>
    </row>
    <row r="407" spans="104:105" x14ac:dyDescent="0.2">
      <c r="CZ407" s="12"/>
      <c r="DA407" s="12"/>
    </row>
    <row r="408" spans="104:105" x14ac:dyDescent="0.2">
      <c r="CZ408" s="12"/>
      <c r="DA408" s="12"/>
    </row>
    <row r="409" spans="104:105" x14ac:dyDescent="0.2">
      <c r="CZ409" s="12"/>
      <c r="DA409" s="12"/>
    </row>
    <row r="410" spans="104:105" x14ac:dyDescent="0.2">
      <c r="CZ410" s="12"/>
      <c r="DA410" s="12"/>
    </row>
    <row r="411" spans="104:105" x14ac:dyDescent="0.2">
      <c r="CZ411" s="12"/>
      <c r="DA411" s="12"/>
    </row>
    <row r="412" spans="104:105" x14ac:dyDescent="0.2">
      <c r="CZ412" s="12"/>
      <c r="DA412" s="12"/>
    </row>
    <row r="413" spans="104:105" x14ac:dyDescent="0.2">
      <c r="CZ413" s="12"/>
      <c r="DA413" s="12"/>
    </row>
    <row r="414" spans="104:105" x14ac:dyDescent="0.2">
      <c r="CZ414" s="12"/>
      <c r="DA414" s="12"/>
    </row>
    <row r="415" spans="104:105" x14ac:dyDescent="0.2">
      <c r="CZ415" s="12"/>
      <c r="DA415" s="12"/>
    </row>
    <row r="416" spans="104:105" x14ac:dyDescent="0.2">
      <c r="CZ416" s="12"/>
      <c r="DA416" s="12"/>
    </row>
    <row r="417" spans="104:105" x14ac:dyDescent="0.2">
      <c r="CZ417" s="12"/>
      <c r="DA417" s="12"/>
    </row>
    <row r="418" spans="104:105" x14ac:dyDescent="0.2">
      <c r="CZ418" s="12"/>
      <c r="DA418" s="12"/>
    </row>
    <row r="419" spans="104:105" x14ac:dyDescent="0.2">
      <c r="CZ419" s="12"/>
      <c r="DA419" s="12"/>
    </row>
    <row r="420" spans="104:105" x14ac:dyDescent="0.2">
      <c r="CZ420" s="12"/>
      <c r="DA420" s="12"/>
    </row>
    <row r="421" spans="104:105" x14ac:dyDescent="0.2">
      <c r="CZ421" s="12"/>
      <c r="DA421" s="12"/>
    </row>
    <row r="422" spans="104:105" x14ac:dyDescent="0.2">
      <c r="CZ422" s="12"/>
      <c r="DA422" s="12"/>
    </row>
    <row r="423" spans="104:105" x14ac:dyDescent="0.2">
      <c r="CZ423" s="12"/>
      <c r="DA423" s="12"/>
    </row>
    <row r="424" spans="104:105" x14ac:dyDescent="0.2">
      <c r="CZ424" s="12"/>
      <c r="DA424" s="12"/>
    </row>
    <row r="425" spans="104:105" x14ac:dyDescent="0.2">
      <c r="CZ425" s="12"/>
      <c r="DA425" s="12"/>
    </row>
    <row r="426" spans="104:105" x14ac:dyDescent="0.2">
      <c r="CZ426" s="12"/>
      <c r="DA426" s="12"/>
    </row>
    <row r="427" spans="104:105" x14ac:dyDescent="0.2">
      <c r="CZ427" s="12"/>
      <c r="DA427" s="12"/>
    </row>
    <row r="428" spans="104:105" x14ac:dyDescent="0.2">
      <c r="CZ428" s="12"/>
      <c r="DA428" s="12"/>
    </row>
    <row r="429" spans="104:105" x14ac:dyDescent="0.2">
      <c r="CZ429" s="12"/>
      <c r="DA429" s="12"/>
    </row>
    <row r="430" spans="104:105" x14ac:dyDescent="0.2">
      <c r="CZ430" s="12"/>
      <c r="DA430" s="12"/>
    </row>
    <row r="431" spans="104:105" x14ac:dyDescent="0.2">
      <c r="CZ431" s="12"/>
      <c r="DA431" s="12"/>
    </row>
    <row r="432" spans="104:105" x14ac:dyDescent="0.2">
      <c r="CZ432" s="12"/>
      <c r="DA432" s="12"/>
    </row>
    <row r="433" spans="104:105" x14ac:dyDescent="0.2">
      <c r="CZ433" s="12"/>
      <c r="DA433" s="12"/>
    </row>
    <row r="434" spans="104:105" x14ac:dyDescent="0.2">
      <c r="CZ434" s="12"/>
      <c r="DA434" s="12"/>
    </row>
    <row r="435" spans="104:105" x14ac:dyDescent="0.2">
      <c r="CZ435" s="12"/>
      <c r="DA435" s="12"/>
    </row>
    <row r="436" spans="104:105" x14ac:dyDescent="0.2">
      <c r="CZ436" s="12"/>
      <c r="DA436" s="12"/>
    </row>
    <row r="437" spans="104:105" x14ac:dyDescent="0.2">
      <c r="CZ437" s="12"/>
      <c r="DA437" s="12"/>
    </row>
    <row r="438" spans="104:105" x14ac:dyDescent="0.2">
      <c r="CZ438" s="12"/>
      <c r="DA438" s="12"/>
    </row>
    <row r="439" spans="104:105" x14ac:dyDescent="0.2">
      <c r="CZ439" s="12"/>
      <c r="DA439" s="12"/>
    </row>
    <row r="440" spans="104:105" x14ac:dyDescent="0.2">
      <c r="CZ440" s="12"/>
      <c r="DA440" s="12"/>
    </row>
    <row r="441" spans="104:105" x14ac:dyDescent="0.2">
      <c r="CZ441" s="12"/>
      <c r="DA441" s="12"/>
    </row>
    <row r="442" spans="104:105" x14ac:dyDescent="0.2">
      <c r="CZ442" s="12"/>
      <c r="DA442" s="12"/>
    </row>
    <row r="443" spans="104:105" x14ac:dyDescent="0.2">
      <c r="CZ443" s="12"/>
      <c r="DA443" s="12"/>
    </row>
    <row r="444" spans="104:105" x14ac:dyDescent="0.2">
      <c r="CZ444" s="12"/>
      <c r="DA444" s="12"/>
    </row>
    <row r="445" spans="104:105" x14ac:dyDescent="0.2">
      <c r="CZ445" s="12"/>
      <c r="DA445" s="12"/>
    </row>
    <row r="446" spans="104:105" x14ac:dyDescent="0.2">
      <c r="CZ446" s="12"/>
      <c r="DA446" s="12"/>
    </row>
    <row r="447" spans="104:105" x14ac:dyDescent="0.2">
      <c r="CZ447" s="12"/>
      <c r="DA447" s="12"/>
    </row>
    <row r="448" spans="104:105" x14ac:dyDescent="0.2">
      <c r="CZ448" s="12"/>
      <c r="DA448" s="12"/>
    </row>
    <row r="449" spans="104:105" x14ac:dyDescent="0.2">
      <c r="CZ449" s="12"/>
      <c r="DA449" s="12"/>
    </row>
    <row r="450" spans="104:105" x14ac:dyDescent="0.2">
      <c r="CZ450" s="12"/>
      <c r="DA450" s="12"/>
    </row>
    <row r="451" spans="104:105" x14ac:dyDescent="0.2">
      <c r="CZ451" s="12"/>
      <c r="DA451" s="12"/>
    </row>
    <row r="452" spans="104:105" x14ac:dyDescent="0.2">
      <c r="CZ452" s="12"/>
      <c r="DA452" s="12"/>
    </row>
    <row r="453" spans="104:105" x14ac:dyDescent="0.2">
      <c r="CZ453" s="12"/>
      <c r="DA453" s="12"/>
    </row>
    <row r="454" spans="104:105" x14ac:dyDescent="0.2">
      <c r="CZ454" s="12"/>
      <c r="DA454" s="12"/>
    </row>
    <row r="455" spans="104:105" x14ac:dyDescent="0.2">
      <c r="CZ455" s="12"/>
      <c r="DA455" s="12"/>
    </row>
    <row r="456" spans="104:105" x14ac:dyDescent="0.2">
      <c r="CZ456" s="12"/>
      <c r="DA456" s="12"/>
    </row>
    <row r="457" spans="104:105" x14ac:dyDescent="0.2">
      <c r="CZ457" s="12"/>
      <c r="DA457" s="12"/>
    </row>
    <row r="458" spans="104:105" x14ac:dyDescent="0.2">
      <c r="CZ458" s="12"/>
      <c r="DA458" s="12"/>
    </row>
    <row r="459" spans="104:105" x14ac:dyDescent="0.2">
      <c r="CZ459" s="12"/>
      <c r="DA459" s="12"/>
    </row>
    <row r="460" spans="104:105" x14ac:dyDescent="0.2">
      <c r="CZ460" s="12"/>
      <c r="DA460" s="12"/>
    </row>
    <row r="461" spans="104:105" x14ac:dyDescent="0.2">
      <c r="CZ461" s="12"/>
      <c r="DA461" s="12"/>
    </row>
    <row r="462" spans="104:105" x14ac:dyDescent="0.2">
      <c r="CZ462" s="12"/>
      <c r="DA462" s="12"/>
    </row>
    <row r="463" spans="104:105" x14ac:dyDescent="0.2">
      <c r="CZ463" s="12"/>
      <c r="DA463" s="12"/>
    </row>
    <row r="464" spans="104:105" x14ac:dyDescent="0.2">
      <c r="CZ464" s="12"/>
      <c r="DA464" s="12"/>
    </row>
    <row r="465" spans="104:105" x14ac:dyDescent="0.2">
      <c r="CZ465" s="12"/>
      <c r="DA465" s="12"/>
    </row>
    <row r="466" spans="104:105" x14ac:dyDescent="0.2">
      <c r="CZ466" s="12"/>
      <c r="DA466" s="12"/>
    </row>
    <row r="467" spans="104:105" x14ac:dyDescent="0.2">
      <c r="CZ467" s="12"/>
      <c r="DA467" s="12"/>
    </row>
    <row r="468" spans="104:105" x14ac:dyDescent="0.2">
      <c r="CZ468" s="12"/>
      <c r="DA468" s="12"/>
    </row>
    <row r="469" spans="104:105" x14ac:dyDescent="0.2">
      <c r="CZ469" s="12"/>
      <c r="DA469" s="12"/>
    </row>
    <row r="470" spans="104:105" x14ac:dyDescent="0.2">
      <c r="CZ470" s="12"/>
      <c r="DA470" s="12"/>
    </row>
    <row r="471" spans="104:105" x14ac:dyDescent="0.2">
      <c r="CZ471" s="12"/>
      <c r="DA471" s="12"/>
    </row>
    <row r="472" spans="104:105" x14ac:dyDescent="0.2">
      <c r="CZ472" s="12"/>
      <c r="DA472" s="12"/>
    </row>
    <row r="473" spans="104:105" x14ac:dyDescent="0.2">
      <c r="CZ473" s="12"/>
      <c r="DA473" s="12"/>
    </row>
    <row r="474" spans="104:105" x14ac:dyDescent="0.2">
      <c r="CZ474" s="12"/>
      <c r="DA474" s="12"/>
    </row>
    <row r="475" spans="104:105" x14ac:dyDescent="0.2">
      <c r="CZ475" s="12"/>
      <c r="DA475" s="12"/>
    </row>
    <row r="476" spans="104:105" x14ac:dyDescent="0.2">
      <c r="CZ476" s="12"/>
      <c r="DA476" s="12"/>
    </row>
    <row r="477" spans="104:105" x14ac:dyDescent="0.2">
      <c r="CZ477" s="12"/>
      <c r="DA477" s="12"/>
    </row>
    <row r="478" spans="104:105" x14ac:dyDescent="0.2">
      <c r="CZ478" s="12"/>
      <c r="DA478" s="12"/>
    </row>
    <row r="479" spans="104:105" x14ac:dyDescent="0.2">
      <c r="CZ479" s="12"/>
      <c r="DA479" s="12"/>
    </row>
    <row r="480" spans="104:105" x14ac:dyDescent="0.2">
      <c r="CZ480" s="12"/>
      <c r="DA480" s="12"/>
    </row>
    <row r="481" spans="104:105" x14ac:dyDescent="0.2">
      <c r="CZ481" s="12"/>
      <c r="DA481" s="12"/>
    </row>
    <row r="482" spans="104:105" x14ac:dyDescent="0.2">
      <c r="CZ482" s="12"/>
      <c r="DA482" s="12"/>
    </row>
    <row r="483" spans="104:105" x14ac:dyDescent="0.2">
      <c r="CZ483" s="12"/>
      <c r="DA483" s="12"/>
    </row>
    <row r="484" spans="104:105" x14ac:dyDescent="0.2">
      <c r="CZ484" s="12"/>
      <c r="DA484" s="12"/>
    </row>
    <row r="485" spans="104:105" x14ac:dyDescent="0.2">
      <c r="CZ485" s="12"/>
      <c r="DA485" s="12"/>
    </row>
    <row r="486" spans="104:105" x14ac:dyDescent="0.2">
      <c r="CZ486" s="12"/>
      <c r="DA486" s="12"/>
    </row>
    <row r="487" spans="104:105" x14ac:dyDescent="0.2">
      <c r="CZ487" s="12"/>
      <c r="DA487" s="12"/>
    </row>
    <row r="488" spans="104:105" x14ac:dyDescent="0.2">
      <c r="CZ488" s="12"/>
      <c r="DA488" s="12"/>
    </row>
    <row r="489" spans="104:105" x14ac:dyDescent="0.2">
      <c r="CZ489" s="12"/>
      <c r="DA489" s="12"/>
    </row>
    <row r="490" spans="104:105" x14ac:dyDescent="0.2">
      <c r="CZ490" s="12"/>
      <c r="DA490" s="12"/>
    </row>
    <row r="491" spans="104:105" x14ac:dyDescent="0.2">
      <c r="CZ491" s="12"/>
      <c r="DA491" s="12"/>
    </row>
    <row r="492" spans="104:105" x14ac:dyDescent="0.2">
      <c r="CZ492" s="12"/>
      <c r="DA492" s="12"/>
    </row>
    <row r="493" spans="104:105" x14ac:dyDescent="0.2">
      <c r="CZ493" s="12"/>
      <c r="DA493" s="12"/>
    </row>
    <row r="494" spans="104:105" x14ac:dyDescent="0.2">
      <c r="CZ494" s="12"/>
      <c r="DA494" s="12"/>
    </row>
    <row r="495" spans="104:105" x14ac:dyDescent="0.2">
      <c r="CZ495" s="12"/>
      <c r="DA495" s="12"/>
    </row>
    <row r="496" spans="104:105" x14ac:dyDescent="0.2">
      <c r="CZ496" s="12"/>
      <c r="DA496" s="12"/>
    </row>
    <row r="497" spans="104:105" x14ac:dyDescent="0.2">
      <c r="CZ497" s="12"/>
      <c r="DA497" s="12"/>
    </row>
    <row r="498" spans="104:105" x14ac:dyDescent="0.2">
      <c r="CZ498" s="12"/>
      <c r="DA498" s="12"/>
    </row>
    <row r="499" spans="104:105" x14ac:dyDescent="0.2">
      <c r="CZ499" s="12"/>
      <c r="DA499" s="12"/>
    </row>
    <row r="500" spans="104:105" x14ac:dyDescent="0.2">
      <c r="CZ500" s="12"/>
      <c r="DA500" s="12"/>
    </row>
    <row r="501" spans="104:105" x14ac:dyDescent="0.2">
      <c r="CZ501" s="12"/>
      <c r="DA501" s="12"/>
    </row>
    <row r="502" spans="104:105" x14ac:dyDescent="0.2">
      <c r="CZ502" s="12"/>
      <c r="DA502" s="12"/>
    </row>
    <row r="503" spans="104:105" x14ac:dyDescent="0.2">
      <c r="CZ503" s="12"/>
      <c r="DA503" s="12"/>
    </row>
    <row r="504" spans="104:105" x14ac:dyDescent="0.2">
      <c r="CZ504" s="12"/>
      <c r="DA504" s="12"/>
    </row>
    <row r="505" spans="104:105" x14ac:dyDescent="0.2">
      <c r="CZ505" s="12"/>
      <c r="DA505" s="12"/>
    </row>
    <row r="506" spans="104:105" x14ac:dyDescent="0.2">
      <c r="CZ506" s="12"/>
      <c r="DA506" s="12"/>
    </row>
    <row r="507" spans="104:105" x14ac:dyDescent="0.2">
      <c r="CZ507" s="12"/>
      <c r="DA507" s="12"/>
    </row>
    <row r="508" spans="104:105" x14ac:dyDescent="0.2">
      <c r="CZ508" s="12"/>
      <c r="DA508" s="12"/>
    </row>
    <row r="509" spans="104:105" x14ac:dyDescent="0.2">
      <c r="CZ509" s="12"/>
      <c r="DA509" s="12"/>
    </row>
    <row r="510" spans="104:105" x14ac:dyDescent="0.2">
      <c r="CZ510" s="12"/>
      <c r="DA510" s="12"/>
    </row>
    <row r="511" spans="104:105" x14ac:dyDescent="0.2">
      <c r="CZ511" s="12"/>
      <c r="DA511" s="12"/>
    </row>
    <row r="512" spans="104:105" x14ac:dyDescent="0.2">
      <c r="CZ512" s="12"/>
      <c r="DA512" s="12"/>
    </row>
    <row r="513" spans="104:105" x14ac:dyDescent="0.2">
      <c r="CZ513" s="12"/>
      <c r="DA513" s="12"/>
    </row>
    <row r="514" spans="104:105" x14ac:dyDescent="0.2">
      <c r="CZ514" s="12"/>
      <c r="DA514" s="12"/>
    </row>
    <row r="515" spans="104:105" x14ac:dyDescent="0.2">
      <c r="CZ515" s="12"/>
      <c r="DA515" s="12"/>
    </row>
    <row r="516" spans="104:105" x14ac:dyDescent="0.2">
      <c r="CZ516" s="12"/>
      <c r="DA516" s="12"/>
    </row>
    <row r="517" spans="104:105" x14ac:dyDescent="0.2">
      <c r="CZ517" s="12"/>
      <c r="DA517" s="12"/>
    </row>
    <row r="518" spans="104:105" x14ac:dyDescent="0.2">
      <c r="CZ518" s="12"/>
      <c r="DA518" s="12"/>
    </row>
    <row r="519" spans="104:105" x14ac:dyDescent="0.2">
      <c r="CZ519" s="12"/>
      <c r="DA519" s="12"/>
    </row>
    <row r="520" spans="104:105" x14ac:dyDescent="0.2">
      <c r="CZ520" s="12"/>
      <c r="DA520" s="12"/>
    </row>
    <row r="521" spans="104:105" x14ac:dyDescent="0.2">
      <c r="CZ521" s="12"/>
      <c r="DA521" s="12"/>
    </row>
    <row r="522" spans="104:105" x14ac:dyDescent="0.2">
      <c r="CZ522" s="12"/>
      <c r="DA522" s="12"/>
    </row>
    <row r="523" spans="104:105" x14ac:dyDescent="0.2">
      <c r="CZ523" s="12"/>
      <c r="DA523" s="12"/>
    </row>
    <row r="524" spans="104:105" x14ac:dyDescent="0.2">
      <c r="CZ524" s="12"/>
      <c r="DA524" s="12"/>
    </row>
    <row r="525" spans="104:105" x14ac:dyDescent="0.2">
      <c r="CZ525" s="12"/>
      <c r="DA525" s="12"/>
    </row>
    <row r="526" spans="104:105" x14ac:dyDescent="0.2">
      <c r="CZ526" s="12"/>
      <c r="DA526" s="12"/>
    </row>
    <row r="527" spans="104:105" x14ac:dyDescent="0.2">
      <c r="CZ527" s="12"/>
      <c r="DA527" s="12"/>
    </row>
    <row r="528" spans="104:105" x14ac:dyDescent="0.2">
      <c r="CZ528" s="12"/>
      <c r="DA528" s="12"/>
    </row>
    <row r="529" spans="104:105" x14ac:dyDescent="0.2">
      <c r="CZ529" s="12"/>
      <c r="DA529" s="12"/>
    </row>
    <row r="530" spans="104:105" x14ac:dyDescent="0.2">
      <c r="CZ530" s="12"/>
      <c r="DA530" s="12"/>
    </row>
    <row r="531" spans="104:105" x14ac:dyDescent="0.2">
      <c r="CZ531" s="12"/>
      <c r="DA531" s="12"/>
    </row>
    <row r="532" spans="104:105" x14ac:dyDescent="0.2">
      <c r="CZ532" s="12"/>
      <c r="DA532" s="12"/>
    </row>
    <row r="533" spans="104:105" x14ac:dyDescent="0.2">
      <c r="CZ533" s="12"/>
      <c r="DA533" s="12"/>
    </row>
    <row r="534" spans="104:105" x14ac:dyDescent="0.2">
      <c r="CZ534" s="12"/>
      <c r="DA534" s="12"/>
    </row>
    <row r="535" spans="104:105" x14ac:dyDescent="0.2">
      <c r="CZ535" s="12"/>
      <c r="DA535" s="12"/>
    </row>
    <row r="536" spans="104:105" x14ac:dyDescent="0.2">
      <c r="CZ536" s="12"/>
      <c r="DA536" s="12"/>
    </row>
    <row r="537" spans="104:105" x14ac:dyDescent="0.2">
      <c r="CZ537" s="12"/>
      <c r="DA537" s="12"/>
    </row>
    <row r="538" spans="104:105" x14ac:dyDescent="0.2">
      <c r="CZ538" s="12"/>
      <c r="DA538" s="12"/>
    </row>
    <row r="539" spans="104:105" x14ac:dyDescent="0.2">
      <c r="CZ539" s="12"/>
      <c r="DA539" s="12"/>
    </row>
    <row r="540" spans="104:105" x14ac:dyDescent="0.2">
      <c r="CZ540" s="12"/>
      <c r="DA540" s="12"/>
    </row>
    <row r="541" spans="104:105" x14ac:dyDescent="0.2">
      <c r="CZ541" s="12"/>
      <c r="DA541" s="12"/>
    </row>
    <row r="542" spans="104:105" x14ac:dyDescent="0.2">
      <c r="CZ542" s="12"/>
      <c r="DA542" s="12"/>
    </row>
    <row r="543" spans="104:105" x14ac:dyDescent="0.2">
      <c r="CZ543" s="12"/>
      <c r="DA543" s="12"/>
    </row>
    <row r="544" spans="104:105" x14ac:dyDescent="0.2">
      <c r="CZ544" s="12"/>
      <c r="DA544" s="12"/>
    </row>
    <row r="545" spans="104:105" x14ac:dyDescent="0.2">
      <c r="CZ545" s="12"/>
      <c r="DA545" s="12"/>
    </row>
    <row r="546" spans="104:105" x14ac:dyDescent="0.2">
      <c r="CZ546" s="12"/>
      <c r="DA546" s="12"/>
    </row>
    <row r="547" spans="104:105" x14ac:dyDescent="0.2">
      <c r="CZ547" s="12"/>
      <c r="DA547" s="12"/>
    </row>
    <row r="548" spans="104:105" x14ac:dyDescent="0.2">
      <c r="CZ548" s="12"/>
      <c r="DA548" s="12"/>
    </row>
    <row r="549" spans="104:105" x14ac:dyDescent="0.2">
      <c r="CZ549" s="12"/>
      <c r="DA549" s="12"/>
    </row>
    <row r="550" spans="104:105" x14ac:dyDescent="0.2">
      <c r="CZ550" s="12"/>
      <c r="DA550" s="12"/>
    </row>
    <row r="551" spans="104:105" x14ac:dyDescent="0.2">
      <c r="CZ551" s="12"/>
      <c r="DA551" s="12"/>
    </row>
    <row r="552" spans="104:105" x14ac:dyDescent="0.2">
      <c r="CZ552" s="12"/>
      <c r="DA552" s="12"/>
    </row>
    <row r="553" spans="104:105" x14ac:dyDescent="0.2">
      <c r="CZ553" s="12"/>
      <c r="DA553" s="12"/>
    </row>
    <row r="554" spans="104:105" x14ac:dyDescent="0.2">
      <c r="CZ554" s="12"/>
      <c r="DA554" s="12"/>
    </row>
    <row r="555" spans="104:105" x14ac:dyDescent="0.2">
      <c r="CZ555" s="12"/>
      <c r="DA555" s="12"/>
    </row>
    <row r="556" spans="104:105" x14ac:dyDescent="0.2">
      <c r="CZ556" s="12"/>
      <c r="DA556" s="12"/>
    </row>
    <row r="557" spans="104:105" x14ac:dyDescent="0.2">
      <c r="CZ557" s="12"/>
      <c r="DA557" s="12"/>
    </row>
    <row r="558" spans="104:105" x14ac:dyDescent="0.2">
      <c r="CZ558" s="12"/>
      <c r="DA558" s="12"/>
    </row>
    <row r="559" spans="104:105" x14ac:dyDescent="0.2">
      <c r="CZ559" s="12"/>
      <c r="DA559" s="12"/>
    </row>
    <row r="560" spans="104:105" x14ac:dyDescent="0.2">
      <c r="CZ560" s="12"/>
      <c r="DA560" s="12"/>
    </row>
    <row r="561" spans="104:105" x14ac:dyDescent="0.2">
      <c r="CZ561" s="12"/>
      <c r="DA561" s="12"/>
    </row>
    <row r="562" spans="104:105" x14ac:dyDescent="0.2">
      <c r="CZ562" s="12"/>
      <c r="DA562" s="12"/>
    </row>
    <row r="563" spans="104:105" x14ac:dyDescent="0.2">
      <c r="CZ563" s="12"/>
      <c r="DA563" s="12"/>
    </row>
    <row r="564" spans="104:105" x14ac:dyDescent="0.2">
      <c r="CZ564" s="12"/>
      <c r="DA564" s="12"/>
    </row>
    <row r="565" spans="104:105" x14ac:dyDescent="0.2">
      <c r="CZ565" s="12"/>
      <c r="DA565" s="12"/>
    </row>
    <row r="566" spans="104:105" x14ac:dyDescent="0.2">
      <c r="CZ566" s="12"/>
      <c r="DA566" s="12"/>
    </row>
    <row r="567" spans="104:105" x14ac:dyDescent="0.2">
      <c r="CZ567" s="12"/>
      <c r="DA567" s="12"/>
    </row>
    <row r="568" spans="104:105" x14ac:dyDescent="0.2">
      <c r="CZ568" s="12"/>
      <c r="DA568" s="12"/>
    </row>
    <row r="569" spans="104:105" x14ac:dyDescent="0.2">
      <c r="CZ569" s="12"/>
      <c r="DA569" s="12"/>
    </row>
    <row r="570" spans="104:105" x14ac:dyDescent="0.2">
      <c r="CZ570" s="12"/>
      <c r="DA570" s="12"/>
    </row>
    <row r="571" spans="104:105" x14ac:dyDescent="0.2">
      <c r="CZ571" s="12"/>
      <c r="DA571" s="12"/>
    </row>
    <row r="572" spans="104:105" x14ac:dyDescent="0.2">
      <c r="CZ572" s="12"/>
      <c r="DA572" s="12"/>
    </row>
    <row r="573" spans="104:105" x14ac:dyDescent="0.2">
      <c r="CZ573" s="12"/>
      <c r="DA573" s="12"/>
    </row>
    <row r="574" spans="104:105" x14ac:dyDescent="0.2">
      <c r="CZ574" s="12"/>
      <c r="DA574" s="12"/>
    </row>
    <row r="575" spans="104:105" x14ac:dyDescent="0.2">
      <c r="CZ575" s="12"/>
      <c r="DA575" s="12"/>
    </row>
    <row r="576" spans="104:105" x14ac:dyDescent="0.2">
      <c r="CZ576" s="12"/>
      <c r="DA576" s="12"/>
    </row>
    <row r="577" spans="104:105" x14ac:dyDescent="0.2">
      <c r="CZ577" s="12"/>
      <c r="DA577" s="12"/>
    </row>
    <row r="578" spans="104:105" x14ac:dyDescent="0.2">
      <c r="CZ578" s="12"/>
      <c r="DA578" s="12"/>
    </row>
    <row r="579" spans="104:105" x14ac:dyDescent="0.2">
      <c r="CZ579" s="12"/>
      <c r="DA579" s="12"/>
    </row>
    <row r="580" spans="104:105" x14ac:dyDescent="0.2">
      <c r="CZ580" s="12"/>
      <c r="DA580" s="12"/>
    </row>
    <row r="581" spans="104:105" x14ac:dyDescent="0.2">
      <c r="CZ581" s="12"/>
      <c r="DA581" s="12"/>
    </row>
    <row r="582" spans="104:105" x14ac:dyDescent="0.2">
      <c r="CZ582" s="12"/>
      <c r="DA582" s="12"/>
    </row>
    <row r="583" spans="104:105" x14ac:dyDescent="0.2">
      <c r="CZ583" s="12"/>
      <c r="DA583" s="12"/>
    </row>
    <row r="584" spans="104:105" x14ac:dyDescent="0.2">
      <c r="CZ584" s="12"/>
      <c r="DA584" s="12"/>
    </row>
    <row r="585" spans="104:105" x14ac:dyDescent="0.2">
      <c r="CZ585" s="12"/>
      <c r="DA585" s="12"/>
    </row>
    <row r="586" spans="104:105" x14ac:dyDescent="0.2">
      <c r="CZ586" s="12"/>
      <c r="DA586" s="12"/>
    </row>
    <row r="587" spans="104:105" x14ac:dyDescent="0.2">
      <c r="CZ587" s="12"/>
      <c r="DA587" s="12"/>
    </row>
    <row r="588" spans="104:105" x14ac:dyDescent="0.2">
      <c r="CZ588" s="12"/>
      <c r="DA588" s="12"/>
    </row>
    <row r="589" spans="104:105" x14ac:dyDescent="0.2">
      <c r="CZ589" s="12"/>
      <c r="DA589" s="12"/>
    </row>
    <row r="590" spans="104:105" x14ac:dyDescent="0.2">
      <c r="CZ590" s="12"/>
      <c r="DA590" s="12"/>
    </row>
    <row r="591" spans="104:105" x14ac:dyDescent="0.2">
      <c r="CZ591" s="12"/>
      <c r="DA591" s="12"/>
    </row>
    <row r="592" spans="104:105" x14ac:dyDescent="0.2">
      <c r="CZ592" s="12"/>
      <c r="DA592" s="12"/>
    </row>
    <row r="593" spans="104:105" x14ac:dyDescent="0.2">
      <c r="CZ593" s="12"/>
      <c r="DA593" s="12"/>
    </row>
    <row r="594" spans="104:105" x14ac:dyDescent="0.2">
      <c r="CZ594" s="12"/>
      <c r="DA594" s="12"/>
    </row>
    <row r="595" spans="104:105" x14ac:dyDescent="0.2">
      <c r="CZ595" s="12"/>
      <c r="DA595" s="12"/>
    </row>
    <row r="596" spans="104:105" x14ac:dyDescent="0.2">
      <c r="CZ596" s="12"/>
      <c r="DA596" s="12"/>
    </row>
    <row r="597" spans="104:105" x14ac:dyDescent="0.2">
      <c r="CZ597" s="12"/>
      <c r="DA597" s="12"/>
    </row>
    <row r="598" spans="104:105" x14ac:dyDescent="0.2">
      <c r="CZ598" s="12"/>
      <c r="DA598" s="12"/>
    </row>
    <row r="599" spans="104:105" x14ac:dyDescent="0.2">
      <c r="CZ599" s="12"/>
      <c r="DA599" s="12"/>
    </row>
    <row r="600" spans="104:105" x14ac:dyDescent="0.2">
      <c r="CZ600" s="12"/>
      <c r="DA600" s="12"/>
    </row>
    <row r="601" spans="104:105" x14ac:dyDescent="0.2">
      <c r="CZ601" s="12"/>
      <c r="DA601" s="12"/>
    </row>
    <row r="602" spans="104:105" x14ac:dyDescent="0.2">
      <c r="CZ602" s="12"/>
      <c r="DA602" s="12"/>
    </row>
    <row r="603" spans="104:105" x14ac:dyDescent="0.2">
      <c r="CZ603" s="12"/>
      <c r="DA603" s="12"/>
    </row>
    <row r="604" spans="104:105" x14ac:dyDescent="0.2">
      <c r="CZ604" s="12"/>
      <c r="DA604" s="12"/>
    </row>
    <row r="605" spans="104:105" x14ac:dyDescent="0.2">
      <c r="CZ605" s="12"/>
      <c r="DA605" s="12"/>
    </row>
    <row r="606" spans="104:105" x14ac:dyDescent="0.2">
      <c r="CZ606" s="12"/>
      <c r="DA606" s="12"/>
    </row>
    <row r="607" spans="104:105" x14ac:dyDescent="0.2">
      <c r="CZ607" s="12"/>
      <c r="DA607" s="12"/>
    </row>
    <row r="608" spans="104:105" x14ac:dyDescent="0.2">
      <c r="CZ608" s="12"/>
      <c r="DA608" s="12"/>
    </row>
    <row r="609" spans="104:105" x14ac:dyDescent="0.2">
      <c r="CZ609" s="12"/>
      <c r="DA609" s="12"/>
    </row>
    <row r="610" spans="104:105" x14ac:dyDescent="0.2">
      <c r="CZ610" s="12"/>
      <c r="DA610" s="12"/>
    </row>
    <row r="611" spans="104:105" x14ac:dyDescent="0.2">
      <c r="CZ611" s="12"/>
      <c r="DA611" s="12"/>
    </row>
    <row r="612" spans="104:105" x14ac:dyDescent="0.2">
      <c r="CZ612" s="12"/>
      <c r="DA612" s="12"/>
    </row>
    <row r="613" spans="104:105" x14ac:dyDescent="0.2">
      <c r="CZ613" s="12"/>
      <c r="DA613" s="12"/>
    </row>
    <row r="614" spans="104:105" x14ac:dyDescent="0.2">
      <c r="CZ614" s="12"/>
      <c r="DA614" s="12"/>
    </row>
    <row r="615" spans="104:105" x14ac:dyDescent="0.2">
      <c r="CZ615" s="12"/>
      <c r="DA615" s="12"/>
    </row>
    <row r="616" spans="104:105" x14ac:dyDescent="0.2">
      <c r="CZ616" s="12"/>
      <c r="DA616" s="12"/>
    </row>
    <row r="617" spans="104:105" x14ac:dyDescent="0.2">
      <c r="CZ617" s="12"/>
      <c r="DA617" s="12"/>
    </row>
    <row r="618" spans="104:105" x14ac:dyDescent="0.2">
      <c r="CZ618" s="12"/>
      <c r="DA618" s="12"/>
    </row>
    <row r="619" spans="104:105" x14ac:dyDescent="0.2">
      <c r="CZ619" s="12"/>
      <c r="DA619" s="12"/>
    </row>
    <row r="620" spans="104:105" x14ac:dyDescent="0.2">
      <c r="CZ620" s="12"/>
      <c r="DA620" s="12"/>
    </row>
    <row r="621" spans="104:105" x14ac:dyDescent="0.2">
      <c r="CZ621" s="12"/>
      <c r="DA621" s="12"/>
    </row>
    <row r="622" spans="104:105" x14ac:dyDescent="0.2">
      <c r="CZ622" s="12"/>
      <c r="DA622" s="12"/>
    </row>
    <row r="623" spans="104:105" x14ac:dyDescent="0.2">
      <c r="CZ623" s="12"/>
      <c r="DA623" s="12"/>
    </row>
    <row r="624" spans="104:105" x14ac:dyDescent="0.2">
      <c r="CZ624" s="12"/>
      <c r="DA624" s="12"/>
    </row>
    <row r="625" spans="104:105" x14ac:dyDescent="0.2">
      <c r="CZ625" s="12"/>
      <c r="DA625" s="12"/>
    </row>
    <row r="626" spans="104:105" x14ac:dyDescent="0.2">
      <c r="CZ626" s="12"/>
      <c r="DA626" s="12"/>
    </row>
    <row r="627" spans="104:105" x14ac:dyDescent="0.2">
      <c r="CZ627" s="12"/>
      <c r="DA627" s="12"/>
    </row>
    <row r="628" spans="104:105" x14ac:dyDescent="0.2">
      <c r="CZ628" s="12"/>
      <c r="DA628" s="12"/>
    </row>
    <row r="629" spans="104:105" x14ac:dyDescent="0.2">
      <c r="CZ629" s="12"/>
      <c r="DA629" s="12"/>
    </row>
    <row r="630" spans="104:105" x14ac:dyDescent="0.2">
      <c r="CZ630" s="12"/>
      <c r="DA630" s="12"/>
    </row>
    <row r="631" spans="104:105" x14ac:dyDescent="0.2">
      <c r="CZ631" s="12"/>
      <c r="DA631" s="12"/>
    </row>
    <row r="632" spans="104:105" x14ac:dyDescent="0.2">
      <c r="CZ632" s="12"/>
      <c r="DA632" s="12"/>
    </row>
    <row r="633" spans="104:105" x14ac:dyDescent="0.2">
      <c r="CZ633" s="12"/>
      <c r="DA633" s="12"/>
    </row>
    <row r="634" spans="104:105" x14ac:dyDescent="0.2">
      <c r="CZ634" s="12"/>
      <c r="DA634" s="12"/>
    </row>
    <row r="635" spans="104:105" x14ac:dyDescent="0.2">
      <c r="CZ635" s="12"/>
      <c r="DA635" s="12"/>
    </row>
    <row r="636" spans="104:105" x14ac:dyDescent="0.2">
      <c r="CZ636" s="12"/>
      <c r="DA636" s="12"/>
    </row>
    <row r="637" spans="104:105" x14ac:dyDescent="0.2">
      <c r="CZ637" s="12"/>
      <c r="DA637" s="12"/>
    </row>
    <row r="638" spans="104:105" x14ac:dyDescent="0.2">
      <c r="CZ638" s="12"/>
      <c r="DA638" s="12"/>
    </row>
    <row r="639" spans="104:105" x14ac:dyDescent="0.2">
      <c r="CZ639" s="12"/>
      <c r="DA639" s="12"/>
    </row>
    <row r="640" spans="104:105" x14ac:dyDescent="0.2">
      <c r="CZ640" s="12"/>
      <c r="DA640" s="12"/>
    </row>
    <row r="641" spans="104:105" x14ac:dyDescent="0.2">
      <c r="CZ641" s="12"/>
      <c r="DA641" s="12"/>
    </row>
    <row r="642" spans="104:105" x14ac:dyDescent="0.2">
      <c r="CZ642" s="12"/>
      <c r="DA642" s="12"/>
    </row>
    <row r="643" spans="104:105" x14ac:dyDescent="0.2">
      <c r="CZ643" s="12"/>
      <c r="DA643" s="12"/>
    </row>
    <row r="644" spans="104:105" x14ac:dyDescent="0.2">
      <c r="CZ644" s="12"/>
      <c r="DA644" s="12"/>
    </row>
    <row r="645" spans="104:105" x14ac:dyDescent="0.2">
      <c r="CZ645" s="12"/>
      <c r="DA645" s="12"/>
    </row>
    <row r="646" spans="104:105" x14ac:dyDescent="0.2">
      <c r="CZ646" s="12"/>
      <c r="DA646" s="12"/>
    </row>
    <row r="647" spans="104:105" x14ac:dyDescent="0.2">
      <c r="CZ647" s="12"/>
      <c r="DA647" s="12"/>
    </row>
    <row r="648" spans="104:105" x14ac:dyDescent="0.2">
      <c r="CZ648" s="12"/>
      <c r="DA648" s="12"/>
    </row>
    <row r="649" spans="104:105" x14ac:dyDescent="0.2">
      <c r="CZ649" s="12"/>
      <c r="DA649" s="12"/>
    </row>
    <row r="650" spans="104:105" x14ac:dyDescent="0.2">
      <c r="CZ650" s="12"/>
      <c r="DA650" s="12"/>
    </row>
    <row r="651" spans="104:105" x14ac:dyDescent="0.2">
      <c r="CZ651" s="12"/>
      <c r="DA651" s="12"/>
    </row>
    <row r="652" spans="104:105" x14ac:dyDescent="0.2">
      <c r="CZ652" s="12"/>
      <c r="DA652" s="12"/>
    </row>
    <row r="653" spans="104:105" x14ac:dyDescent="0.2">
      <c r="CZ653" s="12"/>
      <c r="DA653" s="12"/>
    </row>
    <row r="654" spans="104:105" x14ac:dyDescent="0.2">
      <c r="CZ654" s="12"/>
      <c r="DA654" s="12"/>
    </row>
    <row r="655" spans="104:105" x14ac:dyDescent="0.2">
      <c r="CZ655" s="12"/>
      <c r="DA655" s="12"/>
    </row>
    <row r="656" spans="104:105" x14ac:dyDescent="0.2">
      <c r="CZ656" s="12"/>
      <c r="DA656" s="12"/>
    </row>
    <row r="657" spans="104:105" x14ac:dyDescent="0.2">
      <c r="CZ657" s="12"/>
      <c r="DA657" s="12"/>
    </row>
    <row r="658" spans="104:105" x14ac:dyDescent="0.2">
      <c r="CZ658" s="12"/>
      <c r="DA658" s="12"/>
    </row>
    <row r="659" spans="104:105" x14ac:dyDescent="0.2">
      <c r="CZ659" s="12"/>
      <c r="DA659" s="12"/>
    </row>
    <row r="660" spans="104:105" x14ac:dyDescent="0.2">
      <c r="CZ660" s="12"/>
      <c r="DA660" s="12"/>
    </row>
    <row r="661" spans="104:105" x14ac:dyDescent="0.2">
      <c r="CZ661" s="12"/>
      <c r="DA661" s="12"/>
    </row>
    <row r="662" spans="104:105" x14ac:dyDescent="0.2">
      <c r="CZ662" s="12"/>
      <c r="DA662" s="12"/>
    </row>
    <row r="663" spans="104:105" x14ac:dyDescent="0.2">
      <c r="CZ663" s="12"/>
      <c r="DA663" s="12"/>
    </row>
    <row r="664" spans="104:105" x14ac:dyDescent="0.2">
      <c r="CZ664" s="12"/>
      <c r="DA664" s="12"/>
    </row>
    <row r="665" spans="104:105" x14ac:dyDescent="0.2">
      <c r="CZ665" s="12"/>
      <c r="DA665" s="12"/>
    </row>
    <row r="666" spans="104:105" x14ac:dyDescent="0.2">
      <c r="CZ666" s="12"/>
      <c r="DA666" s="12"/>
    </row>
    <row r="667" spans="104:105" x14ac:dyDescent="0.2">
      <c r="CZ667" s="12"/>
      <c r="DA667" s="12"/>
    </row>
    <row r="668" spans="104:105" x14ac:dyDescent="0.2">
      <c r="CZ668" s="12"/>
      <c r="DA668" s="12"/>
    </row>
    <row r="669" spans="104:105" x14ac:dyDescent="0.2">
      <c r="CZ669" s="12"/>
      <c r="DA669" s="12"/>
    </row>
    <row r="670" spans="104:105" x14ac:dyDescent="0.2">
      <c r="CZ670" s="12"/>
      <c r="DA670" s="12"/>
    </row>
    <row r="671" spans="104:105" x14ac:dyDescent="0.2">
      <c r="CZ671" s="12"/>
      <c r="DA671" s="12"/>
    </row>
    <row r="672" spans="104:105" x14ac:dyDescent="0.2">
      <c r="CZ672" s="12"/>
      <c r="DA672" s="12"/>
    </row>
    <row r="673" spans="104:105" x14ac:dyDescent="0.2">
      <c r="CZ673" s="12"/>
      <c r="DA673" s="12"/>
    </row>
    <row r="674" spans="104:105" x14ac:dyDescent="0.2">
      <c r="CZ674" s="12"/>
      <c r="DA674" s="12"/>
    </row>
    <row r="675" spans="104:105" x14ac:dyDescent="0.2">
      <c r="CZ675" s="12"/>
      <c r="DA675" s="12"/>
    </row>
    <row r="676" spans="104:105" x14ac:dyDescent="0.2">
      <c r="CZ676" s="12"/>
      <c r="DA676" s="12"/>
    </row>
    <row r="677" spans="104:105" x14ac:dyDescent="0.2">
      <c r="CZ677" s="12"/>
      <c r="DA677" s="12"/>
    </row>
    <row r="678" spans="104:105" x14ac:dyDescent="0.2">
      <c r="CZ678" s="12"/>
      <c r="DA678" s="12"/>
    </row>
    <row r="679" spans="104:105" x14ac:dyDescent="0.2">
      <c r="CZ679" s="12"/>
      <c r="DA679" s="12"/>
    </row>
    <row r="680" spans="104:105" x14ac:dyDescent="0.2">
      <c r="CZ680" s="12"/>
      <c r="DA680" s="12"/>
    </row>
    <row r="681" spans="104:105" x14ac:dyDescent="0.2">
      <c r="CZ681" s="12"/>
      <c r="DA681" s="12"/>
    </row>
    <row r="682" spans="104:105" x14ac:dyDescent="0.2">
      <c r="CZ682" s="12"/>
      <c r="DA682" s="12"/>
    </row>
    <row r="683" spans="104:105" x14ac:dyDescent="0.2">
      <c r="CZ683" s="12"/>
      <c r="DA683" s="12"/>
    </row>
    <row r="684" spans="104:105" x14ac:dyDescent="0.2">
      <c r="CZ684" s="12"/>
      <c r="DA684" s="12"/>
    </row>
    <row r="685" spans="104:105" x14ac:dyDescent="0.2">
      <c r="CZ685" s="12"/>
      <c r="DA685" s="12"/>
    </row>
    <row r="686" spans="104:105" x14ac:dyDescent="0.2">
      <c r="CZ686" s="12"/>
      <c r="DA686" s="12"/>
    </row>
    <row r="687" spans="104:105" x14ac:dyDescent="0.2">
      <c r="CZ687" s="12"/>
      <c r="DA687" s="12"/>
    </row>
    <row r="688" spans="104:105" x14ac:dyDescent="0.2">
      <c r="CZ688" s="12"/>
      <c r="DA688" s="12"/>
    </row>
    <row r="689" spans="104:105" x14ac:dyDescent="0.2">
      <c r="CZ689" s="12"/>
      <c r="DA689" s="12"/>
    </row>
    <row r="690" spans="104:105" x14ac:dyDescent="0.2">
      <c r="CZ690" s="12"/>
      <c r="DA690" s="12"/>
    </row>
    <row r="691" spans="104:105" x14ac:dyDescent="0.2">
      <c r="CZ691" s="12"/>
      <c r="DA691" s="12"/>
    </row>
    <row r="692" spans="104:105" x14ac:dyDescent="0.2">
      <c r="CZ692" s="12"/>
      <c r="DA692" s="12"/>
    </row>
    <row r="693" spans="104:105" x14ac:dyDescent="0.2">
      <c r="CZ693" s="12"/>
      <c r="DA693" s="12"/>
    </row>
    <row r="694" spans="104:105" x14ac:dyDescent="0.2">
      <c r="CZ694" s="12"/>
      <c r="DA694" s="12"/>
    </row>
    <row r="695" spans="104:105" x14ac:dyDescent="0.2">
      <c r="CZ695" s="12"/>
      <c r="DA695" s="12"/>
    </row>
    <row r="696" spans="104:105" x14ac:dyDescent="0.2">
      <c r="CZ696" s="12"/>
      <c r="DA696" s="12"/>
    </row>
    <row r="697" spans="104:105" x14ac:dyDescent="0.2">
      <c r="CZ697" s="12"/>
      <c r="DA697" s="12"/>
    </row>
    <row r="698" spans="104:105" x14ac:dyDescent="0.2">
      <c r="CZ698" s="12"/>
      <c r="DA698" s="12"/>
    </row>
    <row r="699" spans="104:105" x14ac:dyDescent="0.2">
      <c r="CZ699" s="12"/>
      <c r="DA699" s="12"/>
    </row>
    <row r="700" spans="104:105" x14ac:dyDescent="0.2">
      <c r="CZ700" s="12"/>
      <c r="DA700" s="12"/>
    </row>
    <row r="701" spans="104:105" x14ac:dyDescent="0.2">
      <c r="CZ701" s="12"/>
      <c r="DA701" s="12"/>
    </row>
    <row r="702" spans="104:105" x14ac:dyDescent="0.2">
      <c r="CZ702" s="12"/>
      <c r="DA702" s="12"/>
    </row>
    <row r="703" spans="104:105" x14ac:dyDescent="0.2">
      <c r="CZ703" s="12"/>
      <c r="DA703" s="12"/>
    </row>
    <row r="704" spans="104:105" x14ac:dyDescent="0.2">
      <c r="CZ704" s="12"/>
      <c r="DA704" s="12"/>
    </row>
    <row r="705" spans="104:105" x14ac:dyDescent="0.2">
      <c r="CZ705" s="12"/>
      <c r="DA705" s="12"/>
    </row>
    <row r="706" spans="104:105" x14ac:dyDescent="0.2">
      <c r="CZ706" s="12"/>
      <c r="DA706" s="12"/>
    </row>
    <row r="707" spans="104:105" x14ac:dyDescent="0.2">
      <c r="CZ707" s="12"/>
      <c r="DA707" s="12"/>
    </row>
    <row r="708" spans="104:105" x14ac:dyDescent="0.2">
      <c r="CZ708" s="12"/>
      <c r="DA708" s="12"/>
    </row>
    <row r="709" spans="104:105" x14ac:dyDescent="0.2">
      <c r="CZ709" s="12"/>
      <c r="DA709" s="12"/>
    </row>
    <row r="710" spans="104:105" x14ac:dyDescent="0.2">
      <c r="CZ710" s="12"/>
      <c r="DA710" s="12"/>
    </row>
    <row r="711" spans="104:105" x14ac:dyDescent="0.2">
      <c r="CZ711" s="12"/>
      <c r="DA711" s="12"/>
    </row>
    <row r="712" spans="104:105" x14ac:dyDescent="0.2">
      <c r="CZ712" s="12"/>
      <c r="DA712" s="12"/>
    </row>
    <row r="713" spans="104:105" x14ac:dyDescent="0.2">
      <c r="CZ713" s="12"/>
      <c r="DA713" s="12"/>
    </row>
    <row r="714" spans="104:105" x14ac:dyDescent="0.2">
      <c r="CZ714" s="12"/>
      <c r="DA714" s="12"/>
    </row>
    <row r="715" spans="104:105" x14ac:dyDescent="0.2">
      <c r="CZ715" s="12"/>
      <c r="DA715" s="12"/>
    </row>
    <row r="716" spans="104:105" x14ac:dyDescent="0.2">
      <c r="CZ716" s="12"/>
      <c r="DA716" s="12"/>
    </row>
    <row r="717" spans="104:105" x14ac:dyDescent="0.2">
      <c r="CZ717" s="12"/>
      <c r="DA717" s="12"/>
    </row>
    <row r="718" spans="104:105" x14ac:dyDescent="0.2">
      <c r="CZ718" s="12"/>
      <c r="DA718" s="12"/>
    </row>
    <row r="719" spans="104:105" x14ac:dyDescent="0.2">
      <c r="CZ719" s="12"/>
      <c r="DA719" s="12"/>
    </row>
    <row r="720" spans="104:105" x14ac:dyDescent="0.2">
      <c r="CZ720" s="12"/>
      <c r="DA720" s="12"/>
    </row>
    <row r="721" spans="104:105" x14ac:dyDescent="0.2">
      <c r="CZ721" s="12"/>
      <c r="DA721" s="12"/>
    </row>
    <row r="722" spans="104:105" x14ac:dyDescent="0.2">
      <c r="CZ722" s="12"/>
      <c r="DA722" s="12"/>
    </row>
    <row r="723" spans="104:105" x14ac:dyDescent="0.2">
      <c r="CZ723" s="12"/>
      <c r="DA723" s="12"/>
    </row>
    <row r="724" spans="104:105" x14ac:dyDescent="0.2">
      <c r="CZ724" s="12"/>
      <c r="DA724" s="12"/>
    </row>
    <row r="725" spans="104:105" x14ac:dyDescent="0.2">
      <c r="CZ725" s="12"/>
      <c r="DA725" s="12"/>
    </row>
    <row r="726" spans="104:105" x14ac:dyDescent="0.2">
      <c r="CZ726" s="12"/>
      <c r="DA726" s="12"/>
    </row>
    <row r="727" spans="104:105" x14ac:dyDescent="0.2">
      <c r="CZ727" s="12"/>
      <c r="DA727" s="12"/>
    </row>
    <row r="728" spans="104:105" x14ac:dyDescent="0.2">
      <c r="CZ728" s="12"/>
      <c r="DA728" s="12"/>
    </row>
    <row r="729" spans="104:105" x14ac:dyDescent="0.2">
      <c r="CZ729" s="12"/>
      <c r="DA729" s="12"/>
    </row>
    <row r="730" spans="104:105" x14ac:dyDescent="0.2">
      <c r="CZ730" s="12"/>
      <c r="DA730" s="12"/>
    </row>
    <row r="731" spans="104:105" x14ac:dyDescent="0.2">
      <c r="CZ731" s="12"/>
      <c r="DA731" s="12"/>
    </row>
    <row r="732" spans="104:105" x14ac:dyDescent="0.2">
      <c r="CZ732" s="12"/>
      <c r="DA732" s="12"/>
    </row>
    <row r="733" spans="104:105" x14ac:dyDescent="0.2">
      <c r="CZ733" s="12"/>
      <c r="DA733" s="12"/>
    </row>
    <row r="734" spans="104:105" x14ac:dyDescent="0.2">
      <c r="CZ734" s="12"/>
      <c r="DA734" s="12"/>
    </row>
    <row r="735" spans="104:105" x14ac:dyDescent="0.2">
      <c r="CZ735" s="12"/>
      <c r="DA735" s="12"/>
    </row>
    <row r="736" spans="104:105" x14ac:dyDescent="0.2">
      <c r="CZ736" s="12"/>
      <c r="DA736" s="12"/>
    </row>
    <row r="737" spans="104:105" x14ac:dyDescent="0.2">
      <c r="CZ737" s="12"/>
      <c r="DA737" s="12"/>
    </row>
    <row r="738" spans="104:105" x14ac:dyDescent="0.2">
      <c r="CZ738" s="12"/>
      <c r="DA738" s="12"/>
    </row>
    <row r="739" spans="104:105" x14ac:dyDescent="0.2">
      <c r="CZ739" s="12"/>
      <c r="DA739" s="12"/>
    </row>
    <row r="740" spans="104:105" x14ac:dyDescent="0.2">
      <c r="CZ740" s="12"/>
      <c r="DA740" s="12"/>
    </row>
    <row r="741" spans="104:105" x14ac:dyDescent="0.2">
      <c r="CZ741" s="12"/>
      <c r="DA741" s="12"/>
    </row>
    <row r="742" spans="104:105" x14ac:dyDescent="0.2">
      <c r="CZ742" s="12"/>
      <c r="DA742" s="12"/>
    </row>
    <row r="743" spans="104:105" x14ac:dyDescent="0.2">
      <c r="CZ743" s="12"/>
      <c r="DA743" s="12"/>
    </row>
    <row r="744" spans="104:105" x14ac:dyDescent="0.2">
      <c r="CZ744" s="12"/>
      <c r="DA744" s="12"/>
    </row>
    <row r="745" spans="104:105" x14ac:dyDescent="0.2">
      <c r="CZ745" s="12"/>
      <c r="DA745" s="12"/>
    </row>
    <row r="746" spans="104:105" x14ac:dyDescent="0.2">
      <c r="CZ746" s="12"/>
      <c r="DA746" s="12"/>
    </row>
    <row r="747" spans="104:105" x14ac:dyDescent="0.2">
      <c r="CZ747" s="12"/>
      <c r="DA747" s="12"/>
    </row>
    <row r="748" spans="104:105" x14ac:dyDescent="0.2">
      <c r="CZ748" s="12"/>
      <c r="DA748" s="12"/>
    </row>
    <row r="749" spans="104:105" x14ac:dyDescent="0.2">
      <c r="CZ749" s="12"/>
      <c r="DA749" s="12"/>
    </row>
    <row r="750" spans="104:105" x14ac:dyDescent="0.2">
      <c r="CZ750" s="12"/>
      <c r="DA750" s="12"/>
    </row>
    <row r="751" spans="104:105" x14ac:dyDescent="0.2">
      <c r="CZ751" s="12"/>
      <c r="DA751" s="12"/>
    </row>
    <row r="752" spans="104:105" x14ac:dyDescent="0.2">
      <c r="CZ752" s="12"/>
      <c r="DA752" s="12"/>
    </row>
    <row r="753" spans="104:105" x14ac:dyDescent="0.2">
      <c r="CZ753" s="12"/>
      <c r="DA753" s="12"/>
    </row>
    <row r="754" spans="104:105" x14ac:dyDescent="0.2">
      <c r="CZ754" s="12"/>
      <c r="DA754" s="12"/>
    </row>
    <row r="755" spans="104:105" x14ac:dyDescent="0.2">
      <c r="CZ755" s="12"/>
      <c r="DA755" s="12"/>
    </row>
    <row r="756" spans="104:105" x14ac:dyDescent="0.2">
      <c r="CZ756" s="12"/>
      <c r="DA756" s="12"/>
    </row>
    <row r="757" spans="104:105" x14ac:dyDescent="0.2">
      <c r="CZ757" s="12"/>
      <c r="DA757" s="12"/>
    </row>
    <row r="758" spans="104:105" x14ac:dyDescent="0.2">
      <c r="CZ758" s="12"/>
      <c r="DA758" s="12"/>
    </row>
    <row r="759" spans="104:105" x14ac:dyDescent="0.2">
      <c r="CZ759" s="12"/>
      <c r="DA759" s="12"/>
    </row>
    <row r="760" spans="104:105" x14ac:dyDescent="0.2">
      <c r="CZ760" s="12"/>
      <c r="DA760" s="12"/>
    </row>
    <row r="761" spans="104:105" x14ac:dyDescent="0.2">
      <c r="CZ761" s="12"/>
      <c r="DA761" s="12"/>
    </row>
    <row r="762" spans="104:105" x14ac:dyDescent="0.2">
      <c r="CZ762" s="12"/>
      <c r="DA762" s="12"/>
    </row>
    <row r="763" spans="104:105" x14ac:dyDescent="0.2">
      <c r="CZ763" s="12"/>
      <c r="DA763" s="12"/>
    </row>
    <row r="764" spans="104:105" x14ac:dyDescent="0.2">
      <c r="CZ764" s="12"/>
      <c r="DA764" s="12"/>
    </row>
    <row r="765" spans="104:105" x14ac:dyDescent="0.2">
      <c r="CZ765" s="12"/>
      <c r="DA765" s="12"/>
    </row>
    <row r="766" spans="104:105" x14ac:dyDescent="0.2">
      <c r="CZ766" s="12"/>
      <c r="DA766" s="12"/>
    </row>
    <row r="767" spans="104:105" x14ac:dyDescent="0.2">
      <c r="CZ767" s="12"/>
      <c r="DA767" s="12"/>
    </row>
    <row r="768" spans="104:105" x14ac:dyDescent="0.2">
      <c r="CZ768" s="12"/>
      <c r="DA768" s="12"/>
    </row>
    <row r="769" spans="104:105" x14ac:dyDescent="0.2">
      <c r="CZ769" s="12"/>
      <c r="DA769" s="12"/>
    </row>
    <row r="770" spans="104:105" x14ac:dyDescent="0.2">
      <c r="CZ770" s="12"/>
      <c r="DA770" s="12"/>
    </row>
    <row r="771" spans="104:105" x14ac:dyDescent="0.2">
      <c r="CZ771" s="12"/>
      <c r="DA771" s="12"/>
    </row>
    <row r="772" spans="104:105" x14ac:dyDescent="0.2">
      <c r="CZ772" s="12"/>
      <c r="DA772" s="12"/>
    </row>
    <row r="773" spans="104:105" x14ac:dyDescent="0.2">
      <c r="CZ773" s="12"/>
      <c r="DA773" s="12"/>
    </row>
    <row r="774" spans="104:105" x14ac:dyDescent="0.2">
      <c r="CZ774" s="12"/>
      <c r="DA774" s="12"/>
    </row>
    <row r="775" spans="104:105" x14ac:dyDescent="0.2">
      <c r="CZ775" s="12"/>
      <c r="DA775" s="12"/>
    </row>
    <row r="776" spans="104:105" x14ac:dyDescent="0.2">
      <c r="CZ776" s="12"/>
      <c r="DA776" s="12"/>
    </row>
    <row r="777" spans="104:105" x14ac:dyDescent="0.2">
      <c r="CZ777" s="12"/>
      <c r="DA777" s="12"/>
    </row>
    <row r="778" spans="104:105" x14ac:dyDescent="0.2">
      <c r="CZ778" s="12"/>
      <c r="DA778" s="12"/>
    </row>
    <row r="779" spans="104:105" x14ac:dyDescent="0.2">
      <c r="CZ779" s="12"/>
      <c r="DA779" s="12"/>
    </row>
    <row r="780" spans="104:105" x14ac:dyDescent="0.2">
      <c r="CZ780" s="12"/>
      <c r="DA780" s="12"/>
    </row>
    <row r="781" spans="104:105" x14ac:dyDescent="0.2">
      <c r="CZ781" s="12"/>
      <c r="DA781" s="12"/>
    </row>
    <row r="782" spans="104:105" x14ac:dyDescent="0.2">
      <c r="CZ782" s="12"/>
      <c r="DA782" s="12"/>
    </row>
    <row r="783" spans="104:105" x14ac:dyDescent="0.2">
      <c r="CZ783" s="12"/>
      <c r="DA783" s="12"/>
    </row>
    <row r="784" spans="104:105" x14ac:dyDescent="0.2">
      <c r="CZ784" s="12"/>
      <c r="DA784" s="12"/>
    </row>
    <row r="785" spans="104:105" x14ac:dyDescent="0.2">
      <c r="CZ785" s="12"/>
      <c r="DA785" s="12"/>
    </row>
    <row r="786" spans="104:105" x14ac:dyDescent="0.2">
      <c r="CZ786" s="12"/>
      <c r="DA786" s="12"/>
    </row>
    <row r="787" spans="104:105" x14ac:dyDescent="0.2">
      <c r="CZ787" s="12"/>
      <c r="DA787" s="12"/>
    </row>
    <row r="788" spans="104:105" x14ac:dyDescent="0.2">
      <c r="CZ788" s="12"/>
      <c r="DA788" s="12"/>
    </row>
    <row r="789" spans="104:105" x14ac:dyDescent="0.2">
      <c r="CZ789" s="12"/>
      <c r="DA789" s="12"/>
    </row>
    <row r="790" spans="104:105" x14ac:dyDescent="0.2">
      <c r="CZ790" s="12"/>
      <c r="DA790" s="12"/>
    </row>
    <row r="791" spans="104:105" x14ac:dyDescent="0.2">
      <c r="CZ791" s="12"/>
      <c r="DA791" s="12"/>
    </row>
    <row r="792" spans="104:105" x14ac:dyDescent="0.2">
      <c r="CZ792" s="12"/>
      <c r="DA792" s="12"/>
    </row>
    <row r="793" spans="104:105" x14ac:dyDescent="0.2">
      <c r="CZ793" s="12"/>
      <c r="DA793" s="12"/>
    </row>
    <row r="794" spans="104:105" x14ac:dyDescent="0.2">
      <c r="CZ794" s="12"/>
      <c r="DA794" s="12"/>
    </row>
    <row r="795" spans="104:105" x14ac:dyDescent="0.2">
      <c r="CZ795" s="12"/>
      <c r="DA795" s="12"/>
    </row>
    <row r="796" spans="104:105" x14ac:dyDescent="0.2">
      <c r="CZ796" s="12"/>
      <c r="DA796" s="12"/>
    </row>
    <row r="797" spans="104:105" x14ac:dyDescent="0.2">
      <c r="CZ797" s="12"/>
      <c r="DA797" s="12"/>
    </row>
    <row r="798" spans="104:105" x14ac:dyDescent="0.2">
      <c r="CZ798" s="12"/>
      <c r="DA798" s="12"/>
    </row>
    <row r="799" spans="104:105" x14ac:dyDescent="0.2">
      <c r="CZ799" s="12"/>
      <c r="DA799" s="12"/>
    </row>
    <row r="800" spans="104:105" x14ac:dyDescent="0.2">
      <c r="CZ800" s="12"/>
      <c r="DA800" s="12"/>
    </row>
    <row r="801" spans="104:105" x14ac:dyDescent="0.2">
      <c r="CZ801" s="12"/>
      <c r="DA801" s="12"/>
    </row>
    <row r="802" spans="104:105" x14ac:dyDescent="0.2">
      <c r="CZ802" s="12"/>
      <c r="DA802" s="12"/>
    </row>
    <row r="803" spans="104:105" x14ac:dyDescent="0.2">
      <c r="CZ803" s="12"/>
      <c r="DA803" s="12"/>
    </row>
    <row r="804" spans="104:105" x14ac:dyDescent="0.2">
      <c r="CZ804" s="12"/>
      <c r="DA804" s="12"/>
    </row>
    <row r="805" spans="104:105" x14ac:dyDescent="0.2">
      <c r="CZ805" s="12"/>
      <c r="DA805" s="12"/>
    </row>
    <row r="806" spans="104:105" x14ac:dyDescent="0.2">
      <c r="CZ806" s="12"/>
      <c r="DA806" s="12"/>
    </row>
    <row r="807" spans="104:105" x14ac:dyDescent="0.2">
      <c r="CZ807" s="12"/>
      <c r="DA807" s="12"/>
    </row>
    <row r="808" spans="104:105" x14ac:dyDescent="0.2">
      <c r="CZ808" s="12"/>
      <c r="DA808" s="12"/>
    </row>
    <row r="809" spans="104:105" x14ac:dyDescent="0.2">
      <c r="CZ809" s="12"/>
      <c r="DA809" s="12"/>
    </row>
    <row r="810" spans="104:105" x14ac:dyDescent="0.2">
      <c r="CZ810" s="12"/>
      <c r="DA810" s="12"/>
    </row>
    <row r="811" spans="104:105" x14ac:dyDescent="0.2">
      <c r="CZ811" s="12"/>
      <c r="DA811" s="12"/>
    </row>
    <row r="812" spans="104:105" x14ac:dyDescent="0.2">
      <c r="CZ812" s="12"/>
      <c r="DA812" s="12"/>
    </row>
    <row r="813" spans="104:105" x14ac:dyDescent="0.2">
      <c r="CZ813" s="12"/>
      <c r="DA813" s="12"/>
    </row>
    <row r="814" spans="104:105" x14ac:dyDescent="0.2">
      <c r="CZ814" s="12"/>
      <c r="DA814" s="12"/>
    </row>
    <row r="815" spans="104:105" x14ac:dyDescent="0.2">
      <c r="CZ815" s="12"/>
      <c r="DA815" s="12"/>
    </row>
    <row r="816" spans="104:105" x14ac:dyDescent="0.2">
      <c r="CZ816" s="12"/>
      <c r="DA816" s="12"/>
    </row>
    <row r="817" spans="104:105" x14ac:dyDescent="0.2">
      <c r="CZ817" s="12"/>
      <c r="DA817" s="12"/>
    </row>
    <row r="818" spans="104:105" x14ac:dyDescent="0.2">
      <c r="CZ818" s="12"/>
      <c r="DA818" s="12"/>
    </row>
    <row r="819" spans="104:105" x14ac:dyDescent="0.2">
      <c r="CZ819" s="12"/>
      <c r="DA819" s="12"/>
    </row>
    <row r="820" spans="104:105" x14ac:dyDescent="0.2">
      <c r="CZ820" s="12"/>
      <c r="DA820" s="12"/>
    </row>
    <row r="821" spans="104:105" x14ac:dyDescent="0.2">
      <c r="CZ821" s="12"/>
      <c r="DA821" s="12"/>
    </row>
    <row r="822" spans="104:105" x14ac:dyDescent="0.2">
      <c r="CZ822" s="12"/>
      <c r="DA822" s="12"/>
    </row>
    <row r="823" spans="104:105" x14ac:dyDescent="0.2">
      <c r="CZ823" s="12"/>
      <c r="DA823" s="12"/>
    </row>
    <row r="824" spans="104:105" x14ac:dyDescent="0.2">
      <c r="CZ824" s="12"/>
      <c r="DA824" s="12"/>
    </row>
    <row r="825" spans="104:105" x14ac:dyDescent="0.2">
      <c r="CZ825" s="12"/>
      <c r="DA825" s="12"/>
    </row>
    <row r="826" spans="104:105" x14ac:dyDescent="0.2">
      <c r="CZ826" s="12"/>
      <c r="DA826" s="12"/>
    </row>
    <row r="827" spans="104:105" x14ac:dyDescent="0.2">
      <c r="CZ827" s="12"/>
      <c r="DA827" s="12"/>
    </row>
    <row r="828" spans="104:105" x14ac:dyDescent="0.2">
      <c r="CZ828" s="12"/>
      <c r="DA828" s="12"/>
    </row>
    <row r="829" spans="104:105" x14ac:dyDescent="0.2">
      <c r="CZ829" s="12"/>
      <c r="DA829" s="12"/>
    </row>
    <row r="830" spans="104:105" x14ac:dyDescent="0.2">
      <c r="CZ830" s="12"/>
      <c r="DA830" s="12"/>
    </row>
    <row r="831" spans="104:105" x14ac:dyDescent="0.2">
      <c r="CZ831" s="12"/>
      <c r="DA831" s="12"/>
    </row>
    <row r="832" spans="104:105" x14ac:dyDescent="0.2">
      <c r="CZ832" s="12"/>
      <c r="DA832" s="12"/>
    </row>
    <row r="833" spans="104:105" x14ac:dyDescent="0.2">
      <c r="CZ833" s="12"/>
      <c r="DA833" s="12"/>
    </row>
    <row r="834" spans="104:105" x14ac:dyDescent="0.2">
      <c r="CZ834" s="12"/>
      <c r="DA834" s="12"/>
    </row>
    <row r="835" spans="104:105" x14ac:dyDescent="0.2">
      <c r="CZ835" s="12"/>
      <c r="DA835" s="12"/>
    </row>
    <row r="836" spans="104:105" x14ac:dyDescent="0.2">
      <c r="CZ836" s="12"/>
      <c r="DA836" s="12"/>
    </row>
    <row r="837" spans="104:105" x14ac:dyDescent="0.2">
      <c r="CZ837" s="12"/>
      <c r="DA837" s="12"/>
    </row>
    <row r="838" spans="104:105" x14ac:dyDescent="0.2">
      <c r="CZ838" s="12"/>
      <c r="DA838" s="12"/>
    </row>
    <row r="839" spans="104:105" x14ac:dyDescent="0.2">
      <c r="CZ839" s="12"/>
      <c r="DA839" s="12"/>
    </row>
    <row r="840" spans="104:105" x14ac:dyDescent="0.2">
      <c r="CZ840" s="12"/>
      <c r="DA840" s="12"/>
    </row>
    <row r="841" spans="104:105" x14ac:dyDescent="0.2">
      <c r="CZ841" s="12"/>
      <c r="DA841" s="12"/>
    </row>
    <row r="842" spans="104:105" x14ac:dyDescent="0.2">
      <c r="CZ842" s="12"/>
      <c r="DA842" s="12"/>
    </row>
    <row r="843" spans="104:105" x14ac:dyDescent="0.2">
      <c r="CZ843" s="12"/>
      <c r="DA843" s="12"/>
    </row>
    <row r="844" spans="104:105" x14ac:dyDescent="0.2">
      <c r="CZ844" s="12"/>
      <c r="DA844" s="12"/>
    </row>
    <row r="845" spans="104:105" x14ac:dyDescent="0.2">
      <c r="CZ845" s="12"/>
      <c r="DA845" s="12"/>
    </row>
    <row r="846" spans="104:105" x14ac:dyDescent="0.2">
      <c r="CZ846" s="12"/>
      <c r="DA846" s="12"/>
    </row>
    <row r="847" spans="104:105" x14ac:dyDescent="0.2">
      <c r="CZ847" s="12"/>
      <c r="DA847" s="12"/>
    </row>
    <row r="848" spans="104:105" x14ac:dyDescent="0.2">
      <c r="CZ848" s="12"/>
      <c r="DA848" s="12"/>
    </row>
    <row r="849" spans="104:105" x14ac:dyDescent="0.2">
      <c r="CZ849" s="12"/>
      <c r="DA849" s="12"/>
    </row>
    <row r="850" spans="104:105" x14ac:dyDescent="0.2">
      <c r="CZ850" s="12"/>
      <c r="DA850" s="12"/>
    </row>
    <row r="851" spans="104:105" x14ac:dyDescent="0.2">
      <c r="CZ851" s="12"/>
      <c r="DA851" s="12"/>
    </row>
    <row r="852" spans="104:105" x14ac:dyDescent="0.2">
      <c r="CZ852" s="12"/>
      <c r="DA852" s="12"/>
    </row>
    <row r="853" spans="104:105" x14ac:dyDescent="0.2">
      <c r="CZ853" s="12"/>
      <c r="DA853" s="12"/>
    </row>
    <row r="854" spans="104:105" x14ac:dyDescent="0.2">
      <c r="CZ854" s="12"/>
      <c r="DA854" s="12"/>
    </row>
    <row r="855" spans="104:105" x14ac:dyDescent="0.2">
      <c r="CZ855" s="12"/>
      <c r="DA855" s="12"/>
    </row>
    <row r="856" spans="104:105" x14ac:dyDescent="0.2">
      <c r="CZ856" s="12"/>
      <c r="DA856" s="12"/>
    </row>
    <row r="857" spans="104:105" x14ac:dyDescent="0.2">
      <c r="CZ857" s="12"/>
      <c r="DA857" s="12"/>
    </row>
    <row r="858" spans="104:105" x14ac:dyDescent="0.2">
      <c r="CZ858" s="12"/>
      <c r="DA858" s="12"/>
    </row>
    <row r="859" spans="104:105" x14ac:dyDescent="0.2">
      <c r="CZ859" s="12"/>
      <c r="DA859" s="12"/>
    </row>
    <row r="860" spans="104:105" x14ac:dyDescent="0.2">
      <c r="CZ860" s="12"/>
      <c r="DA860" s="12"/>
    </row>
    <row r="861" spans="104:105" x14ac:dyDescent="0.2">
      <c r="CZ861" s="12"/>
      <c r="DA861" s="12"/>
    </row>
    <row r="862" spans="104:105" x14ac:dyDescent="0.2">
      <c r="CZ862" s="12"/>
      <c r="DA862" s="12"/>
    </row>
    <row r="863" spans="104:105" x14ac:dyDescent="0.2">
      <c r="CZ863" s="12"/>
      <c r="DA863" s="12"/>
    </row>
    <row r="864" spans="104:105" x14ac:dyDescent="0.2">
      <c r="CZ864" s="12"/>
      <c r="DA864" s="12"/>
    </row>
    <row r="865" spans="104:105" x14ac:dyDescent="0.2">
      <c r="CZ865" s="12"/>
      <c r="DA865" s="12"/>
    </row>
    <row r="866" spans="104:105" x14ac:dyDescent="0.2">
      <c r="CZ866" s="12"/>
      <c r="DA866" s="12"/>
    </row>
    <row r="867" spans="104:105" x14ac:dyDescent="0.2">
      <c r="CZ867" s="12"/>
      <c r="DA867" s="12"/>
    </row>
    <row r="868" spans="104:105" x14ac:dyDescent="0.2">
      <c r="CZ868" s="12"/>
      <c r="DA868" s="12"/>
    </row>
    <row r="869" spans="104:105" x14ac:dyDescent="0.2">
      <c r="CZ869" s="12"/>
      <c r="DA869" s="12"/>
    </row>
    <row r="870" spans="104:105" x14ac:dyDescent="0.2">
      <c r="CZ870" s="12"/>
      <c r="DA870" s="12"/>
    </row>
    <row r="871" spans="104:105" x14ac:dyDescent="0.2">
      <c r="CZ871" s="12"/>
      <c r="DA871" s="12"/>
    </row>
    <row r="872" spans="104:105" x14ac:dyDescent="0.2">
      <c r="CZ872" s="12"/>
      <c r="DA872" s="12"/>
    </row>
    <row r="873" spans="104:105" x14ac:dyDescent="0.2">
      <c r="CZ873" s="12"/>
      <c r="DA873" s="12"/>
    </row>
    <row r="874" spans="104:105" x14ac:dyDescent="0.2">
      <c r="CZ874" s="12"/>
      <c r="DA874" s="12"/>
    </row>
    <row r="875" spans="104:105" x14ac:dyDescent="0.2">
      <c r="CZ875" s="12"/>
      <c r="DA875" s="12"/>
    </row>
    <row r="876" spans="104:105" x14ac:dyDescent="0.2">
      <c r="CZ876" s="12"/>
      <c r="DA876" s="12"/>
    </row>
    <row r="877" spans="104:105" x14ac:dyDescent="0.2">
      <c r="CZ877" s="12"/>
      <c r="DA877" s="12"/>
    </row>
    <row r="878" spans="104:105" x14ac:dyDescent="0.2">
      <c r="CZ878" s="12"/>
      <c r="DA878" s="12"/>
    </row>
    <row r="879" spans="104:105" x14ac:dyDescent="0.2">
      <c r="CZ879" s="12"/>
      <c r="DA879" s="12"/>
    </row>
    <row r="880" spans="104:105" x14ac:dyDescent="0.2">
      <c r="CZ880" s="12"/>
      <c r="DA880" s="12"/>
    </row>
    <row r="881" spans="104:105" x14ac:dyDescent="0.2">
      <c r="CZ881" s="12"/>
      <c r="DA881" s="12"/>
    </row>
    <row r="882" spans="104:105" x14ac:dyDescent="0.2">
      <c r="CZ882" s="12"/>
      <c r="DA882" s="12"/>
    </row>
    <row r="883" spans="104:105" x14ac:dyDescent="0.2">
      <c r="CZ883" s="12"/>
      <c r="DA883" s="12"/>
    </row>
    <row r="884" spans="104:105" x14ac:dyDescent="0.2">
      <c r="CZ884" s="12"/>
      <c r="DA884" s="12"/>
    </row>
    <row r="885" spans="104:105" x14ac:dyDescent="0.2">
      <c r="CZ885" s="12"/>
      <c r="DA885" s="12"/>
    </row>
    <row r="886" spans="104:105" x14ac:dyDescent="0.2">
      <c r="CZ886" s="12"/>
      <c r="DA886" s="12"/>
    </row>
    <row r="887" spans="104:105" x14ac:dyDescent="0.2">
      <c r="CZ887" s="12"/>
      <c r="DA887" s="12"/>
    </row>
    <row r="888" spans="104:105" x14ac:dyDescent="0.2">
      <c r="CZ888" s="12"/>
      <c r="DA888" s="12"/>
    </row>
    <row r="889" spans="104:105" x14ac:dyDescent="0.2">
      <c r="CZ889" s="12"/>
      <c r="DA889" s="12"/>
    </row>
    <row r="890" spans="104:105" x14ac:dyDescent="0.2">
      <c r="CZ890" s="12"/>
      <c r="DA890" s="12"/>
    </row>
    <row r="891" spans="104:105" x14ac:dyDescent="0.2">
      <c r="CZ891" s="12"/>
      <c r="DA891" s="12"/>
    </row>
    <row r="892" spans="104:105" x14ac:dyDescent="0.2">
      <c r="CZ892" s="12"/>
      <c r="DA892" s="12"/>
    </row>
    <row r="893" spans="104:105" x14ac:dyDescent="0.2">
      <c r="CZ893" s="12"/>
      <c r="DA893" s="12"/>
    </row>
    <row r="894" spans="104:105" x14ac:dyDescent="0.2">
      <c r="CZ894" s="12"/>
      <c r="DA894" s="12"/>
    </row>
    <row r="895" spans="104:105" x14ac:dyDescent="0.2">
      <c r="CZ895" s="12"/>
      <c r="DA895" s="12"/>
    </row>
    <row r="896" spans="104:105" x14ac:dyDescent="0.2">
      <c r="CZ896" s="12"/>
      <c r="DA896" s="12"/>
    </row>
    <row r="897" spans="104:105" x14ac:dyDescent="0.2">
      <c r="CZ897" s="12"/>
      <c r="DA897" s="12"/>
    </row>
    <row r="898" spans="104:105" x14ac:dyDescent="0.2">
      <c r="CZ898" s="12"/>
      <c r="DA898" s="12"/>
    </row>
    <row r="899" spans="104:105" x14ac:dyDescent="0.2">
      <c r="CZ899" s="12"/>
      <c r="DA899" s="12"/>
    </row>
    <row r="900" spans="104:105" x14ac:dyDescent="0.2">
      <c r="CZ900" s="12"/>
      <c r="DA900" s="12"/>
    </row>
    <row r="901" spans="104:105" x14ac:dyDescent="0.2">
      <c r="CZ901" s="12"/>
      <c r="DA901" s="12"/>
    </row>
    <row r="902" spans="104:105" x14ac:dyDescent="0.2">
      <c r="CZ902" s="12"/>
      <c r="DA902" s="12"/>
    </row>
    <row r="903" spans="104:105" x14ac:dyDescent="0.2">
      <c r="CZ903" s="12"/>
      <c r="DA903" s="12"/>
    </row>
    <row r="904" spans="104:105" x14ac:dyDescent="0.2">
      <c r="CZ904" s="12"/>
      <c r="DA904" s="12"/>
    </row>
    <row r="905" spans="104:105" x14ac:dyDescent="0.2">
      <c r="CZ905" s="12"/>
      <c r="DA905" s="12"/>
    </row>
    <row r="906" spans="104:105" x14ac:dyDescent="0.2">
      <c r="CZ906" s="12"/>
      <c r="DA906" s="12"/>
    </row>
    <row r="907" spans="104:105" x14ac:dyDescent="0.2">
      <c r="CZ907" s="12"/>
      <c r="DA907" s="12"/>
    </row>
    <row r="908" spans="104:105" x14ac:dyDescent="0.2">
      <c r="CZ908" s="12"/>
      <c r="DA908" s="12"/>
    </row>
    <row r="909" spans="104:105" x14ac:dyDescent="0.2">
      <c r="CZ909" s="12"/>
      <c r="DA909" s="12"/>
    </row>
    <row r="910" spans="104:105" x14ac:dyDescent="0.2">
      <c r="CZ910" s="12"/>
      <c r="DA910" s="12"/>
    </row>
    <row r="911" spans="104:105" x14ac:dyDescent="0.2">
      <c r="CZ911" s="12"/>
      <c r="DA911" s="12"/>
    </row>
    <row r="912" spans="104:105" x14ac:dyDescent="0.2">
      <c r="CZ912" s="12"/>
      <c r="DA912" s="12"/>
    </row>
    <row r="913" spans="104:105" x14ac:dyDescent="0.2">
      <c r="CZ913" s="12"/>
      <c r="DA913" s="12"/>
    </row>
    <row r="914" spans="104:105" x14ac:dyDescent="0.2">
      <c r="CZ914" s="12"/>
      <c r="DA914" s="12"/>
    </row>
    <row r="915" spans="104:105" x14ac:dyDescent="0.2">
      <c r="CZ915" s="12"/>
      <c r="DA915" s="12"/>
    </row>
    <row r="916" spans="104:105" x14ac:dyDescent="0.2">
      <c r="CZ916" s="12"/>
      <c r="DA916" s="12"/>
    </row>
    <row r="917" spans="104:105" x14ac:dyDescent="0.2">
      <c r="CZ917" s="12"/>
      <c r="DA917" s="12"/>
    </row>
    <row r="918" spans="104:105" x14ac:dyDescent="0.2">
      <c r="CZ918" s="12"/>
      <c r="DA918" s="12"/>
    </row>
    <row r="919" spans="104:105" x14ac:dyDescent="0.2">
      <c r="CZ919" s="12"/>
      <c r="DA919" s="12"/>
    </row>
    <row r="920" spans="104:105" x14ac:dyDescent="0.2">
      <c r="CZ920" s="12"/>
      <c r="DA920" s="12"/>
    </row>
    <row r="921" spans="104:105" x14ac:dyDescent="0.2">
      <c r="CZ921" s="12"/>
      <c r="DA921" s="12"/>
    </row>
    <row r="922" spans="104:105" x14ac:dyDescent="0.2">
      <c r="CZ922" s="12"/>
      <c r="DA922" s="12"/>
    </row>
    <row r="923" spans="104:105" x14ac:dyDescent="0.2">
      <c r="CZ923" s="12"/>
      <c r="DA923" s="12"/>
    </row>
    <row r="924" spans="104:105" x14ac:dyDescent="0.2">
      <c r="CZ924" s="12"/>
      <c r="DA924" s="12"/>
    </row>
    <row r="925" spans="104:105" x14ac:dyDescent="0.2">
      <c r="CZ925" s="12"/>
      <c r="DA925" s="12"/>
    </row>
    <row r="926" spans="104:105" x14ac:dyDescent="0.2">
      <c r="CZ926" s="12"/>
      <c r="DA926" s="12"/>
    </row>
    <row r="927" spans="104:105" x14ac:dyDescent="0.2">
      <c r="CZ927" s="12"/>
      <c r="DA927" s="12"/>
    </row>
    <row r="928" spans="104:105" x14ac:dyDescent="0.2">
      <c r="CZ928" s="12"/>
      <c r="DA928" s="12"/>
    </row>
    <row r="929" spans="104:105" x14ac:dyDescent="0.2">
      <c r="CZ929" s="12"/>
      <c r="DA929" s="12"/>
    </row>
    <row r="930" spans="104:105" x14ac:dyDescent="0.2">
      <c r="CZ930" s="12"/>
      <c r="DA930" s="12"/>
    </row>
    <row r="931" spans="104:105" x14ac:dyDescent="0.2">
      <c r="CZ931" s="12"/>
      <c r="DA931" s="12"/>
    </row>
    <row r="932" spans="104:105" x14ac:dyDescent="0.2">
      <c r="CZ932" s="12"/>
      <c r="DA932" s="12"/>
    </row>
    <row r="933" spans="104:105" x14ac:dyDescent="0.2">
      <c r="CZ933" s="12"/>
      <c r="DA933" s="12"/>
    </row>
    <row r="934" spans="104:105" x14ac:dyDescent="0.2">
      <c r="CZ934" s="12"/>
      <c r="DA934" s="12"/>
    </row>
    <row r="935" spans="104:105" x14ac:dyDescent="0.2">
      <c r="CZ935" s="12"/>
      <c r="DA935" s="12"/>
    </row>
    <row r="936" spans="104:105" x14ac:dyDescent="0.2">
      <c r="CZ936" s="12"/>
      <c r="DA936" s="12"/>
    </row>
    <row r="937" spans="104:105" x14ac:dyDescent="0.2">
      <c r="CZ937" s="12"/>
      <c r="DA937" s="12"/>
    </row>
    <row r="938" spans="104:105" x14ac:dyDescent="0.2">
      <c r="CZ938" s="12"/>
      <c r="DA938" s="12"/>
    </row>
    <row r="939" spans="104:105" x14ac:dyDescent="0.2">
      <c r="CZ939" s="12"/>
      <c r="DA939" s="12"/>
    </row>
    <row r="940" spans="104:105" x14ac:dyDescent="0.2">
      <c r="CZ940" s="12"/>
      <c r="DA940" s="12"/>
    </row>
    <row r="941" spans="104:105" x14ac:dyDescent="0.2">
      <c r="CZ941" s="12"/>
      <c r="DA941" s="12"/>
    </row>
    <row r="942" spans="104:105" x14ac:dyDescent="0.2">
      <c r="CZ942" s="12"/>
      <c r="DA942" s="12"/>
    </row>
    <row r="943" spans="104:105" x14ac:dyDescent="0.2">
      <c r="CZ943" s="12"/>
      <c r="DA943" s="12"/>
    </row>
    <row r="944" spans="104:105" x14ac:dyDescent="0.2">
      <c r="CZ944" s="12"/>
      <c r="DA944" s="12"/>
    </row>
    <row r="945" spans="104:105" x14ac:dyDescent="0.2">
      <c r="CZ945" s="12"/>
      <c r="DA945" s="12"/>
    </row>
    <row r="946" spans="104:105" x14ac:dyDescent="0.2">
      <c r="CZ946" s="12"/>
      <c r="DA946" s="12"/>
    </row>
    <row r="947" spans="104:105" x14ac:dyDescent="0.2">
      <c r="CZ947" s="12"/>
      <c r="DA947" s="12"/>
    </row>
    <row r="948" spans="104:105" x14ac:dyDescent="0.2">
      <c r="CZ948" s="12"/>
      <c r="DA948" s="12"/>
    </row>
    <row r="949" spans="104:105" x14ac:dyDescent="0.2">
      <c r="CZ949" s="12"/>
      <c r="DA949" s="12"/>
    </row>
    <row r="950" spans="104:105" x14ac:dyDescent="0.2">
      <c r="CZ950" s="12"/>
      <c r="DA950" s="12"/>
    </row>
    <row r="951" spans="104:105" x14ac:dyDescent="0.2">
      <c r="CZ951" s="12"/>
      <c r="DA951" s="12"/>
    </row>
    <row r="952" spans="104:105" x14ac:dyDescent="0.2">
      <c r="CZ952" s="12"/>
      <c r="DA952" s="12"/>
    </row>
    <row r="953" spans="104:105" x14ac:dyDescent="0.2">
      <c r="CZ953" s="12"/>
      <c r="DA953" s="12"/>
    </row>
    <row r="954" spans="104:105" x14ac:dyDescent="0.2">
      <c r="CZ954" s="12"/>
      <c r="DA954" s="12"/>
    </row>
    <row r="955" spans="104:105" x14ac:dyDescent="0.2">
      <c r="CZ955" s="12"/>
      <c r="DA955" s="12"/>
    </row>
    <row r="956" spans="104:105" x14ac:dyDescent="0.2">
      <c r="CZ956" s="12"/>
      <c r="DA956" s="12"/>
    </row>
    <row r="957" spans="104:105" x14ac:dyDescent="0.2">
      <c r="CZ957" s="12"/>
      <c r="DA957" s="12"/>
    </row>
    <row r="958" spans="104:105" x14ac:dyDescent="0.2">
      <c r="CZ958" s="12"/>
      <c r="DA958" s="12"/>
    </row>
    <row r="959" spans="104:105" x14ac:dyDescent="0.2">
      <c r="CZ959" s="12"/>
      <c r="DA959" s="12"/>
    </row>
    <row r="960" spans="104:105" x14ac:dyDescent="0.2">
      <c r="CZ960" s="12"/>
      <c r="DA960" s="12"/>
    </row>
    <row r="961" spans="104:105" x14ac:dyDescent="0.2">
      <c r="CZ961" s="12"/>
      <c r="DA961" s="12"/>
    </row>
    <row r="962" spans="104:105" x14ac:dyDescent="0.2">
      <c r="CZ962" s="12"/>
      <c r="DA962" s="12"/>
    </row>
    <row r="963" spans="104:105" x14ac:dyDescent="0.2">
      <c r="CZ963" s="12"/>
      <c r="DA963" s="12"/>
    </row>
    <row r="964" spans="104:105" x14ac:dyDescent="0.2">
      <c r="CZ964" s="12"/>
      <c r="DA964" s="12"/>
    </row>
    <row r="965" spans="104:105" x14ac:dyDescent="0.2">
      <c r="CZ965" s="12"/>
      <c r="DA965" s="12"/>
    </row>
    <row r="966" spans="104:105" x14ac:dyDescent="0.2">
      <c r="CZ966" s="12"/>
      <c r="DA966" s="12"/>
    </row>
    <row r="967" spans="104:105" x14ac:dyDescent="0.2">
      <c r="CZ967" s="12"/>
      <c r="DA967" s="12"/>
    </row>
    <row r="968" spans="104:105" x14ac:dyDescent="0.2">
      <c r="CZ968" s="12"/>
      <c r="DA968" s="12"/>
    </row>
    <row r="969" spans="104:105" x14ac:dyDescent="0.2">
      <c r="CZ969" s="12"/>
      <c r="DA969" s="12"/>
    </row>
    <row r="970" spans="104:105" x14ac:dyDescent="0.2">
      <c r="CZ970" s="12"/>
      <c r="DA970" s="12"/>
    </row>
    <row r="971" spans="104:105" x14ac:dyDescent="0.2">
      <c r="CZ971" s="12"/>
      <c r="DA971" s="12"/>
    </row>
    <row r="972" spans="104:105" x14ac:dyDescent="0.2">
      <c r="CZ972" s="12"/>
      <c r="DA972" s="12"/>
    </row>
    <row r="973" spans="104:105" x14ac:dyDescent="0.2">
      <c r="CZ973" s="12"/>
      <c r="DA973" s="12"/>
    </row>
    <row r="974" spans="104:105" x14ac:dyDescent="0.2">
      <c r="CZ974" s="12"/>
      <c r="DA974" s="12"/>
    </row>
    <row r="975" spans="104:105" x14ac:dyDescent="0.2">
      <c r="CZ975" s="12"/>
      <c r="DA975" s="12"/>
    </row>
    <row r="976" spans="104:105" x14ac:dyDescent="0.2">
      <c r="CZ976" s="12"/>
      <c r="DA976" s="12"/>
    </row>
    <row r="977" spans="104:105" x14ac:dyDescent="0.2">
      <c r="CZ977" s="12"/>
      <c r="DA977" s="12"/>
    </row>
    <row r="978" spans="104:105" x14ac:dyDescent="0.2">
      <c r="CZ978" s="12"/>
      <c r="DA978" s="12"/>
    </row>
    <row r="979" spans="104:105" x14ac:dyDescent="0.2">
      <c r="CZ979" s="12"/>
      <c r="DA979" s="12"/>
    </row>
    <row r="980" spans="104:105" x14ac:dyDescent="0.2">
      <c r="CZ980" s="12"/>
      <c r="DA980" s="12"/>
    </row>
    <row r="981" spans="104:105" x14ac:dyDescent="0.2">
      <c r="CZ981" s="12"/>
      <c r="DA981" s="12"/>
    </row>
    <row r="982" spans="104:105" x14ac:dyDescent="0.2">
      <c r="CZ982" s="12"/>
      <c r="DA982" s="12"/>
    </row>
    <row r="983" spans="104:105" x14ac:dyDescent="0.2">
      <c r="CZ983" s="12"/>
      <c r="DA983" s="12"/>
    </row>
    <row r="984" spans="104:105" x14ac:dyDescent="0.2">
      <c r="CZ984" s="12"/>
      <c r="DA984" s="12"/>
    </row>
    <row r="985" spans="104:105" x14ac:dyDescent="0.2">
      <c r="CZ985" s="12"/>
      <c r="DA985" s="12"/>
    </row>
    <row r="986" spans="104:105" x14ac:dyDescent="0.2">
      <c r="CZ986" s="12"/>
      <c r="DA986" s="12"/>
    </row>
    <row r="987" spans="104:105" x14ac:dyDescent="0.2">
      <c r="CZ987" s="12"/>
      <c r="DA987" s="12"/>
    </row>
    <row r="988" spans="104:105" x14ac:dyDescent="0.2">
      <c r="CZ988" s="12"/>
      <c r="DA988" s="12"/>
    </row>
    <row r="989" spans="104:105" x14ac:dyDescent="0.2">
      <c r="CZ989" s="12"/>
      <c r="DA989" s="12"/>
    </row>
    <row r="990" spans="104:105" x14ac:dyDescent="0.2">
      <c r="CZ990" s="12"/>
      <c r="DA990" s="12"/>
    </row>
    <row r="991" spans="104:105" x14ac:dyDescent="0.2">
      <c r="CZ991" s="12"/>
      <c r="DA991" s="12"/>
    </row>
    <row r="992" spans="104:105" x14ac:dyDescent="0.2">
      <c r="CZ992" s="12"/>
      <c r="DA992" s="12"/>
    </row>
    <row r="993" spans="104:105" x14ac:dyDescent="0.2">
      <c r="CZ993" s="12"/>
      <c r="DA993" s="12"/>
    </row>
    <row r="994" spans="104:105" x14ac:dyDescent="0.2">
      <c r="CZ994" s="12"/>
      <c r="DA994" s="12"/>
    </row>
    <row r="995" spans="104:105" x14ac:dyDescent="0.2">
      <c r="CZ995" s="12"/>
      <c r="DA995" s="12"/>
    </row>
    <row r="996" spans="104:105" x14ac:dyDescent="0.2">
      <c r="CZ996" s="12"/>
      <c r="DA996" s="12"/>
    </row>
    <row r="997" spans="104:105" x14ac:dyDescent="0.2">
      <c r="CZ997" s="12"/>
      <c r="DA997" s="12"/>
    </row>
    <row r="998" spans="104:105" x14ac:dyDescent="0.2">
      <c r="CZ998" s="12"/>
      <c r="DA998" s="12"/>
    </row>
    <row r="999" spans="104:105" x14ac:dyDescent="0.2">
      <c r="CZ999" s="12"/>
      <c r="DA999" s="12"/>
    </row>
    <row r="1000" spans="104:105" x14ac:dyDescent="0.2">
      <c r="CZ1000" s="12"/>
      <c r="DA1000" s="12"/>
    </row>
    <row r="1001" spans="104:105" x14ac:dyDescent="0.2">
      <c r="CZ1001" s="12"/>
      <c r="DA1001" s="12"/>
    </row>
    <row r="1002" spans="104:105" x14ac:dyDescent="0.2">
      <c r="CZ1002" s="12"/>
      <c r="DA1002" s="12"/>
    </row>
    <row r="1003" spans="104:105" x14ac:dyDescent="0.2">
      <c r="CZ1003" s="12"/>
      <c r="DA1003" s="12"/>
    </row>
    <row r="1004" spans="104:105" x14ac:dyDescent="0.2">
      <c r="CZ1004" s="12"/>
      <c r="DA1004" s="12"/>
    </row>
    <row r="1005" spans="104:105" x14ac:dyDescent="0.2">
      <c r="CZ1005" s="12"/>
      <c r="DA1005" s="12"/>
    </row>
    <row r="1006" spans="104:105" x14ac:dyDescent="0.2">
      <c r="CZ1006" s="12"/>
      <c r="DA1006" s="12"/>
    </row>
    <row r="1007" spans="104:105" x14ac:dyDescent="0.2">
      <c r="CZ1007" s="12"/>
      <c r="DA1007" s="12"/>
    </row>
    <row r="1008" spans="104:105" x14ac:dyDescent="0.2">
      <c r="CZ1008" s="12"/>
      <c r="DA1008" s="12"/>
    </row>
    <row r="1009" spans="104:105" x14ac:dyDescent="0.2">
      <c r="CZ1009" s="12"/>
      <c r="DA1009" s="12"/>
    </row>
    <row r="1010" spans="104:105" x14ac:dyDescent="0.2">
      <c r="CZ1010" s="12"/>
      <c r="DA1010" s="12"/>
    </row>
    <row r="1011" spans="104:105" x14ac:dyDescent="0.2">
      <c r="CZ1011" s="12"/>
      <c r="DA1011" s="12"/>
    </row>
    <row r="1012" spans="104:105" x14ac:dyDescent="0.2">
      <c r="CZ1012" s="12"/>
      <c r="DA1012" s="12"/>
    </row>
    <row r="1013" spans="104:105" x14ac:dyDescent="0.2">
      <c r="CZ1013" s="12"/>
      <c r="DA1013" s="12"/>
    </row>
    <row r="1014" spans="104:105" x14ac:dyDescent="0.2">
      <c r="CZ1014" s="12"/>
      <c r="DA1014" s="12"/>
    </row>
    <row r="1015" spans="104:105" x14ac:dyDescent="0.2">
      <c r="CZ1015" s="12"/>
      <c r="DA1015" s="12"/>
    </row>
    <row r="1016" spans="104:105" x14ac:dyDescent="0.2">
      <c r="CZ1016" s="12"/>
      <c r="DA1016" s="12"/>
    </row>
    <row r="1017" spans="104:105" x14ac:dyDescent="0.2">
      <c r="CZ1017" s="12"/>
      <c r="DA1017" s="12"/>
    </row>
    <row r="1018" spans="104:105" x14ac:dyDescent="0.2">
      <c r="CZ1018" s="12"/>
      <c r="DA1018" s="12"/>
    </row>
    <row r="1019" spans="104:105" x14ac:dyDescent="0.2">
      <c r="CZ1019" s="12"/>
      <c r="DA1019" s="12"/>
    </row>
    <row r="1020" spans="104:105" x14ac:dyDescent="0.2">
      <c r="CZ1020" s="12"/>
      <c r="DA1020" s="12"/>
    </row>
    <row r="1021" spans="104:105" x14ac:dyDescent="0.2">
      <c r="CZ1021" s="12"/>
      <c r="DA1021" s="12"/>
    </row>
    <row r="1022" spans="104:105" x14ac:dyDescent="0.2">
      <c r="CZ1022" s="12"/>
      <c r="DA1022" s="12"/>
    </row>
    <row r="1023" spans="104:105" x14ac:dyDescent="0.2">
      <c r="CZ1023" s="12"/>
      <c r="DA1023" s="12"/>
    </row>
    <row r="1024" spans="104:105" x14ac:dyDescent="0.2">
      <c r="CZ1024" s="12"/>
      <c r="DA1024" s="12"/>
    </row>
    <row r="1025" spans="104:105" x14ac:dyDescent="0.2">
      <c r="CZ1025" s="12"/>
      <c r="DA1025" s="12"/>
    </row>
    <row r="1026" spans="104:105" x14ac:dyDescent="0.2">
      <c r="CZ1026" s="12"/>
      <c r="DA1026" s="12"/>
    </row>
    <row r="1027" spans="104:105" x14ac:dyDescent="0.2">
      <c r="CZ1027" s="12"/>
      <c r="DA1027" s="12"/>
    </row>
    <row r="1028" spans="104:105" x14ac:dyDescent="0.2">
      <c r="CZ1028" s="12"/>
      <c r="DA1028" s="12"/>
    </row>
    <row r="1029" spans="104:105" x14ac:dyDescent="0.2">
      <c r="CZ1029" s="12"/>
      <c r="DA1029" s="12"/>
    </row>
    <row r="1030" spans="104:105" x14ac:dyDescent="0.2">
      <c r="CZ1030" s="12"/>
      <c r="DA1030" s="12"/>
    </row>
    <row r="1031" spans="104:105" x14ac:dyDescent="0.2">
      <c r="CZ1031" s="12"/>
      <c r="DA1031" s="12"/>
    </row>
    <row r="1032" spans="104:105" x14ac:dyDescent="0.2">
      <c r="CZ1032" s="12"/>
      <c r="DA1032" s="12"/>
    </row>
    <row r="1033" spans="104:105" x14ac:dyDescent="0.2">
      <c r="CZ1033" s="12"/>
      <c r="DA1033" s="12"/>
    </row>
    <row r="1034" spans="104:105" x14ac:dyDescent="0.2">
      <c r="CZ1034" s="12"/>
      <c r="DA1034" s="12"/>
    </row>
    <row r="1035" spans="104:105" x14ac:dyDescent="0.2">
      <c r="CZ1035" s="12"/>
      <c r="DA1035" s="12"/>
    </row>
    <row r="1036" spans="104:105" x14ac:dyDescent="0.2">
      <c r="CZ1036" s="12"/>
      <c r="DA1036" s="12"/>
    </row>
    <row r="1037" spans="104:105" x14ac:dyDescent="0.2">
      <c r="CZ1037" s="12"/>
      <c r="DA1037" s="12"/>
    </row>
    <row r="1038" spans="104:105" x14ac:dyDescent="0.2">
      <c r="CZ1038" s="12"/>
      <c r="DA1038" s="12"/>
    </row>
    <row r="1039" spans="104:105" x14ac:dyDescent="0.2">
      <c r="CZ1039" s="12"/>
      <c r="DA1039" s="12"/>
    </row>
    <row r="1040" spans="104:105" x14ac:dyDescent="0.2">
      <c r="CZ1040" s="12"/>
      <c r="DA1040" s="12"/>
    </row>
    <row r="1041" spans="104:105" x14ac:dyDescent="0.2">
      <c r="CZ1041" s="12"/>
      <c r="DA1041" s="12"/>
    </row>
    <row r="1042" spans="104:105" x14ac:dyDescent="0.2">
      <c r="CZ1042" s="12"/>
      <c r="DA1042" s="12"/>
    </row>
    <row r="1043" spans="104:105" x14ac:dyDescent="0.2">
      <c r="CZ1043" s="12"/>
      <c r="DA1043" s="12"/>
    </row>
    <row r="1044" spans="104:105" x14ac:dyDescent="0.2">
      <c r="CZ1044" s="12"/>
      <c r="DA1044" s="12"/>
    </row>
    <row r="1045" spans="104:105" x14ac:dyDescent="0.2">
      <c r="CZ1045" s="12"/>
      <c r="DA1045" s="12"/>
    </row>
    <row r="1046" spans="104:105" x14ac:dyDescent="0.2">
      <c r="CZ1046" s="12"/>
      <c r="DA1046" s="12"/>
    </row>
    <row r="1047" spans="104:105" x14ac:dyDescent="0.2">
      <c r="CZ1047" s="12"/>
      <c r="DA1047" s="12"/>
    </row>
    <row r="1048" spans="104:105" x14ac:dyDescent="0.2">
      <c r="CZ1048" s="12"/>
      <c r="DA1048" s="12"/>
    </row>
    <row r="1049" spans="104:105" x14ac:dyDescent="0.2">
      <c r="CZ1049" s="12"/>
      <c r="DA1049" s="12"/>
    </row>
    <row r="1050" spans="104:105" x14ac:dyDescent="0.2">
      <c r="CZ1050" s="12"/>
      <c r="DA1050" s="12"/>
    </row>
    <row r="1051" spans="104:105" x14ac:dyDescent="0.2">
      <c r="CZ1051" s="12"/>
      <c r="DA1051" s="12"/>
    </row>
    <row r="1052" spans="104:105" x14ac:dyDescent="0.2">
      <c r="CZ1052" s="12"/>
      <c r="DA1052" s="12"/>
    </row>
    <row r="1053" spans="104:105" x14ac:dyDescent="0.2">
      <c r="CZ1053" s="12"/>
      <c r="DA1053" s="12"/>
    </row>
    <row r="1054" spans="104:105" x14ac:dyDescent="0.2">
      <c r="CZ1054" s="12"/>
      <c r="DA1054" s="12"/>
    </row>
    <row r="1055" spans="104:105" x14ac:dyDescent="0.2">
      <c r="CZ1055" s="12"/>
      <c r="DA1055" s="12"/>
    </row>
    <row r="1056" spans="104:105" x14ac:dyDescent="0.2">
      <c r="CZ1056" s="12"/>
      <c r="DA1056" s="12"/>
    </row>
    <row r="1057" spans="104:105" x14ac:dyDescent="0.2">
      <c r="CZ1057" s="12"/>
      <c r="DA1057" s="12"/>
    </row>
    <row r="1058" spans="104:105" x14ac:dyDescent="0.2">
      <c r="CZ1058" s="12"/>
      <c r="DA1058" s="12"/>
    </row>
    <row r="1059" spans="104:105" x14ac:dyDescent="0.2">
      <c r="CZ1059" s="12"/>
      <c r="DA1059" s="12"/>
    </row>
    <row r="1060" spans="104:105" x14ac:dyDescent="0.2">
      <c r="CZ1060" s="12"/>
      <c r="DA1060" s="12"/>
    </row>
    <row r="1061" spans="104:105" x14ac:dyDescent="0.2">
      <c r="CZ1061" s="12"/>
      <c r="DA1061" s="12"/>
    </row>
    <row r="1062" spans="104:105" x14ac:dyDescent="0.2">
      <c r="CZ1062" s="12"/>
      <c r="DA1062" s="12"/>
    </row>
    <row r="1063" spans="104:105" x14ac:dyDescent="0.2">
      <c r="CZ1063" s="12"/>
      <c r="DA1063" s="12"/>
    </row>
    <row r="1064" spans="104:105" x14ac:dyDescent="0.2">
      <c r="CZ1064" s="12"/>
      <c r="DA1064" s="12"/>
    </row>
    <row r="1065" spans="104:105" x14ac:dyDescent="0.2">
      <c r="CZ1065" s="12"/>
      <c r="DA1065" s="12"/>
    </row>
    <row r="1066" spans="104:105" x14ac:dyDescent="0.2">
      <c r="CZ1066" s="12"/>
      <c r="DA1066" s="12"/>
    </row>
    <row r="1067" spans="104:105" x14ac:dyDescent="0.2">
      <c r="CZ1067" s="12"/>
      <c r="DA1067" s="12"/>
    </row>
    <row r="1068" spans="104:105" x14ac:dyDescent="0.2">
      <c r="CZ1068" s="12"/>
      <c r="DA1068" s="12"/>
    </row>
    <row r="1069" spans="104:105" x14ac:dyDescent="0.2">
      <c r="CZ1069" s="12"/>
      <c r="DA1069" s="12"/>
    </row>
    <row r="1070" spans="104:105" x14ac:dyDescent="0.2">
      <c r="CZ1070" s="12"/>
      <c r="DA1070" s="12"/>
    </row>
    <row r="1071" spans="104:105" x14ac:dyDescent="0.2">
      <c r="CZ1071" s="12"/>
      <c r="DA1071" s="12"/>
    </row>
    <row r="1072" spans="104:105" x14ac:dyDescent="0.2">
      <c r="CZ1072" s="12"/>
      <c r="DA1072" s="12"/>
    </row>
    <row r="1073" spans="104:105" x14ac:dyDescent="0.2">
      <c r="CZ1073" s="12"/>
      <c r="DA1073" s="12"/>
    </row>
    <row r="1074" spans="104:105" x14ac:dyDescent="0.2">
      <c r="CZ1074" s="12"/>
      <c r="DA1074" s="12"/>
    </row>
    <row r="1075" spans="104:105" x14ac:dyDescent="0.2">
      <c r="CZ1075" s="12"/>
      <c r="DA1075" s="12"/>
    </row>
    <row r="1076" spans="104:105" x14ac:dyDescent="0.2">
      <c r="CZ1076" s="12"/>
      <c r="DA1076" s="12"/>
    </row>
    <row r="1077" spans="104:105" x14ac:dyDescent="0.2">
      <c r="CZ1077" s="12"/>
      <c r="DA1077" s="12"/>
    </row>
    <row r="1078" spans="104:105" x14ac:dyDescent="0.2">
      <c r="CZ1078" s="12"/>
      <c r="DA1078" s="12"/>
    </row>
    <row r="1079" spans="104:105" x14ac:dyDescent="0.2">
      <c r="CZ1079" s="12"/>
      <c r="DA1079" s="12"/>
    </row>
    <row r="1080" spans="104:105" x14ac:dyDescent="0.2">
      <c r="CZ1080" s="12"/>
      <c r="DA1080" s="12"/>
    </row>
    <row r="1081" spans="104:105" x14ac:dyDescent="0.2">
      <c r="CZ1081" s="12"/>
      <c r="DA1081" s="12"/>
    </row>
    <row r="1082" spans="104:105" x14ac:dyDescent="0.2">
      <c r="CZ1082" s="12"/>
      <c r="DA1082" s="12"/>
    </row>
    <row r="1083" spans="104:105" x14ac:dyDescent="0.2">
      <c r="CZ1083" s="12"/>
      <c r="DA1083" s="12"/>
    </row>
    <row r="1084" spans="104:105" x14ac:dyDescent="0.2">
      <c r="CZ1084" s="12"/>
      <c r="DA1084" s="12"/>
    </row>
    <row r="1085" spans="104:105" x14ac:dyDescent="0.2">
      <c r="CZ1085" s="12"/>
      <c r="DA1085" s="12"/>
    </row>
    <row r="1086" spans="104:105" x14ac:dyDescent="0.2">
      <c r="CZ1086" s="12"/>
      <c r="DA1086" s="12"/>
    </row>
    <row r="1087" spans="104:105" x14ac:dyDescent="0.2">
      <c r="CZ1087" s="12"/>
      <c r="DA1087" s="12"/>
    </row>
    <row r="1088" spans="104:105" x14ac:dyDescent="0.2">
      <c r="CZ1088" s="12"/>
      <c r="DA1088" s="12"/>
    </row>
    <row r="1089" spans="104:105" x14ac:dyDescent="0.2">
      <c r="CZ1089" s="12"/>
      <c r="DA1089" s="12"/>
    </row>
    <row r="1090" spans="104:105" x14ac:dyDescent="0.2">
      <c r="CZ1090" s="12"/>
      <c r="DA1090" s="12"/>
    </row>
    <row r="1091" spans="104:105" x14ac:dyDescent="0.2">
      <c r="CZ1091" s="12"/>
      <c r="DA1091" s="12"/>
    </row>
    <row r="1092" spans="104:105" x14ac:dyDescent="0.2">
      <c r="CZ1092" s="12"/>
      <c r="DA1092" s="12"/>
    </row>
    <row r="1093" spans="104:105" x14ac:dyDescent="0.2">
      <c r="CZ1093" s="12"/>
      <c r="DA1093" s="12"/>
    </row>
    <row r="1094" spans="104:105" x14ac:dyDescent="0.2">
      <c r="CZ1094" s="12"/>
      <c r="DA1094" s="12"/>
    </row>
    <row r="1095" spans="104:105" x14ac:dyDescent="0.2">
      <c r="CZ1095" s="12"/>
      <c r="DA1095" s="12"/>
    </row>
    <row r="1096" spans="104:105" x14ac:dyDescent="0.2">
      <c r="CZ1096" s="12"/>
      <c r="DA1096" s="12"/>
    </row>
    <row r="1097" spans="104:105" x14ac:dyDescent="0.2">
      <c r="CZ1097" s="12"/>
      <c r="DA1097" s="12"/>
    </row>
    <row r="1098" spans="104:105" x14ac:dyDescent="0.2">
      <c r="CZ1098" s="12"/>
      <c r="DA1098" s="12"/>
    </row>
    <row r="1099" spans="104:105" x14ac:dyDescent="0.2">
      <c r="CZ1099" s="12"/>
      <c r="DA1099" s="12"/>
    </row>
    <row r="1100" spans="104:105" x14ac:dyDescent="0.2">
      <c r="CZ1100" s="12"/>
      <c r="DA1100" s="12"/>
    </row>
    <row r="1101" spans="104:105" x14ac:dyDescent="0.2">
      <c r="CZ1101" s="12"/>
      <c r="DA1101" s="12"/>
    </row>
    <row r="1102" spans="104:105" x14ac:dyDescent="0.2">
      <c r="CZ1102" s="12"/>
      <c r="DA1102" s="12"/>
    </row>
    <row r="1103" spans="104:105" x14ac:dyDescent="0.2">
      <c r="CZ1103" s="12"/>
      <c r="DA1103" s="12"/>
    </row>
    <row r="1104" spans="104:105" x14ac:dyDescent="0.2">
      <c r="CZ1104" s="12"/>
      <c r="DA1104" s="12"/>
    </row>
    <row r="1105" spans="104:105" x14ac:dyDescent="0.2">
      <c r="CZ1105" s="12"/>
      <c r="DA1105" s="12"/>
    </row>
    <row r="1106" spans="104:105" x14ac:dyDescent="0.2">
      <c r="CZ1106" s="12"/>
      <c r="DA1106" s="12"/>
    </row>
    <row r="1107" spans="104:105" x14ac:dyDescent="0.2">
      <c r="CZ1107" s="12"/>
      <c r="DA1107" s="12"/>
    </row>
    <row r="1108" spans="104:105" x14ac:dyDescent="0.2">
      <c r="CZ1108" s="12"/>
      <c r="DA1108" s="12"/>
    </row>
    <row r="1109" spans="104:105" x14ac:dyDescent="0.2">
      <c r="CZ1109" s="12"/>
      <c r="DA1109" s="12"/>
    </row>
    <row r="1110" spans="104:105" x14ac:dyDescent="0.2">
      <c r="CZ1110" s="12"/>
      <c r="DA1110" s="12"/>
    </row>
    <row r="1111" spans="104:105" x14ac:dyDescent="0.2">
      <c r="CZ1111" s="12"/>
      <c r="DA1111" s="12"/>
    </row>
    <row r="1112" spans="104:105" x14ac:dyDescent="0.2">
      <c r="CZ1112" s="12"/>
      <c r="DA1112" s="12"/>
    </row>
    <row r="1113" spans="104:105" x14ac:dyDescent="0.2">
      <c r="CZ1113" s="12"/>
      <c r="DA1113" s="12"/>
    </row>
    <row r="1114" spans="104:105" x14ac:dyDescent="0.2">
      <c r="CZ1114" s="12"/>
      <c r="DA1114" s="12"/>
    </row>
    <row r="1115" spans="104:105" x14ac:dyDescent="0.2">
      <c r="CZ1115" s="12"/>
      <c r="DA1115" s="12"/>
    </row>
    <row r="1116" spans="104:105" x14ac:dyDescent="0.2">
      <c r="CZ1116" s="12"/>
      <c r="DA1116" s="12"/>
    </row>
    <row r="1117" spans="104:105" x14ac:dyDescent="0.2">
      <c r="CZ1117" s="12"/>
      <c r="DA1117" s="12"/>
    </row>
    <row r="1118" spans="104:105" x14ac:dyDescent="0.2">
      <c r="CZ1118" s="12"/>
      <c r="DA1118" s="12"/>
    </row>
    <row r="1119" spans="104:105" x14ac:dyDescent="0.2">
      <c r="CZ1119" s="12"/>
      <c r="DA1119" s="12"/>
    </row>
    <row r="1120" spans="104:105" x14ac:dyDescent="0.2">
      <c r="CZ1120" s="12"/>
      <c r="DA1120" s="12"/>
    </row>
    <row r="1121" spans="104:105" x14ac:dyDescent="0.2">
      <c r="CZ1121" s="12"/>
      <c r="DA1121" s="12"/>
    </row>
    <row r="1122" spans="104:105" x14ac:dyDescent="0.2">
      <c r="CZ1122" s="12"/>
      <c r="DA1122" s="12"/>
    </row>
    <row r="1123" spans="104:105" x14ac:dyDescent="0.2">
      <c r="CZ1123" s="12"/>
      <c r="DA1123" s="12"/>
    </row>
    <row r="1124" spans="104:105" x14ac:dyDescent="0.2">
      <c r="CZ1124" s="12"/>
      <c r="DA1124" s="12"/>
    </row>
    <row r="1125" spans="104:105" x14ac:dyDescent="0.2">
      <c r="CZ1125" s="12"/>
      <c r="DA1125" s="12"/>
    </row>
    <row r="1126" spans="104:105" x14ac:dyDescent="0.2">
      <c r="CZ1126" s="12"/>
      <c r="DA1126" s="12"/>
    </row>
    <row r="1127" spans="104:105" x14ac:dyDescent="0.2">
      <c r="CZ1127" s="12"/>
      <c r="DA1127" s="12"/>
    </row>
    <row r="1128" spans="104:105" x14ac:dyDescent="0.2">
      <c r="CZ1128" s="12"/>
      <c r="DA1128" s="12"/>
    </row>
    <row r="1129" spans="104:105" x14ac:dyDescent="0.2">
      <c r="CZ1129" s="12"/>
      <c r="DA1129" s="12"/>
    </row>
    <row r="1130" spans="104:105" x14ac:dyDescent="0.2">
      <c r="CZ1130" s="12"/>
      <c r="DA1130" s="12"/>
    </row>
    <row r="1131" spans="104:105" x14ac:dyDescent="0.2">
      <c r="CZ1131" s="12"/>
      <c r="DA1131" s="12"/>
    </row>
    <row r="1132" spans="104:105" x14ac:dyDescent="0.2">
      <c r="CZ1132" s="12"/>
      <c r="DA1132" s="12"/>
    </row>
    <row r="1133" spans="104:105" x14ac:dyDescent="0.2">
      <c r="CZ1133" s="12"/>
      <c r="DA1133" s="12"/>
    </row>
    <row r="1134" spans="104:105" x14ac:dyDescent="0.2">
      <c r="CZ1134" s="12"/>
      <c r="DA1134" s="12"/>
    </row>
    <row r="1135" spans="104:105" x14ac:dyDescent="0.2">
      <c r="CZ1135" s="12"/>
      <c r="DA1135" s="12"/>
    </row>
    <row r="1136" spans="104:105" x14ac:dyDescent="0.2">
      <c r="CZ1136" s="12"/>
      <c r="DA1136" s="12"/>
    </row>
    <row r="1137" spans="104:105" x14ac:dyDescent="0.2">
      <c r="CZ1137" s="12"/>
      <c r="DA1137" s="12"/>
    </row>
    <row r="1138" spans="104:105" x14ac:dyDescent="0.2">
      <c r="CZ1138" s="12"/>
      <c r="DA1138" s="12"/>
    </row>
    <row r="1139" spans="104:105" x14ac:dyDescent="0.2">
      <c r="CZ1139" s="12"/>
      <c r="DA1139" s="12"/>
    </row>
    <row r="1140" spans="104:105" x14ac:dyDescent="0.2">
      <c r="CZ1140" s="12"/>
      <c r="DA1140" s="12"/>
    </row>
    <row r="1141" spans="104:105" x14ac:dyDescent="0.2">
      <c r="CZ1141" s="12"/>
      <c r="DA1141" s="12"/>
    </row>
    <row r="1142" spans="104:105" x14ac:dyDescent="0.2">
      <c r="CZ1142" s="12"/>
      <c r="DA1142" s="12"/>
    </row>
    <row r="1143" spans="104:105" x14ac:dyDescent="0.2">
      <c r="CZ1143" s="12"/>
      <c r="DA1143" s="12"/>
    </row>
    <row r="1144" spans="104:105" x14ac:dyDescent="0.2">
      <c r="CZ1144" s="12"/>
      <c r="DA1144" s="12"/>
    </row>
    <row r="1145" spans="104:105" x14ac:dyDescent="0.2">
      <c r="CZ1145" s="12"/>
      <c r="DA1145" s="12"/>
    </row>
    <row r="1146" spans="104:105" x14ac:dyDescent="0.2">
      <c r="CZ1146" s="12"/>
      <c r="DA1146" s="12"/>
    </row>
    <row r="1147" spans="104:105" x14ac:dyDescent="0.2">
      <c r="CZ1147" s="12"/>
      <c r="DA1147" s="12"/>
    </row>
    <row r="1148" spans="104:105" x14ac:dyDescent="0.2">
      <c r="CZ1148" s="12"/>
      <c r="DA1148" s="12"/>
    </row>
    <row r="1149" spans="104:105" x14ac:dyDescent="0.2">
      <c r="CZ1149" s="12"/>
      <c r="DA1149" s="12"/>
    </row>
    <row r="1150" spans="104:105" x14ac:dyDescent="0.2">
      <c r="CZ1150" s="12"/>
      <c r="DA1150" s="12"/>
    </row>
    <row r="1151" spans="104:105" x14ac:dyDescent="0.2">
      <c r="CZ1151" s="12"/>
      <c r="DA1151" s="12"/>
    </row>
    <row r="1152" spans="104:105" x14ac:dyDescent="0.2">
      <c r="CZ1152" s="12"/>
      <c r="DA1152" s="12"/>
    </row>
    <row r="1153" spans="104:105" x14ac:dyDescent="0.2">
      <c r="CZ1153" s="12"/>
      <c r="DA1153" s="12"/>
    </row>
    <row r="1154" spans="104:105" x14ac:dyDescent="0.2">
      <c r="CZ1154" s="12"/>
      <c r="DA1154" s="12"/>
    </row>
    <row r="1155" spans="104:105" x14ac:dyDescent="0.2">
      <c r="CZ1155" s="12"/>
      <c r="DA1155" s="12"/>
    </row>
    <row r="1156" spans="104:105" x14ac:dyDescent="0.2">
      <c r="CZ1156" s="12"/>
      <c r="DA1156" s="12"/>
    </row>
    <row r="1157" spans="104:105" x14ac:dyDescent="0.2">
      <c r="CZ1157" s="12"/>
      <c r="DA1157" s="12"/>
    </row>
    <row r="1158" spans="104:105" x14ac:dyDescent="0.2">
      <c r="CZ1158" s="12"/>
      <c r="DA1158" s="12"/>
    </row>
    <row r="1159" spans="104:105" x14ac:dyDescent="0.2">
      <c r="CZ1159" s="12"/>
      <c r="DA1159" s="12"/>
    </row>
    <row r="1160" spans="104:105" x14ac:dyDescent="0.2">
      <c r="CZ1160" s="12"/>
      <c r="DA1160" s="12"/>
    </row>
    <row r="1161" spans="104:105" x14ac:dyDescent="0.2">
      <c r="CZ1161" s="12"/>
      <c r="DA1161" s="12"/>
    </row>
    <row r="1162" spans="104:105" x14ac:dyDescent="0.2">
      <c r="CZ1162" s="12"/>
      <c r="DA1162" s="12"/>
    </row>
    <row r="1163" spans="104:105" x14ac:dyDescent="0.2">
      <c r="CZ1163" s="12"/>
      <c r="DA1163" s="12"/>
    </row>
    <row r="1164" spans="104:105" x14ac:dyDescent="0.2">
      <c r="CZ1164" s="12"/>
      <c r="DA1164" s="12"/>
    </row>
    <row r="1165" spans="104:105" x14ac:dyDescent="0.2">
      <c r="CZ1165" s="12"/>
      <c r="DA1165" s="12"/>
    </row>
    <row r="1166" spans="104:105" x14ac:dyDescent="0.2">
      <c r="CZ1166" s="12"/>
      <c r="DA1166" s="12"/>
    </row>
    <row r="1167" spans="104:105" x14ac:dyDescent="0.2">
      <c r="CZ1167" s="12"/>
      <c r="DA1167" s="12"/>
    </row>
    <row r="1168" spans="104:105" x14ac:dyDescent="0.2">
      <c r="CZ1168" s="12"/>
      <c r="DA1168" s="12"/>
    </row>
    <row r="1169" spans="104:105" x14ac:dyDescent="0.2">
      <c r="CZ1169" s="12"/>
      <c r="DA1169" s="12"/>
    </row>
    <row r="1170" spans="104:105" x14ac:dyDescent="0.2">
      <c r="CZ1170" s="12"/>
      <c r="DA1170" s="12"/>
    </row>
    <row r="1171" spans="104:105" x14ac:dyDescent="0.2">
      <c r="CZ1171" s="12"/>
      <c r="DA1171" s="12"/>
    </row>
    <row r="1172" spans="104:105" x14ac:dyDescent="0.2">
      <c r="CZ1172" s="12"/>
      <c r="DA1172" s="12"/>
    </row>
    <row r="1173" spans="104:105" x14ac:dyDescent="0.2">
      <c r="CZ1173" s="12"/>
      <c r="DA1173" s="12"/>
    </row>
    <row r="1174" spans="104:105" x14ac:dyDescent="0.2">
      <c r="CZ1174" s="12"/>
      <c r="DA1174" s="12"/>
    </row>
    <row r="1175" spans="104:105" x14ac:dyDescent="0.2">
      <c r="CZ1175" s="12"/>
      <c r="DA1175" s="12"/>
    </row>
    <row r="1176" spans="104:105" x14ac:dyDescent="0.2">
      <c r="CZ1176" s="12"/>
      <c r="DA1176" s="12"/>
    </row>
    <row r="1177" spans="104:105" x14ac:dyDescent="0.2">
      <c r="CZ1177" s="12"/>
      <c r="DA1177" s="12"/>
    </row>
    <row r="1178" spans="104:105" x14ac:dyDescent="0.2">
      <c r="CZ1178" s="12"/>
      <c r="DA1178" s="12"/>
    </row>
    <row r="1179" spans="104:105" x14ac:dyDescent="0.2">
      <c r="CZ1179" s="12"/>
      <c r="DA1179" s="12"/>
    </row>
    <row r="1180" spans="104:105" x14ac:dyDescent="0.2">
      <c r="CZ1180" s="12"/>
      <c r="DA1180" s="12"/>
    </row>
    <row r="1181" spans="104:105" x14ac:dyDescent="0.2">
      <c r="CZ1181" s="12"/>
      <c r="DA1181" s="12"/>
    </row>
    <row r="1182" spans="104:105" x14ac:dyDescent="0.2">
      <c r="CZ1182" s="12"/>
      <c r="DA1182" s="12"/>
    </row>
    <row r="1183" spans="104:105" x14ac:dyDescent="0.2">
      <c r="CZ1183" s="12"/>
      <c r="DA1183" s="12"/>
    </row>
    <row r="1184" spans="104:105" x14ac:dyDescent="0.2">
      <c r="CZ1184" s="12"/>
      <c r="DA1184" s="12"/>
    </row>
    <row r="1185" spans="104:105" x14ac:dyDescent="0.2">
      <c r="CZ1185" s="12"/>
      <c r="DA1185" s="12"/>
    </row>
    <row r="1186" spans="104:105" x14ac:dyDescent="0.2">
      <c r="CZ1186" s="12"/>
      <c r="DA1186" s="12"/>
    </row>
    <row r="1187" spans="104:105" x14ac:dyDescent="0.2">
      <c r="CZ1187" s="12"/>
      <c r="DA1187" s="12"/>
    </row>
    <row r="1188" spans="104:105" x14ac:dyDescent="0.2">
      <c r="CZ1188" s="12"/>
      <c r="DA1188" s="12"/>
    </row>
    <row r="1189" spans="104:105" x14ac:dyDescent="0.2">
      <c r="CZ1189" s="12"/>
      <c r="DA1189" s="12"/>
    </row>
    <row r="1190" spans="104:105" x14ac:dyDescent="0.2">
      <c r="CZ1190" s="12"/>
      <c r="DA1190" s="12"/>
    </row>
    <row r="1191" spans="104:105" x14ac:dyDescent="0.2">
      <c r="CZ1191" s="12"/>
      <c r="DA1191" s="12"/>
    </row>
    <row r="1192" spans="104:105" x14ac:dyDescent="0.2">
      <c r="CZ1192" s="12"/>
      <c r="DA1192" s="12"/>
    </row>
    <row r="1193" spans="104:105" x14ac:dyDescent="0.2">
      <c r="CZ1193" s="12"/>
      <c r="DA1193" s="12"/>
    </row>
    <row r="1194" spans="104:105" x14ac:dyDescent="0.2">
      <c r="CZ1194" s="12"/>
      <c r="DA1194" s="12"/>
    </row>
    <row r="1195" spans="104:105" x14ac:dyDescent="0.2">
      <c r="CZ1195" s="12"/>
      <c r="DA1195" s="12"/>
    </row>
    <row r="1196" spans="104:105" x14ac:dyDescent="0.2">
      <c r="CZ1196" s="12"/>
      <c r="DA1196" s="12"/>
    </row>
    <row r="1197" spans="104:105" x14ac:dyDescent="0.2">
      <c r="CZ1197" s="12"/>
      <c r="DA1197" s="12"/>
    </row>
    <row r="1198" spans="104:105" x14ac:dyDescent="0.2">
      <c r="CZ1198" s="12"/>
      <c r="DA1198" s="12"/>
    </row>
    <row r="1199" spans="104:105" x14ac:dyDescent="0.2">
      <c r="CZ1199" s="12"/>
      <c r="DA1199" s="12"/>
    </row>
    <row r="1200" spans="104:105" x14ac:dyDescent="0.2">
      <c r="CZ1200" s="12"/>
      <c r="DA1200" s="12"/>
    </row>
    <row r="1201" spans="104:105" x14ac:dyDescent="0.2">
      <c r="CZ1201" s="12"/>
      <c r="DA1201" s="12"/>
    </row>
    <row r="1202" spans="104:105" x14ac:dyDescent="0.2">
      <c r="CZ1202" s="12"/>
      <c r="DA1202" s="12"/>
    </row>
    <row r="1203" spans="104:105" x14ac:dyDescent="0.2">
      <c r="CZ1203" s="12"/>
      <c r="DA1203" s="12"/>
    </row>
    <row r="1204" spans="104:105" x14ac:dyDescent="0.2">
      <c r="CZ1204" s="12"/>
      <c r="DA1204" s="12"/>
    </row>
    <row r="1205" spans="104:105" x14ac:dyDescent="0.2">
      <c r="CZ1205" s="12"/>
      <c r="DA1205" s="12"/>
    </row>
    <row r="1206" spans="104:105" x14ac:dyDescent="0.2">
      <c r="CZ1206" s="12"/>
      <c r="DA1206" s="12"/>
    </row>
    <row r="1207" spans="104:105" x14ac:dyDescent="0.2">
      <c r="CZ1207" s="12"/>
      <c r="DA1207" s="12"/>
    </row>
    <row r="1208" spans="104:105" x14ac:dyDescent="0.2">
      <c r="CZ1208" s="12"/>
      <c r="DA1208" s="12"/>
    </row>
    <row r="1209" spans="104:105" x14ac:dyDescent="0.2">
      <c r="CZ1209" s="12"/>
      <c r="DA1209" s="12"/>
    </row>
    <row r="1210" spans="104:105" x14ac:dyDescent="0.2">
      <c r="CZ1210" s="12"/>
      <c r="DA1210" s="12"/>
    </row>
    <row r="1211" spans="104:105" x14ac:dyDescent="0.2">
      <c r="CZ1211" s="12"/>
      <c r="DA1211" s="12"/>
    </row>
    <row r="1212" spans="104:105" x14ac:dyDescent="0.2">
      <c r="CZ1212" s="12"/>
      <c r="DA1212" s="12"/>
    </row>
    <row r="1213" spans="104:105" x14ac:dyDescent="0.2">
      <c r="CZ1213" s="12"/>
      <c r="DA1213" s="12"/>
    </row>
    <row r="1214" spans="104:105" x14ac:dyDescent="0.2">
      <c r="CZ1214" s="12"/>
      <c r="DA1214" s="12"/>
    </row>
    <row r="1215" spans="104:105" x14ac:dyDescent="0.2">
      <c r="CZ1215" s="12"/>
      <c r="DA1215" s="12"/>
    </row>
    <row r="1216" spans="104:105" x14ac:dyDescent="0.2">
      <c r="CZ1216" s="12"/>
      <c r="DA1216" s="12"/>
    </row>
    <row r="1217" spans="104:105" x14ac:dyDescent="0.2">
      <c r="CZ1217" s="12"/>
      <c r="DA1217" s="12"/>
    </row>
    <row r="1218" spans="104:105" x14ac:dyDescent="0.2">
      <c r="CZ1218" s="12"/>
      <c r="DA1218" s="12"/>
    </row>
    <row r="1219" spans="104:105" x14ac:dyDescent="0.2">
      <c r="CZ1219" s="12"/>
      <c r="DA1219" s="12"/>
    </row>
    <row r="1220" spans="104:105" x14ac:dyDescent="0.2">
      <c r="CZ1220" s="12"/>
      <c r="DA1220" s="12"/>
    </row>
    <row r="1221" spans="104:105" x14ac:dyDescent="0.2">
      <c r="CZ1221" s="12"/>
      <c r="DA1221" s="12"/>
    </row>
    <row r="1222" spans="104:105" x14ac:dyDescent="0.2">
      <c r="CZ1222" s="12"/>
      <c r="DA1222" s="12"/>
    </row>
    <row r="1223" spans="104:105" x14ac:dyDescent="0.2">
      <c r="CZ1223" s="12"/>
      <c r="DA1223" s="12"/>
    </row>
    <row r="1224" spans="104:105" x14ac:dyDescent="0.2">
      <c r="CZ1224" s="12"/>
      <c r="DA1224" s="12"/>
    </row>
    <row r="1225" spans="104:105" x14ac:dyDescent="0.2">
      <c r="CZ1225" s="12"/>
      <c r="DA1225" s="12"/>
    </row>
    <row r="1226" spans="104:105" x14ac:dyDescent="0.2">
      <c r="CZ1226" s="12"/>
      <c r="DA1226" s="12"/>
    </row>
    <row r="1227" spans="104:105" x14ac:dyDescent="0.2">
      <c r="CZ1227" s="12"/>
      <c r="DA1227" s="12"/>
    </row>
    <row r="1228" spans="104:105" x14ac:dyDescent="0.2">
      <c r="CZ1228" s="12"/>
      <c r="DA1228" s="12"/>
    </row>
    <row r="1229" spans="104:105" x14ac:dyDescent="0.2">
      <c r="CZ1229" s="12"/>
      <c r="DA1229" s="12"/>
    </row>
    <row r="1230" spans="104:105" x14ac:dyDescent="0.2">
      <c r="CZ1230" s="12"/>
      <c r="DA1230" s="12"/>
    </row>
    <row r="1231" spans="104:105" x14ac:dyDescent="0.2">
      <c r="CZ1231" s="12"/>
      <c r="DA1231" s="12"/>
    </row>
    <row r="1232" spans="104:105" x14ac:dyDescent="0.2">
      <c r="CZ1232" s="12"/>
      <c r="DA1232" s="12"/>
    </row>
    <row r="1233" spans="104:105" x14ac:dyDescent="0.2">
      <c r="CZ1233" s="12"/>
      <c r="DA1233" s="12"/>
    </row>
    <row r="1234" spans="104:105" x14ac:dyDescent="0.2">
      <c r="CZ1234" s="12"/>
      <c r="DA1234" s="12"/>
    </row>
    <row r="1235" spans="104:105" x14ac:dyDescent="0.2">
      <c r="CZ1235" s="12"/>
      <c r="DA1235" s="12"/>
    </row>
    <row r="1236" spans="104:105" x14ac:dyDescent="0.2">
      <c r="CZ1236" s="12"/>
      <c r="DA1236" s="12"/>
    </row>
    <row r="1237" spans="104:105" x14ac:dyDescent="0.2">
      <c r="CZ1237" s="12"/>
      <c r="DA1237" s="12"/>
    </row>
    <row r="1238" spans="104:105" x14ac:dyDescent="0.2">
      <c r="CZ1238" s="12"/>
      <c r="DA1238" s="12"/>
    </row>
    <row r="1239" spans="104:105" x14ac:dyDescent="0.2">
      <c r="CZ1239" s="12"/>
      <c r="DA1239" s="12"/>
    </row>
    <row r="1240" spans="104:105" x14ac:dyDescent="0.2">
      <c r="CZ1240" s="12"/>
      <c r="DA1240" s="12"/>
    </row>
    <row r="1241" spans="104:105" x14ac:dyDescent="0.2">
      <c r="CZ1241" s="12"/>
      <c r="DA1241" s="12"/>
    </row>
    <row r="1242" spans="104:105" x14ac:dyDescent="0.2">
      <c r="CZ1242" s="12"/>
      <c r="DA1242" s="12"/>
    </row>
    <row r="1243" spans="104:105" x14ac:dyDescent="0.2">
      <c r="CZ1243" s="12"/>
      <c r="DA1243" s="12"/>
    </row>
    <row r="1244" spans="104:105" x14ac:dyDescent="0.2">
      <c r="CZ1244" s="12"/>
      <c r="DA1244" s="12"/>
    </row>
    <row r="1245" spans="104:105" x14ac:dyDescent="0.2">
      <c r="CZ1245" s="12"/>
      <c r="DA1245" s="12"/>
    </row>
    <row r="1246" spans="104:105" x14ac:dyDescent="0.2">
      <c r="CZ1246" s="12"/>
      <c r="DA1246" s="12"/>
    </row>
    <row r="1247" spans="104:105" x14ac:dyDescent="0.2">
      <c r="CZ1247" s="12"/>
      <c r="DA1247" s="12"/>
    </row>
    <row r="1248" spans="104:105" x14ac:dyDescent="0.2">
      <c r="CZ1248" s="12"/>
      <c r="DA1248" s="12"/>
    </row>
    <row r="1249" spans="104:105" x14ac:dyDescent="0.2">
      <c r="CZ1249" s="12"/>
      <c r="DA1249" s="12"/>
    </row>
    <row r="1250" spans="104:105" x14ac:dyDescent="0.2">
      <c r="CZ1250" s="12"/>
      <c r="DA1250" s="12"/>
    </row>
    <row r="1251" spans="104:105" x14ac:dyDescent="0.2">
      <c r="CZ1251" s="12"/>
      <c r="DA1251" s="12"/>
    </row>
    <row r="1252" spans="104:105" x14ac:dyDescent="0.2">
      <c r="CZ1252" s="12"/>
      <c r="DA1252" s="12"/>
    </row>
    <row r="1253" spans="104:105" x14ac:dyDescent="0.2">
      <c r="CZ1253" s="12"/>
      <c r="DA1253" s="12"/>
    </row>
    <row r="1254" spans="104:105" x14ac:dyDescent="0.2">
      <c r="CZ1254" s="12"/>
      <c r="DA1254" s="12"/>
    </row>
    <row r="1255" spans="104:105" x14ac:dyDescent="0.2">
      <c r="CZ1255" s="12"/>
      <c r="DA1255" s="12"/>
    </row>
    <row r="1256" spans="104:105" x14ac:dyDescent="0.2">
      <c r="CZ1256" s="12"/>
      <c r="DA1256" s="12"/>
    </row>
    <row r="1257" spans="104:105" x14ac:dyDescent="0.2">
      <c r="CZ1257" s="12"/>
      <c r="DA1257" s="12"/>
    </row>
    <row r="1258" spans="104:105" x14ac:dyDescent="0.2">
      <c r="CZ1258" s="12"/>
      <c r="DA1258" s="12"/>
    </row>
    <row r="1259" spans="104:105" x14ac:dyDescent="0.2">
      <c r="CZ1259" s="12"/>
      <c r="DA1259" s="12"/>
    </row>
    <row r="1260" spans="104:105" x14ac:dyDescent="0.2">
      <c r="CZ1260" s="12"/>
      <c r="DA1260" s="12"/>
    </row>
    <row r="1261" spans="104:105" x14ac:dyDescent="0.2">
      <c r="CZ1261" s="12"/>
      <c r="DA1261" s="12"/>
    </row>
    <row r="1262" spans="104:105" x14ac:dyDescent="0.2">
      <c r="CZ1262" s="12"/>
      <c r="DA1262" s="12"/>
    </row>
    <row r="1263" spans="104:105" x14ac:dyDescent="0.2">
      <c r="CZ1263" s="12"/>
      <c r="DA1263" s="12"/>
    </row>
    <row r="1264" spans="104:105" x14ac:dyDescent="0.2">
      <c r="CZ1264" s="12"/>
      <c r="DA1264" s="12"/>
    </row>
    <row r="1265" spans="104:105" x14ac:dyDescent="0.2">
      <c r="CZ1265" s="12"/>
      <c r="DA1265" s="12"/>
    </row>
    <row r="1266" spans="104:105" x14ac:dyDescent="0.2">
      <c r="CZ1266" s="12"/>
      <c r="DA1266" s="12"/>
    </row>
    <row r="1267" spans="104:105" x14ac:dyDescent="0.2">
      <c r="CZ1267" s="12"/>
      <c r="DA1267" s="12"/>
    </row>
    <row r="1268" spans="104:105" x14ac:dyDescent="0.2">
      <c r="CZ1268" s="12"/>
      <c r="DA1268" s="12"/>
    </row>
    <row r="1269" spans="104:105" x14ac:dyDescent="0.2">
      <c r="CZ1269" s="12"/>
      <c r="DA1269" s="12"/>
    </row>
    <row r="1270" spans="104:105" x14ac:dyDescent="0.2">
      <c r="CZ1270" s="12"/>
      <c r="DA1270" s="12"/>
    </row>
    <row r="1271" spans="104:105" x14ac:dyDescent="0.2">
      <c r="CZ1271" s="12"/>
      <c r="DA1271" s="12"/>
    </row>
    <row r="1272" spans="104:105" x14ac:dyDescent="0.2">
      <c r="CZ1272" s="12"/>
      <c r="DA1272" s="12"/>
    </row>
    <row r="1273" spans="104:105" x14ac:dyDescent="0.2">
      <c r="CZ1273" s="12"/>
      <c r="DA1273" s="12"/>
    </row>
    <row r="1274" spans="104:105" x14ac:dyDescent="0.2">
      <c r="CZ1274" s="12"/>
      <c r="DA1274" s="12"/>
    </row>
    <row r="1275" spans="104:105" x14ac:dyDescent="0.2">
      <c r="CZ1275" s="12"/>
      <c r="DA1275" s="12"/>
    </row>
    <row r="1276" spans="104:105" x14ac:dyDescent="0.2">
      <c r="CZ1276" s="12"/>
      <c r="DA1276" s="12"/>
    </row>
    <row r="1277" spans="104:105" x14ac:dyDescent="0.2">
      <c r="CZ1277" s="12"/>
      <c r="DA1277" s="12"/>
    </row>
    <row r="1278" spans="104:105" x14ac:dyDescent="0.2">
      <c r="CZ1278" s="12"/>
      <c r="DA1278" s="12"/>
    </row>
    <row r="1279" spans="104:105" x14ac:dyDescent="0.2">
      <c r="CZ1279" s="12"/>
      <c r="DA1279" s="12"/>
    </row>
    <row r="1280" spans="104:105" x14ac:dyDescent="0.2">
      <c r="CZ1280" s="12"/>
      <c r="DA1280" s="12"/>
    </row>
    <row r="1281" spans="104:105" x14ac:dyDescent="0.2">
      <c r="CZ1281" s="12"/>
      <c r="DA1281" s="12"/>
    </row>
    <row r="1282" spans="104:105" x14ac:dyDescent="0.2">
      <c r="CZ1282" s="12"/>
      <c r="DA1282" s="12"/>
    </row>
    <row r="1283" spans="104:105" x14ac:dyDescent="0.2">
      <c r="CZ1283" s="12"/>
      <c r="DA1283" s="12"/>
    </row>
    <row r="1284" spans="104:105" x14ac:dyDescent="0.2">
      <c r="CZ1284" s="12"/>
      <c r="DA1284" s="12"/>
    </row>
    <row r="1285" spans="104:105" x14ac:dyDescent="0.2">
      <c r="CZ1285" s="12"/>
      <c r="DA1285" s="12"/>
    </row>
    <row r="1286" spans="104:105" x14ac:dyDescent="0.2">
      <c r="CZ1286" s="12"/>
      <c r="DA1286" s="12"/>
    </row>
    <row r="1287" spans="104:105" x14ac:dyDescent="0.2">
      <c r="CZ1287" s="12"/>
      <c r="DA1287" s="12"/>
    </row>
    <row r="1288" spans="104:105" x14ac:dyDescent="0.2">
      <c r="CZ1288" s="12"/>
      <c r="DA1288" s="12"/>
    </row>
    <row r="1289" spans="104:105" x14ac:dyDescent="0.2">
      <c r="CZ1289" s="12"/>
      <c r="DA1289" s="12"/>
    </row>
    <row r="1290" spans="104:105" x14ac:dyDescent="0.2">
      <c r="CZ1290" s="12"/>
      <c r="DA1290" s="12"/>
    </row>
    <row r="1291" spans="104:105" x14ac:dyDescent="0.2">
      <c r="CZ1291" s="12"/>
      <c r="DA1291" s="12"/>
    </row>
    <row r="1292" spans="104:105" x14ac:dyDescent="0.2">
      <c r="CZ1292" s="12"/>
      <c r="DA1292" s="12"/>
    </row>
    <row r="1293" spans="104:105" x14ac:dyDescent="0.2">
      <c r="CZ1293" s="12"/>
      <c r="DA1293" s="12"/>
    </row>
    <row r="1294" spans="104:105" x14ac:dyDescent="0.2">
      <c r="CZ1294" s="12"/>
      <c r="DA1294" s="12"/>
    </row>
    <row r="1295" spans="104:105" x14ac:dyDescent="0.2">
      <c r="CZ1295" s="12"/>
      <c r="DA1295" s="12"/>
    </row>
    <row r="1296" spans="104:105" x14ac:dyDescent="0.2">
      <c r="CZ1296" s="12"/>
      <c r="DA1296" s="12"/>
    </row>
    <row r="1297" spans="104:105" x14ac:dyDescent="0.2">
      <c r="CZ1297" s="12"/>
      <c r="DA1297" s="12"/>
    </row>
    <row r="1298" spans="104:105" x14ac:dyDescent="0.2">
      <c r="CZ1298" s="12"/>
      <c r="DA1298" s="12"/>
    </row>
    <row r="1299" spans="104:105" x14ac:dyDescent="0.2">
      <c r="CZ1299" s="12"/>
      <c r="DA1299" s="12"/>
    </row>
    <row r="1300" spans="104:105" x14ac:dyDescent="0.2">
      <c r="CZ1300" s="12"/>
      <c r="DA1300" s="12"/>
    </row>
    <row r="1301" spans="104:105" x14ac:dyDescent="0.2">
      <c r="CZ1301" s="12"/>
      <c r="DA1301" s="12"/>
    </row>
    <row r="1302" spans="104:105" x14ac:dyDescent="0.2">
      <c r="CZ1302" s="12"/>
      <c r="DA1302" s="12"/>
    </row>
    <row r="1303" spans="104:105" x14ac:dyDescent="0.2">
      <c r="CZ1303" s="12"/>
      <c r="DA1303" s="12"/>
    </row>
    <row r="1304" spans="104:105" x14ac:dyDescent="0.2">
      <c r="CZ1304" s="12"/>
      <c r="DA1304" s="12"/>
    </row>
    <row r="1305" spans="104:105" x14ac:dyDescent="0.2">
      <c r="CZ1305" s="12"/>
      <c r="DA1305" s="12"/>
    </row>
    <row r="1306" spans="104:105" x14ac:dyDescent="0.2">
      <c r="CZ1306" s="12"/>
      <c r="DA1306" s="12"/>
    </row>
    <row r="1307" spans="104:105" x14ac:dyDescent="0.2">
      <c r="CZ1307" s="12"/>
      <c r="DA1307" s="12"/>
    </row>
    <row r="1308" spans="104:105" x14ac:dyDescent="0.2">
      <c r="CZ1308" s="12"/>
      <c r="DA1308" s="12"/>
    </row>
    <row r="1309" spans="104:105" x14ac:dyDescent="0.2">
      <c r="CZ1309" s="12"/>
      <c r="DA1309" s="12"/>
    </row>
    <row r="1310" spans="104:105" x14ac:dyDescent="0.2">
      <c r="CZ1310" s="12"/>
      <c r="DA1310" s="12"/>
    </row>
    <row r="1311" spans="104:105" x14ac:dyDescent="0.2">
      <c r="CZ1311" s="12"/>
      <c r="DA1311" s="12"/>
    </row>
    <row r="1312" spans="104:105" x14ac:dyDescent="0.2">
      <c r="CZ1312" s="12"/>
      <c r="DA1312" s="12"/>
    </row>
    <row r="1313" spans="104:105" x14ac:dyDescent="0.2">
      <c r="CZ1313" s="12"/>
      <c r="DA1313" s="12"/>
    </row>
    <row r="1314" spans="104:105" x14ac:dyDescent="0.2">
      <c r="CZ1314" s="12"/>
      <c r="DA1314" s="12"/>
    </row>
    <row r="1315" spans="104:105" x14ac:dyDescent="0.2">
      <c r="CZ1315" s="12"/>
      <c r="DA1315" s="12"/>
    </row>
    <row r="1316" spans="104:105" x14ac:dyDescent="0.2">
      <c r="CZ1316" s="12"/>
      <c r="DA1316" s="12"/>
    </row>
    <row r="1317" spans="104:105" x14ac:dyDescent="0.2">
      <c r="CZ1317" s="12"/>
      <c r="DA1317" s="12"/>
    </row>
    <row r="1318" spans="104:105" x14ac:dyDescent="0.2">
      <c r="CZ1318" s="12"/>
      <c r="DA1318" s="12"/>
    </row>
    <row r="1319" spans="104:105" x14ac:dyDescent="0.2">
      <c r="CZ1319" s="12"/>
      <c r="DA1319" s="12"/>
    </row>
    <row r="1320" spans="104:105" x14ac:dyDescent="0.2">
      <c r="CZ1320" s="12"/>
      <c r="DA1320" s="12"/>
    </row>
    <row r="1321" spans="104:105" x14ac:dyDescent="0.2">
      <c r="CZ1321" s="12"/>
      <c r="DA1321" s="12"/>
    </row>
    <row r="1322" spans="104:105" x14ac:dyDescent="0.2">
      <c r="CZ1322" s="12"/>
      <c r="DA1322" s="12"/>
    </row>
    <row r="1323" spans="104:105" x14ac:dyDescent="0.2">
      <c r="CZ1323" s="12"/>
      <c r="DA1323" s="12"/>
    </row>
    <row r="1324" spans="104:105" x14ac:dyDescent="0.2">
      <c r="CZ1324" s="12"/>
      <c r="DA1324" s="12"/>
    </row>
    <row r="1325" spans="104:105" x14ac:dyDescent="0.2">
      <c r="CZ1325" s="12"/>
      <c r="DA1325" s="12"/>
    </row>
    <row r="1326" spans="104:105" x14ac:dyDescent="0.2">
      <c r="CZ1326" s="12"/>
      <c r="DA1326" s="12"/>
    </row>
    <row r="1327" spans="104:105" x14ac:dyDescent="0.2">
      <c r="CZ1327" s="12"/>
      <c r="DA1327" s="12"/>
    </row>
    <row r="1328" spans="104:105" x14ac:dyDescent="0.2">
      <c r="CZ1328" s="12"/>
      <c r="DA1328" s="12"/>
    </row>
    <row r="1329" spans="104:105" x14ac:dyDescent="0.2">
      <c r="CZ1329" s="12"/>
      <c r="DA1329" s="12"/>
    </row>
    <row r="1330" spans="104:105" x14ac:dyDescent="0.2">
      <c r="CZ1330" s="12"/>
      <c r="DA1330" s="12"/>
    </row>
    <row r="1331" spans="104:105" x14ac:dyDescent="0.2">
      <c r="CZ1331" s="12"/>
      <c r="DA1331" s="12"/>
    </row>
    <row r="1332" spans="104:105" x14ac:dyDescent="0.2">
      <c r="CZ1332" s="12"/>
      <c r="DA1332" s="12"/>
    </row>
    <row r="1333" spans="104:105" x14ac:dyDescent="0.2">
      <c r="CZ1333" s="12"/>
      <c r="DA1333" s="12"/>
    </row>
    <row r="1334" spans="104:105" x14ac:dyDescent="0.2">
      <c r="CZ1334" s="12"/>
      <c r="DA1334" s="12"/>
    </row>
    <row r="1335" spans="104:105" x14ac:dyDescent="0.2">
      <c r="CZ1335" s="12"/>
      <c r="DA1335" s="12"/>
    </row>
    <row r="1336" spans="104:105" x14ac:dyDescent="0.2">
      <c r="CZ1336" s="12"/>
      <c r="DA1336" s="12"/>
    </row>
    <row r="1337" spans="104:105" x14ac:dyDescent="0.2">
      <c r="CZ1337" s="12"/>
      <c r="DA1337" s="12"/>
    </row>
    <row r="1338" spans="104:105" x14ac:dyDescent="0.2">
      <c r="CZ1338" s="12"/>
      <c r="DA1338" s="12"/>
    </row>
    <row r="1339" spans="104:105" x14ac:dyDescent="0.2">
      <c r="CZ1339" s="12"/>
      <c r="DA1339" s="12"/>
    </row>
    <row r="1340" spans="104:105" x14ac:dyDescent="0.2">
      <c r="CZ1340" s="12"/>
      <c r="DA1340" s="12"/>
    </row>
    <row r="1341" spans="104:105" x14ac:dyDescent="0.2">
      <c r="CZ1341" s="12"/>
      <c r="DA1341" s="12"/>
    </row>
    <row r="1342" spans="104:105" x14ac:dyDescent="0.2">
      <c r="CZ1342" s="12"/>
      <c r="DA1342" s="12"/>
    </row>
    <row r="1343" spans="104:105" x14ac:dyDescent="0.2">
      <c r="CZ1343" s="12"/>
      <c r="DA1343" s="12"/>
    </row>
    <row r="1344" spans="104:105" x14ac:dyDescent="0.2">
      <c r="CZ1344" s="12"/>
      <c r="DA1344" s="12"/>
    </row>
    <row r="1345" spans="104:105" x14ac:dyDescent="0.2">
      <c r="CZ1345" s="12"/>
      <c r="DA1345" s="12"/>
    </row>
    <row r="1346" spans="104:105" x14ac:dyDescent="0.2">
      <c r="CZ1346" s="12"/>
      <c r="DA1346" s="12"/>
    </row>
    <row r="1347" spans="104:105" x14ac:dyDescent="0.2">
      <c r="CZ1347" s="12"/>
      <c r="DA1347" s="12"/>
    </row>
    <row r="1348" spans="104:105" x14ac:dyDescent="0.2">
      <c r="CZ1348" s="12"/>
      <c r="DA1348" s="12"/>
    </row>
    <row r="1349" spans="104:105" x14ac:dyDescent="0.2">
      <c r="CZ1349" s="12"/>
      <c r="DA1349" s="12"/>
    </row>
    <row r="1350" spans="104:105" x14ac:dyDescent="0.2">
      <c r="CZ1350" s="12"/>
      <c r="DA1350" s="12"/>
    </row>
    <row r="1351" spans="104:105" x14ac:dyDescent="0.2">
      <c r="CZ1351" s="12"/>
      <c r="DA1351" s="12"/>
    </row>
    <row r="1352" spans="104:105" x14ac:dyDescent="0.2">
      <c r="CZ1352" s="12"/>
      <c r="DA1352" s="12"/>
    </row>
    <row r="1353" spans="104:105" x14ac:dyDescent="0.2">
      <c r="CZ1353" s="12"/>
      <c r="DA1353" s="12"/>
    </row>
    <row r="1354" spans="104:105" x14ac:dyDescent="0.2">
      <c r="CZ1354" s="12"/>
      <c r="DA1354" s="12"/>
    </row>
    <row r="1355" spans="104:105" x14ac:dyDescent="0.2">
      <c r="CZ1355" s="12"/>
      <c r="DA1355" s="12"/>
    </row>
    <row r="1356" spans="104:105" x14ac:dyDescent="0.2">
      <c r="CZ1356" s="12"/>
      <c r="DA1356" s="12"/>
    </row>
    <row r="1357" spans="104:105" x14ac:dyDescent="0.2">
      <c r="CZ1357" s="12"/>
      <c r="DA1357" s="12"/>
    </row>
    <row r="1358" spans="104:105" x14ac:dyDescent="0.2">
      <c r="CZ1358" s="12"/>
      <c r="DA1358" s="12"/>
    </row>
    <row r="1359" spans="104:105" x14ac:dyDescent="0.2">
      <c r="CZ1359" s="12"/>
      <c r="DA1359" s="12"/>
    </row>
    <row r="1360" spans="104:105" x14ac:dyDescent="0.2">
      <c r="CZ1360" s="12"/>
      <c r="DA1360" s="12"/>
    </row>
    <row r="1361" spans="104:105" x14ac:dyDescent="0.2">
      <c r="CZ1361" s="12"/>
      <c r="DA1361" s="12"/>
    </row>
    <row r="1362" spans="104:105" x14ac:dyDescent="0.2">
      <c r="CZ1362" s="12"/>
      <c r="DA1362" s="12"/>
    </row>
    <row r="1363" spans="104:105" x14ac:dyDescent="0.2">
      <c r="CZ1363" s="12"/>
      <c r="DA1363" s="12"/>
    </row>
    <row r="1364" spans="104:105" x14ac:dyDescent="0.2">
      <c r="CZ1364" s="12"/>
      <c r="DA1364" s="12"/>
    </row>
    <row r="1365" spans="104:105" x14ac:dyDescent="0.2">
      <c r="CZ1365" s="12"/>
      <c r="DA1365" s="12"/>
    </row>
    <row r="1366" spans="104:105" x14ac:dyDescent="0.2">
      <c r="CZ1366" s="12"/>
      <c r="DA1366" s="12"/>
    </row>
    <row r="1367" spans="104:105" x14ac:dyDescent="0.2">
      <c r="CZ1367" s="12"/>
      <c r="DA1367" s="12"/>
    </row>
    <row r="1368" spans="104:105" x14ac:dyDescent="0.2">
      <c r="CZ1368" s="12"/>
      <c r="DA1368" s="12"/>
    </row>
    <row r="1369" spans="104:105" x14ac:dyDescent="0.2">
      <c r="CZ1369" s="12"/>
      <c r="DA1369" s="12"/>
    </row>
    <row r="1370" spans="104:105" x14ac:dyDescent="0.2">
      <c r="CZ1370" s="12"/>
      <c r="DA1370" s="12"/>
    </row>
    <row r="1371" spans="104:105" x14ac:dyDescent="0.2">
      <c r="CZ1371" s="12"/>
      <c r="DA1371" s="12"/>
    </row>
    <row r="1372" spans="104:105" x14ac:dyDescent="0.2">
      <c r="CZ1372" s="12"/>
      <c r="DA1372" s="12"/>
    </row>
    <row r="1373" spans="104:105" x14ac:dyDescent="0.2">
      <c r="CZ1373" s="12"/>
      <c r="DA1373" s="12"/>
    </row>
    <row r="1374" spans="104:105" x14ac:dyDescent="0.2">
      <c r="CZ1374" s="12"/>
      <c r="DA1374" s="12"/>
    </row>
    <row r="1375" spans="104:105" x14ac:dyDescent="0.2">
      <c r="CZ1375" s="12"/>
      <c r="DA1375" s="12"/>
    </row>
    <row r="1376" spans="104:105" x14ac:dyDescent="0.2">
      <c r="CZ1376" s="12"/>
      <c r="DA1376" s="12"/>
    </row>
    <row r="1377" spans="104:105" x14ac:dyDescent="0.2">
      <c r="CZ1377" s="12"/>
      <c r="DA1377" s="12"/>
    </row>
    <row r="1378" spans="104:105" x14ac:dyDescent="0.2">
      <c r="CZ1378" s="12"/>
      <c r="DA1378" s="12"/>
    </row>
    <row r="1379" spans="104:105" x14ac:dyDescent="0.2">
      <c r="CZ1379" s="12"/>
      <c r="DA1379" s="12"/>
    </row>
    <row r="1380" spans="104:105" x14ac:dyDescent="0.2">
      <c r="CZ1380" s="12"/>
      <c r="DA1380" s="12"/>
    </row>
    <row r="1381" spans="104:105" x14ac:dyDescent="0.2">
      <c r="CZ1381" s="12"/>
      <c r="DA1381" s="12"/>
    </row>
    <row r="1382" spans="104:105" x14ac:dyDescent="0.2">
      <c r="CZ1382" s="12"/>
      <c r="DA1382" s="12"/>
    </row>
    <row r="1383" spans="104:105" x14ac:dyDescent="0.2">
      <c r="CZ1383" s="12"/>
      <c r="DA1383" s="12"/>
    </row>
    <row r="1384" spans="104:105" x14ac:dyDescent="0.2">
      <c r="CZ1384" s="12"/>
      <c r="DA1384" s="12"/>
    </row>
    <row r="1385" spans="104:105" x14ac:dyDescent="0.2">
      <c r="CZ1385" s="12"/>
      <c r="DA1385" s="12"/>
    </row>
    <row r="1386" spans="104:105" x14ac:dyDescent="0.2">
      <c r="CZ1386" s="12"/>
      <c r="DA1386" s="12"/>
    </row>
    <row r="1387" spans="104:105" x14ac:dyDescent="0.2">
      <c r="CZ1387" s="12"/>
      <c r="DA1387" s="12"/>
    </row>
    <row r="1388" spans="104:105" x14ac:dyDescent="0.2">
      <c r="CZ1388" s="12"/>
      <c r="DA1388" s="12"/>
    </row>
    <row r="1389" spans="104:105" x14ac:dyDescent="0.2">
      <c r="CZ1389" s="12"/>
      <c r="DA1389" s="12"/>
    </row>
    <row r="1390" spans="104:105" x14ac:dyDescent="0.2">
      <c r="CZ1390" s="12"/>
      <c r="DA1390" s="12"/>
    </row>
    <row r="1391" spans="104:105" x14ac:dyDescent="0.2">
      <c r="CZ1391" s="12"/>
      <c r="DA1391" s="12"/>
    </row>
    <row r="1392" spans="104:105" x14ac:dyDescent="0.2">
      <c r="CZ1392" s="12"/>
      <c r="DA1392" s="12"/>
    </row>
    <row r="1393" spans="104:105" x14ac:dyDescent="0.2">
      <c r="CZ1393" s="12"/>
      <c r="DA1393" s="12"/>
    </row>
    <row r="1394" spans="104:105" x14ac:dyDescent="0.2">
      <c r="CZ1394" s="12"/>
      <c r="DA1394" s="12"/>
    </row>
    <row r="1395" spans="104:105" x14ac:dyDescent="0.2">
      <c r="CZ1395" s="12"/>
      <c r="DA1395" s="12"/>
    </row>
    <row r="1396" spans="104:105" x14ac:dyDescent="0.2">
      <c r="CZ1396" s="12"/>
      <c r="DA1396" s="12"/>
    </row>
    <row r="1397" spans="104:105" x14ac:dyDescent="0.2">
      <c r="CZ1397" s="12"/>
      <c r="DA1397" s="12"/>
    </row>
    <row r="1398" spans="104:105" x14ac:dyDescent="0.2">
      <c r="CZ1398" s="12"/>
      <c r="DA1398" s="12"/>
    </row>
    <row r="1399" spans="104:105" x14ac:dyDescent="0.2">
      <c r="CZ1399" s="12"/>
      <c r="DA1399" s="12"/>
    </row>
    <row r="1400" spans="104:105" x14ac:dyDescent="0.2">
      <c r="CZ1400" s="12"/>
      <c r="DA1400" s="12"/>
    </row>
    <row r="1401" spans="104:105" x14ac:dyDescent="0.2">
      <c r="CZ1401" s="12"/>
      <c r="DA1401" s="12"/>
    </row>
    <row r="1402" spans="104:105" x14ac:dyDescent="0.2">
      <c r="CZ1402" s="12"/>
      <c r="DA1402" s="12"/>
    </row>
    <row r="1403" spans="104:105" x14ac:dyDescent="0.2">
      <c r="CZ1403" s="12"/>
      <c r="DA1403" s="12"/>
    </row>
    <row r="1404" spans="104:105" x14ac:dyDescent="0.2">
      <c r="CZ1404" s="12"/>
      <c r="DA1404" s="12"/>
    </row>
    <row r="1405" spans="104:105" x14ac:dyDescent="0.2">
      <c r="CZ1405" s="12"/>
      <c r="DA1405" s="12"/>
    </row>
    <row r="1406" spans="104:105" x14ac:dyDescent="0.2">
      <c r="CZ1406" s="12"/>
      <c r="DA1406" s="12"/>
    </row>
    <row r="1407" spans="104:105" x14ac:dyDescent="0.2">
      <c r="CZ1407" s="12"/>
      <c r="DA1407" s="12"/>
    </row>
    <row r="1408" spans="104:105" x14ac:dyDescent="0.2">
      <c r="CZ1408" s="12"/>
      <c r="DA1408" s="12"/>
    </row>
    <row r="1409" spans="104:105" x14ac:dyDescent="0.2">
      <c r="CZ1409" s="12"/>
      <c r="DA1409" s="12"/>
    </row>
    <row r="1410" spans="104:105" x14ac:dyDescent="0.2">
      <c r="CZ1410" s="12"/>
      <c r="DA1410" s="12"/>
    </row>
    <row r="1411" spans="104:105" x14ac:dyDescent="0.2">
      <c r="CZ1411" s="12"/>
      <c r="DA1411" s="12"/>
    </row>
    <row r="1412" spans="104:105" x14ac:dyDescent="0.2">
      <c r="CZ1412" s="12"/>
      <c r="DA1412" s="12"/>
    </row>
    <row r="1413" spans="104:105" x14ac:dyDescent="0.2">
      <c r="CZ1413" s="12"/>
      <c r="DA1413" s="12"/>
    </row>
    <row r="1414" spans="104:105" x14ac:dyDescent="0.2">
      <c r="CZ1414" s="12"/>
      <c r="DA1414" s="12"/>
    </row>
    <row r="1415" spans="104:105" x14ac:dyDescent="0.2">
      <c r="CZ1415" s="12"/>
      <c r="DA1415" s="12"/>
    </row>
    <row r="1416" spans="104:105" x14ac:dyDescent="0.2">
      <c r="CZ1416" s="12"/>
      <c r="DA1416" s="12"/>
    </row>
    <row r="1417" spans="104:105" x14ac:dyDescent="0.2">
      <c r="CZ1417" s="12"/>
      <c r="DA1417" s="12"/>
    </row>
    <row r="1418" spans="104:105" x14ac:dyDescent="0.2">
      <c r="CZ1418" s="12"/>
      <c r="DA1418" s="12"/>
    </row>
    <row r="1419" spans="104:105" x14ac:dyDescent="0.2">
      <c r="CZ1419" s="12"/>
      <c r="DA1419" s="12"/>
    </row>
    <row r="1420" spans="104:105" x14ac:dyDescent="0.2">
      <c r="CZ1420" s="12"/>
      <c r="DA1420" s="12"/>
    </row>
    <row r="1421" spans="104:105" x14ac:dyDescent="0.2">
      <c r="CZ1421" s="12"/>
      <c r="DA1421" s="1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7C09-7E6D-154A-B8B4-CB75DCE8649A}">
  <dimension ref="A1:DV1421"/>
  <sheetViews>
    <sheetView workbookViewId="0">
      <pane xSplit="1" ySplit="7" topLeftCell="CG8" activePane="bottomRight" state="frozen"/>
      <selection pane="topRight" activeCell="B1" sqref="B1"/>
      <selection pane="bottomLeft" activeCell="A8" sqref="A8"/>
      <selection pane="bottomRight" activeCell="CO67" sqref="CO67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28" width="11.83203125" customWidth="1"/>
    <col min="29" max="29" width="19.5" customWidth="1"/>
    <col min="30" max="38" width="11.1640625" customWidth="1"/>
    <col min="39" max="41" width="11.83203125" customWidth="1"/>
    <col min="42" max="42" width="11.5" customWidth="1"/>
    <col min="43" max="43" width="19.5" customWidth="1"/>
    <col min="44" max="52" width="11.1640625" customWidth="1"/>
    <col min="53" max="56" width="11.83203125" customWidth="1"/>
    <col min="57" max="57" width="19.5" customWidth="1"/>
    <col min="58" max="66" width="11.1640625" customWidth="1"/>
    <col min="67" max="70" width="11.83203125" customWidth="1"/>
    <col min="71" max="71" width="19.5" customWidth="1"/>
    <col min="72" max="80" width="11.1640625" customWidth="1"/>
    <col min="81" max="84" width="11.83203125" customWidth="1"/>
    <col min="85" max="85" width="19.5" customWidth="1"/>
    <col min="86" max="94" width="11.1640625" customWidth="1"/>
    <col min="95" max="99" width="11.83203125" customWidth="1"/>
    <col min="100" max="100" width="17" customWidth="1"/>
    <col min="101" max="113" width="11.83203125" customWidth="1"/>
  </cols>
  <sheetData>
    <row r="1" spans="1:113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15" t="s">
        <v>1734</v>
      </c>
      <c r="AC1" s="9"/>
      <c r="AD1" s="9">
        <v>0</v>
      </c>
      <c r="AE1" s="9">
        <v>1</v>
      </c>
      <c r="AF1" s="9">
        <v>2</v>
      </c>
      <c r="AG1" s="9">
        <v>3</v>
      </c>
      <c r="AH1" s="9">
        <v>4</v>
      </c>
      <c r="AI1" s="9">
        <v>5</v>
      </c>
      <c r="AJ1" s="9">
        <v>6</v>
      </c>
      <c r="AK1" s="9">
        <v>7</v>
      </c>
      <c r="AL1" s="9">
        <v>8</v>
      </c>
      <c r="AN1" s="15" t="s">
        <v>1734</v>
      </c>
      <c r="AQ1" s="9"/>
      <c r="AR1" s="9">
        <v>0</v>
      </c>
      <c r="AS1" s="9">
        <v>1</v>
      </c>
      <c r="AT1" s="9">
        <v>2</v>
      </c>
      <c r="AU1" s="9">
        <v>3</v>
      </c>
      <c r="AV1" s="9">
        <v>4</v>
      </c>
      <c r="AW1" s="9">
        <v>5</v>
      </c>
      <c r="AX1" s="9">
        <v>6</v>
      </c>
      <c r="AY1" s="9">
        <v>7</v>
      </c>
      <c r="AZ1" s="9">
        <v>8</v>
      </c>
      <c r="BB1" s="15" t="s">
        <v>1734</v>
      </c>
      <c r="BE1" s="9"/>
      <c r="BF1" s="9">
        <v>0</v>
      </c>
      <c r="BG1" s="9">
        <v>1</v>
      </c>
      <c r="BH1" s="9">
        <v>2</v>
      </c>
      <c r="BI1" s="9">
        <v>3</v>
      </c>
      <c r="BJ1" s="9">
        <v>4</v>
      </c>
      <c r="BK1" s="9">
        <v>5</v>
      </c>
      <c r="BL1" s="9">
        <v>6</v>
      </c>
      <c r="BM1" s="9">
        <v>7</v>
      </c>
      <c r="BN1" s="9">
        <v>8</v>
      </c>
      <c r="BP1" s="15" t="s">
        <v>1734</v>
      </c>
      <c r="BS1" s="9"/>
      <c r="BT1" s="9">
        <v>0</v>
      </c>
      <c r="BU1" s="9">
        <v>1</v>
      </c>
      <c r="BV1" s="9">
        <v>2</v>
      </c>
      <c r="BW1" s="9">
        <v>3</v>
      </c>
      <c r="BX1" s="9">
        <v>4</v>
      </c>
      <c r="BY1" s="9">
        <v>5</v>
      </c>
      <c r="BZ1" s="9">
        <v>6</v>
      </c>
      <c r="CA1" s="9">
        <v>7</v>
      </c>
      <c r="CB1" s="9">
        <v>8</v>
      </c>
      <c r="CD1" s="15" t="s">
        <v>1734</v>
      </c>
      <c r="CG1" s="9"/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R1" s="15" t="s">
        <v>1734</v>
      </c>
      <c r="CV1" s="9"/>
      <c r="CW1" s="9"/>
      <c r="CX1" s="9"/>
      <c r="CY1" s="9"/>
      <c r="CZ1" s="9"/>
      <c r="DA1" s="9"/>
      <c r="DB1" s="9"/>
      <c r="DC1" s="9"/>
      <c r="DD1" s="9"/>
      <c r="DE1" s="9"/>
      <c r="DG1" s="15"/>
    </row>
    <row r="2" spans="1:113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 t="s">
        <v>1750</v>
      </c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C2" s="20"/>
      <c r="AD2" s="9"/>
      <c r="AE2" s="9"/>
      <c r="AF2" s="9"/>
      <c r="AG2" s="9"/>
      <c r="AH2" s="9"/>
      <c r="AI2" s="9"/>
      <c r="AN2" s="17" t="s">
        <v>1320</v>
      </c>
      <c r="AO2" s="17" t="s">
        <v>1319</v>
      </c>
      <c r="AQ2" s="20"/>
      <c r="AR2" s="9"/>
      <c r="AS2" s="9"/>
      <c r="AT2" s="9"/>
      <c r="AU2" s="9"/>
      <c r="AV2" s="9"/>
      <c r="AW2" s="9"/>
      <c r="BB2" s="17" t="s">
        <v>1320</v>
      </c>
      <c r="BC2" s="17" t="s">
        <v>1319</v>
      </c>
      <c r="BE2" s="20"/>
      <c r="BF2" s="9"/>
      <c r="BG2" s="9"/>
      <c r="BH2" s="9"/>
      <c r="BI2" s="9"/>
      <c r="BJ2" s="9"/>
      <c r="BK2" s="9"/>
      <c r="BP2" s="17" t="s">
        <v>1320</v>
      </c>
      <c r="BQ2" s="17" t="s">
        <v>1319</v>
      </c>
      <c r="BT2" s="9"/>
      <c r="BU2" s="9"/>
      <c r="BV2" s="9"/>
      <c r="BW2" s="9"/>
      <c r="BX2" s="9"/>
      <c r="BY2" s="9"/>
      <c r="CD2" s="17" t="s">
        <v>1320</v>
      </c>
      <c r="CE2" s="17" t="s">
        <v>1319</v>
      </c>
      <c r="CG2" s="20"/>
      <c r="CH2" s="9"/>
      <c r="CI2" s="9"/>
      <c r="CJ2" s="9"/>
      <c r="CK2" s="9"/>
      <c r="CL2" s="9"/>
      <c r="CM2" s="9"/>
      <c r="CR2" s="17" t="s">
        <v>1320</v>
      </c>
      <c r="CS2" s="17" t="s">
        <v>1319</v>
      </c>
      <c r="CV2" s="9"/>
      <c r="CW2" s="9"/>
      <c r="CX2" s="9"/>
      <c r="CY2" s="9"/>
      <c r="CZ2" s="9"/>
      <c r="DA2" s="9"/>
      <c r="DB2" s="9"/>
    </row>
    <row r="3" spans="1:113" x14ac:dyDescent="0.2">
      <c r="A3" s="11" t="s">
        <v>1726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1730</v>
      </c>
      <c r="P3" s="9"/>
      <c r="Q3" s="9"/>
      <c r="R3" s="9"/>
      <c r="S3" s="9"/>
      <c r="T3" s="9"/>
      <c r="U3" s="9"/>
      <c r="Z3" s="6"/>
      <c r="AA3" s="6"/>
      <c r="AC3" s="20" t="s">
        <v>1758</v>
      </c>
      <c r="AD3" s="9"/>
      <c r="AE3" s="9"/>
      <c r="AF3" s="9"/>
      <c r="AG3" s="9"/>
      <c r="AH3" s="9"/>
      <c r="AI3" s="9"/>
      <c r="AN3" s="6"/>
      <c r="AO3" s="6"/>
      <c r="AQ3" s="20" t="s">
        <v>1759</v>
      </c>
      <c r="AR3" s="9"/>
      <c r="AS3" s="9"/>
      <c r="AT3" s="9"/>
      <c r="AU3" s="9"/>
      <c r="AV3" s="9"/>
      <c r="AW3" s="9"/>
      <c r="BB3" s="6"/>
      <c r="BC3" s="6"/>
      <c r="BE3" s="20" t="s">
        <v>1761</v>
      </c>
      <c r="BF3" s="9"/>
      <c r="BG3" s="9"/>
      <c r="BH3" s="9"/>
      <c r="BI3" s="9"/>
      <c r="BJ3" s="9"/>
      <c r="BK3" s="9"/>
      <c r="BP3" s="6"/>
      <c r="BQ3" s="6"/>
      <c r="BS3" s="20" t="s">
        <v>1760</v>
      </c>
      <c r="BT3" s="9"/>
      <c r="BU3" s="9"/>
      <c r="BV3" s="9"/>
      <c r="BW3" s="9"/>
      <c r="BX3" s="9"/>
      <c r="BY3" s="9"/>
      <c r="CD3" s="6"/>
      <c r="CE3" s="6"/>
      <c r="CG3" s="20" t="s">
        <v>1784</v>
      </c>
      <c r="CH3" s="9"/>
      <c r="CI3" s="9"/>
      <c r="CJ3" s="9"/>
      <c r="CK3" s="9"/>
      <c r="CL3" s="9"/>
      <c r="CM3" s="9"/>
      <c r="CR3" s="6"/>
      <c r="CS3" s="6"/>
      <c r="CV3" s="11"/>
      <c r="CW3" s="9"/>
      <c r="CX3" s="9"/>
      <c r="CY3" s="9"/>
      <c r="CZ3" s="9"/>
      <c r="DA3" s="9"/>
      <c r="DB3" s="9"/>
    </row>
    <row r="4" spans="1:113" x14ac:dyDescent="0.2">
      <c r="A4" s="9" t="s">
        <v>1729</v>
      </c>
      <c r="M4" s="9"/>
      <c r="N4" s="9"/>
      <c r="O4" s="9" t="s">
        <v>1733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C4" s="9" t="s">
        <v>1735</v>
      </c>
      <c r="AD4" s="13">
        <v>0</v>
      </c>
      <c r="AE4" s="13">
        <v>0</v>
      </c>
      <c r="AF4" s="13">
        <v>1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Q4" s="9" t="s">
        <v>1747</v>
      </c>
      <c r="AR4" s="13">
        <v>0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E4" s="9" t="s">
        <v>1746</v>
      </c>
      <c r="BF4" s="13">
        <v>0</v>
      </c>
      <c r="BG4" s="13">
        <v>0</v>
      </c>
      <c r="BH4" s="13">
        <v>0</v>
      </c>
      <c r="BI4" s="13">
        <v>0</v>
      </c>
      <c r="BJ4" s="13">
        <v>1</v>
      </c>
      <c r="BK4" s="13">
        <v>0</v>
      </c>
      <c r="BL4" s="13">
        <v>0</v>
      </c>
      <c r="BM4" s="13">
        <v>0</v>
      </c>
      <c r="BN4" s="13">
        <v>0</v>
      </c>
      <c r="BR4" s="11"/>
      <c r="BS4" s="9" t="s">
        <v>1741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0</v>
      </c>
      <c r="CA4" s="13">
        <v>0</v>
      </c>
      <c r="CB4" s="13">
        <v>0</v>
      </c>
      <c r="CF4" s="11"/>
      <c r="CG4" s="9" t="s">
        <v>1739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1</v>
      </c>
      <c r="CO4" s="13">
        <v>0</v>
      </c>
      <c r="CP4" s="13">
        <v>0</v>
      </c>
      <c r="CT4" s="11"/>
      <c r="CU4" s="11"/>
      <c r="CV4" s="9"/>
      <c r="DI4" s="11"/>
    </row>
    <row r="5" spans="1:113" x14ac:dyDescent="0.2">
      <c r="A5" s="9" t="s">
        <v>1727</v>
      </c>
      <c r="B5" s="12"/>
      <c r="M5" s="9"/>
      <c r="N5" s="9"/>
      <c r="O5" s="9" t="s">
        <v>1731</v>
      </c>
      <c r="P5">
        <f>P6*P4</f>
        <v>0</v>
      </c>
      <c r="Q5">
        <f t="shared" ref="Q5:X5" si="0">IF(P5=1,1,Q6*Q4)</f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AC5" s="9" t="s">
        <v>1736</v>
      </c>
      <c r="AD5">
        <f>AD6*AD4</f>
        <v>0</v>
      </c>
      <c r="AE5">
        <f t="shared" ref="AE5:AL5" si="1">IF(AD5=1,1,AE6*AE4)</f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Q5" s="9" t="s">
        <v>1748</v>
      </c>
      <c r="AR5">
        <f>AR6*AR4</f>
        <v>0</v>
      </c>
      <c r="AS5">
        <f t="shared" ref="AS5:AZ5" si="2">IF(AR5=1,1,AS6*AS4)</f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E5" s="9" t="s">
        <v>1744</v>
      </c>
      <c r="BF5">
        <f>BF6*BF4</f>
        <v>0</v>
      </c>
      <c r="BG5">
        <f t="shared" ref="BG5:BN5" si="3">IF(BF5=1,1,BG6*BG4)</f>
        <v>0</v>
      </c>
      <c r="BH5">
        <f t="shared" si="3"/>
        <v>0</v>
      </c>
      <c r="BI5">
        <f t="shared" si="3"/>
        <v>0</v>
      </c>
      <c r="BJ5">
        <f t="shared" si="3"/>
        <v>0</v>
      </c>
      <c r="BK5">
        <f t="shared" si="3"/>
        <v>0</v>
      </c>
      <c r="BL5">
        <f t="shared" si="3"/>
        <v>0</v>
      </c>
      <c r="BM5">
        <f t="shared" si="3"/>
        <v>0</v>
      </c>
      <c r="BN5">
        <f t="shared" si="3"/>
        <v>0</v>
      </c>
      <c r="BS5" s="9" t="s">
        <v>1742</v>
      </c>
      <c r="BT5">
        <f>BT6*BT4</f>
        <v>0</v>
      </c>
      <c r="BU5">
        <f t="shared" ref="BU5:CB5" si="4">IF(BT5=1,1,BU6*BU4)</f>
        <v>0</v>
      </c>
      <c r="BV5">
        <f t="shared" si="4"/>
        <v>0</v>
      </c>
      <c r="BW5">
        <f t="shared" si="4"/>
        <v>0</v>
      </c>
      <c r="BX5">
        <f t="shared" si="4"/>
        <v>0</v>
      </c>
      <c r="BY5">
        <f t="shared" si="4"/>
        <v>0</v>
      </c>
      <c r="BZ5">
        <f t="shared" si="4"/>
        <v>0</v>
      </c>
      <c r="CA5">
        <f t="shared" si="4"/>
        <v>0</v>
      </c>
      <c r="CB5">
        <f t="shared" si="4"/>
        <v>0</v>
      </c>
      <c r="CG5" s="9" t="s">
        <v>1738</v>
      </c>
      <c r="CH5">
        <f>CH6*CH4</f>
        <v>0</v>
      </c>
      <c r="CI5">
        <f t="shared" ref="CI5:CP5" si="5">IF(CH5=1,1,CI6*CI4)</f>
        <v>0</v>
      </c>
      <c r="CJ5">
        <f t="shared" si="5"/>
        <v>0</v>
      </c>
      <c r="CK5">
        <f t="shared" si="5"/>
        <v>0</v>
      </c>
      <c r="CL5">
        <f t="shared" si="5"/>
        <v>0</v>
      </c>
      <c r="CM5">
        <f t="shared" si="5"/>
        <v>0</v>
      </c>
      <c r="CN5">
        <f t="shared" si="5"/>
        <v>0</v>
      </c>
      <c r="CO5">
        <f t="shared" si="5"/>
        <v>0</v>
      </c>
      <c r="CP5">
        <f t="shared" si="5"/>
        <v>0</v>
      </c>
      <c r="CV5" s="9"/>
      <c r="CW5" s="12"/>
    </row>
    <row r="6" spans="1:113" x14ac:dyDescent="0.2">
      <c r="A6" s="9" t="s">
        <v>1728</v>
      </c>
      <c r="B6" s="13"/>
      <c r="J6" s="13"/>
      <c r="K6" s="13"/>
      <c r="L6" s="13"/>
      <c r="M6" s="9"/>
      <c r="N6" s="9"/>
      <c r="O6" s="9" t="s">
        <v>1732</v>
      </c>
      <c r="P6" s="12">
        <v>0</v>
      </c>
      <c r="Q6" s="12">
        <f>P6</f>
        <v>0</v>
      </c>
      <c r="R6" s="12">
        <f t="shared" ref="R6:X6" si="6">Q6</f>
        <v>0</v>
      </c>
      <c r="S6" s="12">
        <f t="shared" si="6"/>
        <v>0</v>
      </c>
      <c r="T6" s="12">
        <f t="shared" si="6"/>
        <v>0</v>
      </c>
      <c r="U6" s="12">
        <f t="shared" si="6"/>
        <v>0</v>
      </c>
      <c r="V6" s="12">
        <f t="shared" si="6"/>
        <v>0</v>
      </c>
      <c r="W6" s="12">
        <f t="shared" si="6"/>
        <v>0</v>
      </c>
      <c r="X6" s="12">
        <f t="shared" si="6"/>
        <v>0</v>
      </c>
      <c r="AC6" s="9" t="s">
        <v>1737</v>
      </c>
      <c r="AD6" s="12">
        <v>0</v>
      </c>
      <c r="AE6" s="12">
        <f>AD6</f>
        <v>0</v>
      </c>
      <c r="AF6" s="12">
        <f t="shared" ref="AF6:AL6" si="7">AE6</f>
        <v>0</v>
      </c>
      <c r="AG6" s="12">
        <f t="shared" si="7"/>
        <v>0</v>
      </c>
      <c r="AH6" s="12">
        <f t="shared" si="7"/>
        <v>0</v>
      </c>
      <c r="AI6" s="12">
        <f t="shared" si="7"/>
        <v>0</v>
      </c>
      <c r="AJ6" s="12">
        <f t="shared" si="7"/>
        <v>0</v>
      </c>
      <c r="AK6" s="12">
        <f t="shared" si="7"/>
        <v>0</v>
      </c>
      <c r="AL6" s="12">
        <f t="shared" si="7"/>
        <v>0</v>
      </c>
      <c r="AQ6" s="9" t="s">
        <v>1749</v>
      </c>
      <c r="AR6" s="12">
        <v>0</v>
      </c>
      <c r="AS6" s="12">
        <f>AR6</f>
        <v>0</v>
      </c>
      <c r="AT6" s="12">
        <f t="shared" ref="AT6:AZ6" si="8">AS6</f>
        <v>0</v>
      </c>
      <c r="AU6" s="12">
        <f t="shared" si="8"/>
        <v>0</v>
      </c>
      <c r="AV6" s="12">
        <f t="shared" si="8"/>
        <v>0</v>
      </c>
      <c r="AW6" s="12">
        <f t="shared" si="8"/>
        <v>0</v>
      </c>
      <c r="AX6" s="12">
        <f t="shared" si="8"/>
        <v>0</v>
      </c>
      <c r="AY6" s="12">
        <f t="shared" si="8"/>
        <v>0</v>
      </c>
      <c r="AZ6" s="12">
        <f t="shared" si="8"/>
        <v>0</v>
      </c>
      <c r="BE6" s="9" t="s">
        <v>1745</v>
      </c>
      <c r="BF6" s="12">
        <v>0</v>
      </c>
      <c r="BG6" s="12">
        <f>BF6</f>
        <v>0</v>
      </c>
      <c r="BH6" s="12">
        <f t="shared" ref="BH6:BN6" si="9">BG6</f>
        <v>0</v>
      </c>
      <c r="BI6" s="12">
        <f t="shared" si="9"/>
        <v>0</v>
      </c>
      <c r="BJ6" s="12">
        <f t="shared" si="9"/>
        <v>0</v>
      </c>
      <c r="BK6" s="12">
        <f t="shared" si="9"/>
        <v>0</v>
      </c>
      <c r="BL6" s="12">
        <f t="shared" si="9"/>
        <v>0</v>
      </c>
      <c r="BM6" s="12">
        <f t="shared" si="9"/>
        <v>0</v>
      </c>
      <c r="BN6" s="12">
        <f t="shared" si="9"/>
        <v>0</v>
      </c>
      <c r="BS6" s="9" t="s">
        <v>1743</v>
      </c>
      <c r="BT6" s="12">
        <v>0</v>
      </c>
      <c r="BU6" s="12">
        <f>BT6</f>
        <v>0</v>
      </c>
      <c r="BV6" s="12">
        <f t="shared" ref="BV6:CB6" si="10">BU6</f>
        <v>0</v>
      </c>
      <c r="BW6" s="12">
        <f t="shared" si="10"/>
        <v>0</v>
      </c>
      <c r="BX6" s="12">
        <f t="shared" si="10"/>
        <v>0</v>
      </c>
      <c r="BY6" s="12">
        <f t="shared" si="10"/>
        <v>0</v>
      </c>
      <c r="BZ6" s="12">
        <f t="shared" si="10"/>
        <v>0</v>
      </c>
      <c r="CA6" s="12">
        <f t="shared" si="10"/>
        <v>0</v>
      </c>
      <c r="CB6" s="12">
        <f t="shared" si="10"/>
        <v>0</v>
      </c>
      <c r="CG6" s="9" t="s">
        <v>1740</v>
      </c>
      <c r="CH6" s="12">
        <v>0</v>
      </c>
      <c r="CI6" s="12">
        <f>CH6</f>
        <v>0</v>
      </c>
      <c r="CJ6" s="12">
        <f t="shared" ref="CJ6:CP6" si="11">CI6</f>
        <v>0</v>
      </c>
      <c r="CK6" s="12">
        <f t="shared" si="11"/>
        <v>0</v>
      </c>
      <c r="CL6" s="12">
        <f t="shared" si="11"/>
        <v>0</v>
      </c>
      <c r="CM6" s="12">
        <f t="shared" si="11"/>
        <v>0</v>
      </c>
      <c r="CN6" s="12">
        <f t="shared" si="11"/>
        <v>0</v>
      </c>
      <c r="CO6" s="12">
        <f t="shared" si="11"/>
        <v>0</v>
      </c>
      <c r="CP6" s="12">
        <f t="shared" si="11"/>
        <v>0</v>
      </c>
      <c r="CV6" s="9"/>
      <c r="CW6" s="13"/>
      <c r="CX6" s="13"/>
      <c r="CY6" s="13"/>
      <c r="CZ6" s="13"/>
      <c r="DA6" s="13"/>
      <c r="DB6" s="13"/>
      <c r="DC6" s="13"/>
      <c r="DD6" s="13"/>
      <c r="DE6" s="13"/>
    </row>
    <row r="7" spans="1:113" x14ac:dyDescent="0.2">
      <c r="A7" s="9" t="s">
        <v>1751</v>
      </c>
      <c r="B7" s="13"/>
      <c r="J7" s="13"/>
      <c r="K7" s="13"/>
      <c r="L7" s="13"/>
      <c r="M7" s="9"/>
      <c r="N7" s="9"/>
      <c r="O7" s="9" t="s">
        <v>1752</v>
      </c>
      <c r="P7">
        <f>P4*P6</f>
        <v>0</v>
      </c>
      <c r="Q7">
        <f t="shared" ref="Q7:X7" si="12">Q4*Q6</f>
        <v>0</v>
      </c>
      <c r="R7">
        <f t="shared" si="12"/>
        <v>0</v>
      </c>
      <c r="S7">
        <f t="shared" si="12"/>
        <v>0</v>
      </c>
      <c r="T7">
        <f t="shared" si="12"/>
        <v>0</v>
      </c>
      <c r="U7">
        <f t="shared" si="12"/>
        <v>0</v>
      </c>
      <c r="V7">
        <f t="shared" si="12"/>
        <v>0</v>
      </c>
      <c r="W7">
        <f t="shared" si="12"/>
        <v>0</v>
      </c>
      <c r="X7">
        <f t="shared" si="12"/>
        <v>0</v>
      </c>
      <c r="AC7" s="9" t="s">
        <v>1753</v>
      </c>
      <c r="AD7">
        <f>AD4*AD6</f>
        <v>0</v>
      </c>
      <c r="AE7">
        <f t="shared" ref="AE7" si="13">AE4*AE6</f>
        <v>0</v>
      </c>
      <c r="AF7">
        <f t="shared" ref="AF7" si="14">AF4*AF6</f>
        <v>0</v>
      </c>
      <c r="AG7">
        <f t="shared" ref="AG7" si="15">AG4*AG6</f>
        <v>0</v>
      </c>
      <c r="AH7">
        <f t="shared" ref="AH7" si="16">AH4*AH6</f>
        <v>0</v>
      </c>
      <c r="AI7">
        <f t="shared" ref="AI7" si="17">AI4*AI6</f>
        <v>0</v>
      </c>
      <c r="AJ7">
        <f t="shared" ref="AJ7" si="18">AJ4*AJ6</f>
        <v>0</v>
      </c>
      <c r="AK7">
        <f t="shared" ref="AK7" si="19">AK4*AK6</f>
        <v>0</v>
      </c>
      <c r="AL7">
        <f t="shared" ref="AL7" si="20">AL4*AL6</f>
        <v>0</v>
      </c>
      <c r="AQ7" s="9" t="s">
        <v>1754</v>
      </c>
      <c r="AR7">
        <f>AR4*AR6</f>
        <v>0</v>
      </c>
      <c r="AS7">
        <f t="shared" ref="AS7" si="21">AS4*AS6</f>
        <v>0</v>
      </c>
      <c r="AT7">
        <f t="shared" ref="AT7" si="22">AT4*AT6</f>
        <v>0</v>
      </c>
      <c r="AU7">
        <f t="shared" ref="AU7" si="23">AU4*AU6</f>
        <v>0</v>
      </c>
      <c r="AV7">
        <f t="shared" ref="AV7" si="24">AV4*AV6</f>
        <v>0</v>
      </c>
      <c r="AW7">
        <f t="shared" ref="AW7" si="25">AW4*AW6</f>
        <v>0</v>
      </c>
      <c r="AX7">
        <f t="shared" ref="AX7" si="26">AX4*AX6</f>
        <v>0</v>
      </c>
      <c r="AY7">
        <f t="shared" ref="AY7" si="27">AY4*AY6</f>
        <v>0</v>
      </c>
      <c r="AZ7">
        <f t="shared" ref="AZ7" si="28">AZ4*AZ6</f>
        <v>0</v>
      </c>
      <c r="BE7" s="9" t="s">
        <v>1755</v>
      </c>
      <c r="BF7">
        <f>BF4*BF6</f>
        <v>0</v>
      </c>
      <c r="BG7">
        <f t="shared" ref="BG7" si="29">BG4*BG6</f>
        <v>0</v>
      </c>
      <c r="BH7">
        <f t="shared" ref="BH7" si="30">BH4*BH6</f>
        <v>0</v>
      </c>
      <c r="BI7">
        <f t="shared" ref="BI7" si="31">BI4*BI6</f>
        <v>0</v>
      </c>
      <c r="BJ7">
        <f t="shared" ref="BJ7" si="32">BJ4*BJ6</f>
        <v>0</v>
      </c>
      <c r="BK7">
        <f t="shared" ref="BK7" si="33">BK4*BK6</f>
        <v>0</v>
      </c>
      <c r="BL7">
        <f t="shared" ref="BL7" si="34">BL4*BL6</f>
        <v>0</v>
      </c>
      <c r="BM7">
        <f t="shared" ref="BM7" si="35">BM4*BM6</f>
        <v>0</v>
      </c>
      <c r="BN7">
        <f t="shared" ref="BN7" si="36">BN4*BN6</f>
        <v>0</v>
      </c>
      <c r="BS7" s="9" t="s">
        <v>1756</v>
      </c>
      <c r="BT7">
        <f>BT4*BT6</f>
        <v>0</v>
      </c>
      <c r="BU7">
        <f t="shared" ref="BU7" si="37">BU4*BU6</f>
        <v>0</v>
      </c>
      <c r="BV7">
        <f t="shared" ref="BV7" si="38">BV4*BV6</f>
        <v>0</v>
      </c>
      <c r="BW7">
        <f t="shared" ref="BW7" si="39">BW4*BW6</f>
        <v>0</v>
      </c>
      <c r="BX7">
        <f t="shared" ref="BX7" si="40">BX4*BX6</f>
        <v>0</v>
      </c>
      <c r="BY7">
        <f t="shared" ref="BY7" si="41">BY4*BY6</f>
        <v>0</v>
      </c>
      <c r="BZ7">
        <f t="shared" ref="BZ7" si="42">BZ4*BZ6</f>
        <v>0</v>
      </c>
      <c r="CA7">
        <f t="shared" ref="CA7" si="43">CA4*CA6</f>
        <v>0</v>
      </c>
      <c r="CB7">
        <f t="shared" ref="CB7" si="44">CB4*CB6</f>
        <v>0</v>
      </c>
      <c r="CG7" s="9" t="s">
        <v>1757</v>
      </c>
      <c r="CH7">
        <f>CH4*CH6</f>
        <v>0</v>
      </c>
      <c r="CI7">
        <f t="shared" ref="CI7" si="45">CI4*CI6</f>
        <v>0</v>
      </c>
      <c r="CJ7">
        <f t="shared" ref="CJ7" si="46">CJ4*CJ6</f>
        <v>0</v>
      </c>
      <c r="CK7">
        <f t="shared" ref="CK7" si="47">CK4*CK6</f>
        <v>0</v>
      </c>
      <c r="CL7">
        <f t="shared" ref="CL7" si="48">CL4*CL6</f>
        <v>0</v>
      </c>
      <c r="CM7">
        <f t="shared" ref="CM7" si="49">CM4*CM6</f>
        <v>0</v>
      </c>
      <c r="CN7">
        <f t="shared" ref="CN7" si="50">CN4*CN6</f>
        <v>0</v>
      </c>
      <c r="CO7">
        <f t="shared" ref="CO7" si="51">CO4*CO6</f>
        <v>0</v>
      </c>
      <c r="CP7">
        <f t="shared" ref="CP7" si="52">CP4*CP6</f>
        <v>0</v>
      </c>
      <c r="CV7" s="9"/>
      <c r="CW7" s="13"/>
      <c r="CX7" s="13"/>
      <c r="CY7" s="13"/>
      <c r="CZ7" s="13"/>
      <c r="DA7" s="13"/>
      <c r="DB7" s="13"/>
      <c r="DC7" s="13"/>
      <c r="DD7" s="13"/>
      <c r="DE7" s="13"/>
    </row>
    <row r="8" spans="1:113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C8" s="9"/>
      <c r="AD8" s="13"/>
      <c r="AE8" s="13"/>
      <c r="AF8" s="13"/>
      <c r="AG8" s="13"/>
      <c r="AH8" s="13"/>
      <c r="AI8" s="13"/>
      <c r="AJ8" s="13"/>
      <c r="AK8" s="13"/>
      <c r="AL8" s="13"/>
      <c r="AQ8" s="9"/>
      <c r="AR8" s="13"/>
      <c r="AS8" s="13"/>
      <c r="AT8" s="13"/>
      <c r="AU8" s="13"/>
      <c r="AV8" s="13"/>
      <c r="AW8" s="13"/>
      <c r="AX8" s="13"/>
      <c r="AY8" s="13"/>
      <c r="AZ8" s="13"/>
      <c r="BE8" s="9"/>
      <c r="BF8" s="13"/>
      <c r="BG8" s="13"/>
      <c r="BH8" s="13"/>
      <c r="BI8" s="13"/>
      <c r="BJ8" s="13"/>
      <c r="BK8" s="13"/>
      <c r="BL8" s="13"/>
      <c r="BM8" s="13"/>
      <c r="BN8" s="13"/>
      <c r="BS8" s="9"/>
      <c r="BT8" s="13"/>
      <c r="BU8" s="13"/>
      <c r="BV8" s="13"/>
      <c r="BW8" s="13"/>
      <c r="BX8" s="13"/>
      <c r="BY8" s="13"/>
      <c r="BZ8" s="13"/>
      <c r="CA8" s="13"/>
      <c r="CB8" s="13"/>
      <c r="CG8" s="9"/>
      <c r="CH8" s="13"/>
      <c r="CI8" s="13"/>
      <c r="CJ8" s="13"/>
      <c r="CK8" s="13"/>
      <c r="CL8" s="13"/>
      <c r="CM8" s="13"/>
      <c r="CN8" s="13"/>
      <c r="CO8" s="13"/>
      <c r="CP8" s="13"/>
      <c r="CV8" s="9"/>
      <c r="CW8" s="13"/>
      <c r="CX8" s="13"/>
      <c r="CY8" s="13"/>
      <c r="CZ8" s="13"/>
      <c r="DA8" s="13"/>
      <c r="DB8" s="13"/>
      <c r="DC8" s="13"/>
      <c r="DD8" s="13"/>
      <c r="DE8" s="13"/>
    </row>
    <row r="9" spans="1:113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C9" s="9"/>
      <c r="AD9" s="12"/>
      <c r="AE9" s="12"/>
      <c r="AF9" s="12"/>
      <c r="AG9" s="12"/>
      <c r="AH9" s="12"/>
      <c r="AI9" s="12"/>
      <c r="AJ9" s="12"/>
      <c r="AK9" s="12"/>
      <c r="AL9" s="12"/>
      <c r="AQ9" s="9"/>
      <c r="AR9" s="12"/>
      <c r="AS9" s="12"/>
      <c r="AT9" s="12"/>
      <c r="AU9" s="12"/>
      <c r="AV9" s="12"/>
      <c r="AW9" s="12"/>
      <c r="AX9" s="12"/>
      <c r="AY9" s="12"/>
      <c r="AZ9" s="12"/>
      <c r="BE9" s="9"/>
      <c r="BF9" s="12"/>
      <c r="BG9" s="12"/>
      <c r="BH9" s="12"/>
      <c r="BI9" s="12"/>
      <c r="BJ9" s="12"/>
      <c r="BK9" s="12"/>
      <c r="BL9" s="12"/>
      <c r="BM9" s="12"/>
      <c r="BN9" s="12"/>
      <c r="BS9" s="9"/>
      <c r="BT9" s="12"/>
      <c r="BU9" s="12"/>
      <c r="BV9" s="12"/>
      <c r="BW9" s="12"/>
      <c r="BX9" s="12"/>
      <c r="BY9" s="12"/>
      <c r="BZ9" s="12"/>
      <c r="CA9" s="12"/>
      <c r="CB9" s="12"/>
      <c r="CG9" s="9"/>
      <c r="CH9" s="12"/>
      <c r="CI9" s="12"/>
      <c r="CJ9" s="12"/>
      <c r="CK9" s="12"/>
      <c r="CL9" s="12"/>
      <c r="CM9" s="12"/>
      <c r="CN9" s="12"/>
      <c r="CO9" s="12"/>
      <c r="CP9" s="12"/>
      <c r="CV9" s="9"/>
      <c r="CW9" s="12"/>
      <c r="CX9" s="12"/>
      <c r="CY9" s="12"/>
      <c r="CZ9" s="12"/>
      <c r="DA9" s="12"/>
      <c r="DB9" s="12"/>
      <c r="DC9" s="12"/>
      <c r="DD9" s="12"/>
      <c r="DE9" s="12"/>
    </row>
    <row r="10" spans="1:113" hidden="1" x14ac:dyDescent="0.2">
      <c r="M10" s="9"/>
      <c r="CV10" s="9"/>
    </row>
    <row r="11" spans="1:113" hidden="1" x14ac:dyDescent="0.2"/>
    <row r="12" spans="1:113" hidden="1" x14ac:dyDescent="0.2"/>
    <row r="13" spans="1:113" hidden="1" x14ac:dyDescent="0.2"/>
    <row r="14" spans="1:113" hidden="1" x14ac:dyDescent="0.2"/>
    <row r="15" spans="1:113" hidden="1" x14ac:dyDescent="0.2">
      <c r="P15" s="13"/>
      <c r="AD15" s="13"/>
      <c r="AR15" s="13"/>
      <c r="BF15" s="13"/>
      <c r="BT15" s="13"/>
      <c r="CH15" s="13"/>
    </row>
    <row r="16" spans="1:113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26" hidden="1" x14ac:dyDescent="0.2"/>
    <row r="50" spans="1:126" hidden="1" x14ac:dyDescent="0.2"/>
    <row r="51" spans="1:126" hidden="1" x14ac:dyDescent="0.2"/>
    <row r="52" spans="1:126" hidden="1" x14ac:dyDescent="0.2"/>
    <row r="53" spans="1:126" hidden="1" x14ac:dyDescent="0.2"/>
    <row r="54" spans="1:126" hidden="1" x14ac:dyDescent="0.2"/>
    <row r="55" spans="1:126" hidden="1" x14ac:dyDescent="0.2"/>
    <row r="56" spans="1:126" hidden="1" x14ac:dyDescent="0.2"/>
    <row r="57" spans="1:126" hidden="1" x14ac:dyDescent="0.2"/>
    <row r="58" spans="1:126" hidden="1" x14ac:dyDescent="0.2"/>
    <row r="59" spans="1:126" hidden="1" x14ac:dyDescent="0.2"/>
    <row r="60" spans="1:126" hidden="1" x14ac:dyDescent="0.2"/>
    <row r="61" spans="1:126" hidden="1" x14ac:dyDescent="0.2"/>
    <row r="62" spans="1:126" x14ac:dyDescent="0.2">
      <c r="AD62" s="29"/>
      <c r="AE62" s="16"/>
      <c r="AF62" s="16"/>
      <c r="AG62" s="16"/>
      <c r="AH62" s="16"/>
      <c r="AI62" s="16"/>
      <c r="AJ62" s="16"/>
      <c r="AK62" s="16"/>
      <c r="AL62" s="16"/>
      <c r="AM62" s="29"/>
      <c r="AN62" s="16"/>
      <c r="AO62" s="16"/>
      <c r="AP62" s="16"/>
      <c r="AQ62" s="16"/>
      <c r="AR62" s="16"/>
      <c r="AS62" s="29"/>
      <c r="AT62" s="29"/>
      <c r="AU62" s="29"/>
      <c r="AV62" s="29"/>
      <c r="AW62" s="29"/>
      <c r="AX62" s="16"/>
      <c r="AY62" s="16"/>
      <c r="AZ62" s="16"/>
      <c r="BA62" s="16"/>
      <c r="BB62" s="16"/>
      <c r="BC62" s="16"/>
      <c r="BD62" s="16"/>
      <c r="BE62" s="16"/>
      <c r="BF62" s="16"/>
      <c r="BG62" s="29"/>
      <c r="BH62" s="29"/>
      <c r="BI62" s="29"/>
      <c r="BJ62" s="16"/>
      <c r="BK62" s="29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29"/>
      <c r="BY62" s="29"/>
      <c r="BZ62" s="16"/>
      <c r="CA62" s="16"/>
      <c r="CB62" s="16"/>
      <c r="CC62" s="29"/>
      <c r="CD62" s="16"/>
      <c r="CE62" s="16"/>
      <c r="CF62" s="16"/>
      <c r="CG62" s="16"/>
      <c r="CH62" s="16"/>
      <c r="CI62" s="16"/>
      <c r="CJ62" s="29"/>
      <c r="CK62" s="29"/>
      <c r="CL62" s="16"/>
      <c r="CM62" s="29"/>
      <c r="CN62" s="16"/>
      <c r="CO62" s="16"/>
      <c r="CP62" s="16"/>
      <c r="CQ62" s="16"/>
      <c r="CR62" s="29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29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</row>
    <row r="63" spans="1:126" x14ac:dyDescent="0.2">
      <c r="A63" s="5" t="s">
        <v>45</v>
      </c>
    </row>
    <row r="64" spans="1:126" x14ac:dyDescent="0.2">
      <c r="A64" t="s">
        <v>1291</v>
      </c>
      <c r="B64" s="12">
        <f t="shared" ref="B64:B69" si="53">P64+AD64+AR64+BF64+BT64+CH64</f>
        <v>0</v>
      </c>
      <c r="C64" s="12">
        <f t="shared" ref="C64:J64" si="54">Q64+AE64+AS64+BG64+BU64+CI64</f>
        <v>0</v>
      </c>
      <c r="D64" s="12">
        <f t="shared" si="54"/>
        <v>0</v>
      </c>
      <c r="E64" s="12">
        <f t="shared" si="54"/>
        <v>0</v>
      </c>
      <c r="F64" s="12">
        <f t="shared" si="54"/>
        <v>0</v>
      </c>
      <c r="G64" s="12">
        <f t="shared" si="54"/>
        <v>0</v>
      </c>
      <c r="H64" s="12">
        <f t="shared" si="54"/>
        <v>0</v>
      </c>
      <c r="I64" s="12">
        <f t="shared" si="54"/>
        <v>0</v>
      </c>
      <c r="J64" s="12">
        <f t="shared" si="54"/>
        <v>0</v>
      </c>
      <c r="P64" s="12">
        <f t="shared" ref="P64:P69" si="55">P$5*AA64</f>
        <v>0</v>
      </c>
      <c r="Q64" s="12">
        <f t="shared" ref="Q64:Q69" si="56">Q$5*AA64</f>
        <v>0</v>
      </c>
      <c r="R64" s="12">
        <f t="shared" ref="R64:R69" si="57">R$5*AA64</f>
        <v>0</v>
      </c>
      <c r="S64" s="12">
        <f t="shared" ref="S64:S69" si="58">S$5*AA64</f>
        <v>0</v>
      </c>
      <c r="T64" s="12">
        <f t="shared" ref="T64:T69" si="59">T$5*AA64</f>
        <v>0</v>
      </c>
      <c r="U64" s="12">
        <f t="shared" ref="U64:U69" si="60">U$5*AA64</f>
        <v>0</v>
      </c>
      <c r="V64" s="12">
        <f t="shared" ref="V64:V69" si="61">V$5*AA64</f>
        <v>0</v>
      </c>
      <c r="W64" s="12">
        <f t="shared" ref="W64:W69" si="62">W$5*AA64</f>
        <v>0</v>
      </c>
      <c r="X64" s="12">
        <f t="shared" ref="X64:X69" si="63">X$5*AA64</f>
        <v>0</v>
      </c>
      <c r="Z64" t="s">
        <v>1303</v>
      </c>
      <c r="AA64">
        <f>_xlfn.XLOOKUP(Z64,'KPI Impacts'!$B$2:$H$2,'KPI Impacts'!$B64:$H64)</f>
        <v>0</v>
      </c>
      <c r="AD64" s="12">
        <f t="shared" ref="AD64:AD69" si="64">AD$5*AO64</f>
        <v>0</v>
      </c>
      <c r="AE64" s="12">
        <f t="shared" ref="AE64:AE69" si="65">AE$5*AO64</f>
        <v>0</v>
      </c>
      <c r="AF64" s="12">
        <f t="shared" ref="AF64:AF69" si="66">AF$5*AO64</f>
        <v>0</v>
      </c>
      <c r="AG64" s="12">
        <f t="shared" ref="AG64:AG69" si="67">AG$5*AO64</f>
        <v>0</v>
      </c>
      <c r="AH64" s="12">
        <f t="shared" ref="AH64:AH69" si="68">AH$5*AO64</f>
        <v>0</v>
      </c>
      <c r="AI64" s="12">
        <f t="shared" ref="AI64:AI69" si="69">AI$5*AO64</f>
        <v>0</v>
      </c>
      <c r="AJ64" s="12">
        <f t="shared" ref="AJ64:AJ69" si="70">AJ$5*AO64</f>
        <v>0</v>
      </c>
      <c r="AK64" s="12">
        <f t="shared" ref="AK64:AK69" si="71">AK$5*AO64</f>
        <v>0</v>
      </c>
      <c r="AL64" s="12">
        <f t="shared" ref="AL64:AL69" si="72">AL$5*AO64</f>
        <v>0</v>
      </c>
      <c r="AN64" s="29" t="s">
        <v>1306</v>
      </c>
      <c r="AO64">
        <f>_xlfn.XLOOKUP(AN64,'KPI Impacts'!$B$2:$H$2,'KPI Impacts'!$B64:$H64)</f>
        <v>-1.6</v>
      </c>
      <c r="AR64" s="12">
        <f t="shared" ref="AR64:AR69" si="73">AR$5*BC64</f>
        <v>0</v>
      </c>
      <c r="AS64" s="12">
        <f t="shared" ref="AS64:AS69" si="74">AS$5*BC64</f>
        <v>0</v>
      </c>
      <c r="AT64" s="12">
        <f t="shared" ref="AT64:AT69" si="75">AT$5*BC64</f>
        <v>0</v>
      </c>
      <c r="AU64" s="12">
        <f t="shared" ref="AU64:AU69" si="76">AU$5*BC64</f>
        <v>0</v>
      </c>
      <c r="AV64" s="12">
        <f t="shared" ref="AV64:AV69" si="77">AV$5*BC64</f>
        <v>0</v>
      </c>
      <c r="AW64" s="12">
        <f t="shared" ref="AW64:AW69" si="78">AW$5*BC64</f>
        <v>0</v>
      </c>
      <c r="AX64" s="12">
        <f t="shared" ref="AX64:AX69" si="79">AX$5*BC64</f>
        <v>0</v>
      </c>
      <c r="AY64" s="12">
        <f t="shared" ref="AY64:AY69" si="80">AY$5*BC64</f>
        <v>0</v>
      </c>
      <c r="AZ64" s="12">
        <f t="shared" ref="AZ64:AZ69" si="81">AZ$5*BC64</f>
        <v>0</v>
      </c>
      <c r="BB64" s="16" t="s">
        <v>1303</v>
      </c>
      <c r="BC64">
        <f>_xlfn.XLOOKUP(BB64,'KPI Impacts'!$B$2:$H$2,'KPI Impacts'!$B64:$H64)</f>
        <v>0</v>
      </c>
      <c r="BF64" s="12">
        <f t="shared" ref="BF64:BF69" si="82">BF$5*BQ64</f>
        <v>0</v>
      </c>
      <c r="BG64" s="12">
        <f t="shared" ref="BG64:BG69" si="83">BG$5*BQ64</f>
        <v>0</v>
      </c>
      <c r="BH64" s="12">
        <f t="shared" ref="BH64:BH69" si="84">BH$5*BQ64</f>
        <v>0</v>
      </c>
      <c r="BI64" s="12">
        <f t="shared" ref="BI64:BI69" si="85">BI$5*BQ64</f>
        <v>0</v>
      </c>
      <c r="BJ64" s="12">
        <f t="shared" ref="BJ64:BJ69" si="86">BJ$5*BQ64</f>
        <v>0</v>
      </c>
      <c r="BK64" s="12">
        <f t="shared" ref="BK64:BK69" si="87">BK$5*BQ64</f>
        <v>0</v>
      </c>
      <c r="BL64" s="12">
        <f t="shared" ref="BL64:BL69" si="88">BL$5*BQ64</f>
        <v>0</v>
      </c>
      <c r="BM64" s="12">
        <f t="shared" ref="BM64:BM69" si="89">BM$5*BQ64</f>
        <v>0</v>
      </c>
      <c r="BN64" s="12">
        <f t="shared" ref="BN64:BN69" si="90">BN$5*BQ64</f>
        <v>0</v>
      </c>
      <c r="BP64" s="16" t="s">
        <v>1303</v>
      </c>
      <c r="BQ64">
        <f>_xlfn.XLOOKUP(BP64,'KPI Impacts'!$B$2:$H$2,'KPI Impacts'!$B64:$H64)</f>
        <v>0</v>
      </c>
      <c r="BT64" s="12">
        <f t="shared" ref="BT64:BT69" si="91">BT$5*CE64</f>
        <v>0</v>
      </c>
      <c r="BU64" s="12">
        <f t="shared" ref="BU64:BU69" si="92">BU$5*CE64</f>
        <v>0</v>
      </c>
      <c r="BV64" s="12">
        <f t="shared" ref="BV64:BV69" si="93">BV$5*CE64</f>
        <v>0</v>
      </c>
      <c r="BW64" s="12">
        <f t="shared" ref="BW64:BW69" si="94">BW$5*CE64</f>
        <v>0</v>
      </c>
      <c r="BX64" s="12">
        <f t="shared" ref="BX64:BX69" si="95">BX$5*CE64</f>
        <v>0</v>
      </c>
      <c r="BY64" s="12">
        <f t="shared" ref="BY64:BY69" si="96">BY$5*CE64</f>
        <v>0</v>
      </c>
      <c r="BZ64" s="12">
        <f t="shared" ref="BZ64:BZ69" si="97">BZ$5*CE64</f>
        <v>0</v>
      </c>
      <c r="CA64" s="12">
        <f t="shared" ref="CA64:CA69" si="98">CA$5*CE64</f>
        <v>0</v>
      </c>
      <c r="CB64" s="12">
        <f t="shared" ref="CB64:CB69" si="99">CB$5*CE64</f>
        <v>0</v>
      </c>
      <c r="CD64" s="16" t="s">
        <v>1303</v>
      </c>
      <c r="CE64">
        <f>_xlfn.XLOOKUP(CD64,'KPI Impacts'!$B$2:$H$2,'KPI Impacts'!$B64:$H64)</f>
        <v>0</v>
      </c>
      <c r="CH64" s="12">
        <f t="shared" ref="CH64:CH69" si="100">CH$5*CS64</f>
        <v>0</v>
      </c>
      <c r="CI64" s="12">
        <f t="shared" ref="CI64:CI69" si="101">CI$5*CS64</f>
        <v>0</v>
      </c>
      <c r="CJ64" s="12">
        <f t="shared" ref="CJ64:CJ69" si="102">CJ$5*CS64</f>
        <v>0</v>
      </c>
      <c r="CK64" s="12">
        <f t="shared" ref="CK64:CK69" si="103">CK$5*CS64</f>
        <v>0</v>
      </c>
      <c r="CL64" s="12">
        <f t="shared" ref="CL64:CL69" si="104">CL$5*CS64</f>
        <v>0</v>
      </c>
      <c r="CM64" s="12">
        <f t="shared" ref="CM64:CM69" si="105">CM$5*CS64</f>
        <v>0</v>
      </c>
      <c r="CN64" s="12">
        <f t="shared" ref="CN64:CN69" si="106">CN$5*CS64</f>
        <v>0</v>
      </c>
      <c r="CO64" s="12">
        <f t="shared" ref="CO64:CO69" si="107">CO$5*CS64</f>
        <v>0</v>
      </c>
      <c r="CP64" s="12">
        <f t="shared" ref="CP64:CP69" si="108">CP$5*CS64</f>
        <v>0</v>
      </c>
      <c r="CR64" s="16" t="s">
        <v>1303</v>
      </c>
      <c r="CS64">
        <f>_xlfn.XLOOKUP(CR64,'KPI Impacts'!$B$2:$H$2,'KPI Impacts'!$B64:$H64)</f>
        <v>0</v>
      </c>
      <c r="CW64" s="12"/>
      <c r="CX64" s="12"/>
      <c r="CY64" s="12"/>
      <c r="CZ64" s="12"/>
      <c r="DA64" s="12"/>
      <c r="DB64" s="12"/>
      <c r="DC64" s="12"/>
      <c r="DD64" s="12"/>
      <c r="DE64" s="12"/>
    </row>
    <row r="65" spans="1:109" x14ac:dyDescent="0.2">
      <c r="A65" t="s">
        <v>47</v>
      </c>
      <c r="B65" s="12">
        <f t="shared" si="53"/>
        <v>0</v>
      </c>
      <c r="C65" s="12">
        <f t="shared" ref="C65:C69" si="109">Q65+AE65+AS65+BG65+BU65+CI65</f>
        <v>0</v>
      </c>
      <c r="D65" s="12">
        <f t="shared" ref="D65:D69" si="110">R65+AF65+AT65+BH65+BV65+CJ65</f>
        <v>0</v>
      </c>
      <c r="E65" s="12">
        <f t="shared" ref="E65:E69" si="111">S65+AG65+AU65+BI65+BW65+CK65</f>
        <v>0</v>
      </c>
      <c r="F65" s="12">
        <f t="shared" ref="F65:F69" si="112">T65+AH65+AV65+BJ65+BX65+CL65</f>
        <v>0</v>
      </c>
      <c r="G65" s="12">
        <f t="shared" ref="G65:G69" si="113">U65+AI65+AW65+BK65+BY65+CM65</f>
        <v>0</v>
      </c>
      <c r="H65" s="12">
        <f t="shared" ref="H65:H69" si="114">V65+AJ65+AX65+BL65+BZ65+CN65</f>
        <v>0</v>
      </c>
      <c r="I65" s="12">
        <f t="shared" ref="I65:I69" si="115">W65+AK65+AY65+BM65+CA65+CO65</f>
        <v>0</v>
      </c>
      <c r="J65" s="12">
        <f t="shared" ref="J65:J69" si="116">X65+AL65+AZ65+BN65+CB65+CP65</f>
        <v>0</v>
      </c>
      <c r="P65" s="12">
        <f t="shared" si="55"/>
        <v>0</v>
      </c>
      <c r="Q65" s="12">
        <f t="shared" si="56"/>
        <v>0</v>
      </c>
      <c r="R65" s="12">
        <f t="shared" si="57"/>
        <v>0</v>
      </c>
      <c r="S65" s="12">
        <f t="shared" si="58"/>
        <v>0</v>
      </c>
      <c r="T65" s="12">
        <f t="shared" si="59"/>
        <v>0</v>
      </c>
      <c r="U65" s="12">
        <f t="shared" si="60"/>
        <v>0</v>
      </c>
      <c r="V65" s="12">
        <f t="shared" si="61"/>
        <v>0</v>
      </c>
      <c r="W65" s="12">
        <f t="shared" si="62"/>
        <v>0</v>
      </c>
      <c r="X65" s="12">
        <f t="shared" si="63"/>
        <v>0</v>
      </c>
      <c r="Z65" t="s">
        <v>1303</v>
      </c>
      <c r="AA65">
        <f>_xlfn.XLOOKUP(Z65,'KPI Impacts'!$B$2:$H$2,'KPI Impacts'!$B65:$H65)</f>
        <v>0</v>
      </c>
      <c r="AD65" s="12">
        <f t="shared" si="64"/>
        <v>0</v>
      </c>
      <c r="AE65" s="12">
        <f t="shared" si="65"/>
        <v>0</v>
      </c>
      <c r="AF65" s="12">
        <f t="shared" si="66"/>
        <v>0</v>
      </c>
      <c r="AG65" s="12">
        <f t="shared" si="67"/>
        <v>0</v>
      </c>
      <c r="AH65" s="12">
        <f t="shared" si="68"/>
        <v>0</v>
      </c>
      <c r="AI65" s="12">
        <f t="shared" si="69"/>
        <v>0</v>
      </c>
      <c r="AJ65" s="12">
        <f t="shared" si="70"/>
        <v>0</v>
      </c>
      <c r="AK65" s="12">
        <f t="shared" si="71"/>
        <v>0</v>
      </c>
      <c r="AL65" s="12">
        <f t="shared" si="72"/>
        <v>0</v>
      </c>
      <c r="AN65" s="16" t="s">
        <v>1303</v>
      </c>
      <c r="AO65">
        <f>_xlfn.XLOOKUP(AN65,'KPI Impacts'!$B$2:$H$2,'KPI Impacts'!$B65:$H65)</f>
        <v>0</v>
      </c>
      <c r="AR65" s="12">
        <f t="shared" si="73"/>
        <v>0</v>
      </c>
      <c r="AS65" s="12">
        <f t="shared" si="74"/>
        <v>0</v>
      </c>
      <c r="AT65" s="12">
        <f t="shared" si="75"/>
        <v>0</v>
      </c>
      <c r="AU65" s="12">
        <f t="shared" si="76"/>
        <v>0</v>
      </c>
      <c r="AV65" s="12">
        <f t="shared" si="77"/>
        <v>0</v>
      </c>
      <c r="AW65" s="12">
        <f t="shared" si="78"/>
        <v>0</v>
      </c>
      <c r="AX65" s="12">
        <f t="shared" si="79"/>
        <v>0</v>
      </c>
      <c r="AY65" s="12">
        <f t="shared" si="80"/>
        <v>0</v>
      </c>
      <c r="AZ65" s="12">
        <f t="shared" si="81"/>
        <v>0</v>
      </c>
      <c r="BB65" s="29" t="s">
        <v>1304</v>
      </c>
      <c r="BC65">
        <f>_xlfn.XLOOKUP(BB65,'KPI Impacts'!$B$2:$H$2,'KPI Impacts'!$B65:$H65)</f>
        <v>-0.8</v>
      </c>
      <c r="BF65" s="12">
        <f t="shared" si="82"/>
        <v>0</v>
      </c>
      <c r="BG65" s="12">
        <f t="shared" si="83"/>
        <v>0</v>
      </c>
      <c r="BH65" s="12">
        <f t="shared" si="84"/>
        <v>0</v>
      </c>
      <c r="BI65" s="12">
        <f t="shared" si="85"/>
        <v>0</v>
      </c>
      <c r="BJ65" s="12">
        <f t="shared" si="86"/>
        <v>0</v>
      </c>
      <c r="BK65" s="12">
        <f t="shared" si="87"/>
        <v>0</v>
      </c>
      <c r="BL65" s="12">
        <f t="shared" si="88"/>
        <v>0</v>
      </c>
      <c r="BM65" s="12">
        <f t="shared" si="89"/>
        <v>0</v>
      </c>
      <c r="BN65" s="12">
        <f t="shared" si="90"/>
        <v>0</v>
      </c>
      <c r="BP65" s="29" t="s">
        <v>1304</v>
      </c>
      <c r="BQ65">
        <f>_xlfn.XLOOKUP(BP65,'KPI Impacts'!$B$2:$H$2,'KPI Impacts'!$B65:$H65)</f>
        <v>-0.8</v>
      </c>
      <c r="BT65" s="12">
        <f t="shared" si="91"/>
        <v>0</v>
      </c>
      <c r="BU65" s="12">
        <f t="shared" si="92"/>
        <v>0</v>
      </c>
      <c r="BV65" s="12">
        <f t="shared" si="93"/>
        <v>0</v>
      </c>
      <c r="BW65" s="12">
        <f t="shared" si="94"/>
        <v>0</v>
      </c>
      <c r="BX65" s="12">
        <f t="shared" si="95"/>
        <v>0</v>
      </c>
      <c r="BY65" s="12">
        <f t="shared" si="96"/>
        <v>0</v>
      </c>
      <c r="BZ65" s="12">
        <f t="shared" si="97"/>
        <v>0</v>
      </c>
      <c r="CA65" s="12">
        <f t="shared" si="98"/>
        <v>0</v>
      </c>
      <c r="CB65" s="12">
        <f t="shared" si="99"/>
        <v>0</v>
      </c>
      <c r="CD65" s="16" t="s">
        <v>1303</v>
      </c>
      <c r="CE65">
        <f>_xlfn.XLOOKUP(CD65,'KPI Impacts'!$B$2:$H$2,'KPI Impacts'!$B65:$H65)</f>
        <v>0</v>
      </c>
      <c r="CH65" s="12">
        <f t="shared" si="100"/>
        <v>0</v>
      </c>
      <c r="CI65" s="12">
        <f t="shared" si="101"/>
        <v>0</v>
      </c>
      <c r="CJ65" s="12">
        <f t="shared" si="102"/>
        <v>0</v>
      </c>
      <c r="CK65" s="12">
        <f t="shared" si="103"/>
        <v>0</v>
      </c>
      <c r="CL65" s="12">
        <f t="shared" si="104"/>
        <v>0</v>
      </c>
      <c r="CM65" s="12">
        <f t="shared" si="105"/>
        <v>0</v>
      </c>
      <c r="CN65" s="12">
        <f t="shared" si="106"/>
        <v>0</v>
      </c>
      <c r="CO65" s="12">
        <f t="shared" si="107"/>
        <v>0</v>
      </c>
      <c r="CP65" s="12">
        <f t="shared" si="108"/>
        <v>0</v>
      </c>
      <c r="CR65" s="16" t="s">
        <v>1303</v>
      </c>
      <c r="CS65">
        <f>_xlfn.XLOOKUP(CR65,'KPI Impacts'!$B$2:$H$2,'KPI Impacts'!$B65:$H65)</f>
        <v>0</v>
      </c>
      <c r="CW65" s="12"/>
      <c r="CX65" s="12"/>
      <c r="CY65" s="12"/>
      <c r="CZ65" s="12"/>
      <c r="DA65" s="12"/>
      <c r="DB65" s="12"/>
      <c r="DC65" s="12"/>
      <c r="DD65" s="12"/>
      <c r="DE65" s="12"/>
    </row>
    <row r="66" spans="1:109" x14ac:dyDescent="0.2">
      <c r="A66" t="s">
        <v>1292</v>
      </c>
      <c r="B66" s="12">
        <f t="shared" si="53"/>
        <v>0</v>
      </c>
      <c r="C66" s="12">
        <f t="shared" si="109"/>
        <v>0</v>
      </c>
      <c r="D66" s="12">
        <f t="shared" si="110"/>
        <v>0</v>
      </c>
      <c r="E66" s="12">
        <f t="shared" si="111"/>
        <v>0</v>
      </c>
      <c r="F66" s="12">
        <f t="shared" si="112"/>
        <v>0</v>
      </c>
      <c r="G66" s="12">
        <f t="shared" si="113"/>
        <v>0</v>
      </c>
      <c r="H66" s="12">
        <f t="shared" si="114"/>
        <v>0</v>
      </c>
      <c r="I66" s="12">
        <f t="shared" si="115"/>
        <v>0</v>
      </c>
      <c r="J66" s="12">
        <f t="shared" si="116"/>
        <v>0</v>
      </c>
      <c r="P66" s="12">
        <f t="shared" si="55"/>
        <v>0</v>
      </c>
      <c r="Q66" s="12">
        <f t="shared" si="56"/>
        <v>0</v>
      </c>
      <c r="R66" s="12">
        <f t="shared" si="57"/>
        <v>0</v>
      </c>
      <c r="S66" s="12">
        <f t="shared" si="58"/>
        <v>0</v>
      </c>
      <c r="T66" s="12">
        <f t="shared" si="59"/>
        <v>0</v>
      </c>
      <c r="U66" s="12">
        <f t="shared" si="60"/>
        <v>0</v>
      </c>
      <c r="V66" s="12">
        <f t="shared" si="61"/>
        <v>0</v>
      </c>
      <c r="W66" s="12">
        <f t="shared" si="62"/>
        <v>0</v>
      </c>
      <c r="X66" s="12">
        <f t="shared" si="63"/>
        <v>0</v>
      </c>
      <c r="Z66" t="s">
        <v>1303</v>
      </c>
      <c r="AA66">
        <f>_xlfn.XLOOKUP(Z66,'KPI Impacts'!$B$2:$H$2,'KPI Impacts'!$B66:$H66)</f>
        <v>0</v>
      </c>
      <c r="AD66" s="12">
        <f t="shared" si="64"/>
        <v>0</v>
      </c>
      <c r="AE66" s="12">
        <f t="shared" si="65"/>
        <v>0</v>
      </c>
      <c r="AF66" s="12">
        <f t="shared" si="66"/>
        <v>0</v>
      </c>
      <c r="AG66" s="12">
        <f t="shared" si="67"/>
        <v>0</v>
      </c>
      <c r="AH66" s="12">
        <f t="shared" si="68"/>
        <v>0</v>
      </c>
      <c r="AI66" s="12">
        <f t="shared" si="69"/>
        <v>0</v>
      </c>
      <c r="AJ66" s="12">
        <f t="shared" si="70"/>
        <v>0</v>
      </c>
      <c r="AK66" s="12">
        <f t="shared" si="71"/>
        <v>0</v>
      </c>
      <c r="AL66" s="12">
        <f t="shared" si="72"/>
        <v>0</v>
      </c>
      <c r="AN66" s="16" t="s">
        <v>1303</v>
      </c>
      <c r="AO66">
        <f>_xlfn.XLOOKUP(AN66,'KPI Impacts'!$B$2:$H$2,'KPI Impacts'!$B66:$H66)</f>
        <v>0</v>
      </c>
      <c r="AR66" s="12">
        <f t="shared" si="73"/>
        <v>0</v>
      </c>
      <c r="AS66" s="12">
        <f t="shared" si="74"/>
        <v>0</v>
      </c>
      <c r="AT66" s="12">
        <f t="shared" si="75"/>
        <v>0</v>
      </c>
      <c r="AU66" s="12">
        <f t="shared" si="76"/>
        <v>0</v>
      </c>
      <c r="AV66" s="12">
        <f t="shared" si="77"/>
        <v>0</v>
      </c>
      <c r="AW66" s="12">
        <f t="shared" si="78"/>
        <v>0</v>
      </c>
      <c r="AX66" s="12">
        <f t="shared" si="79"/>
        <v>0</v>
      </c>
      <c r="AY66" s="12">
        <f t="shared" si="80"/>
        <v>0</v>
      </c>
      <c r="AZ66" s="12">
        <f t="shared" si="81"/>
        <v>0</v>
      </c>
      <c r="BB66" s="29" t="s">
        <v>1306</v>
      </c>
      <c r="BC66">
        <f>_xlfn.XLOOKUP(BB66,'KPI Impacts'!$B$2:$H$2,'KPI Impacts'!$B66:$H66)</f>
        <v>-3.2</v>
      </c>
      <c r="BF66" s="12">
        <f t="shared" si="82"/>
        <v>0</v>
      </c>
      <c r="BG66" s="12">
        <f t="shared" si="83"/>
        <v>0</v>
      </c>
      <c r="BH66" s="12">
        <f t="shared" si="84"/>
        <v>0</v>
      </c>
      <c r="BI66" s="12">
        <f t="shared" si="85"/>
        <v>0</v>
      </c>
      <c r="BJ66" s="12">
        <f t="shared" si="86"/>
        <v>0</v>
      </c>
      <c r="BK66" s="12">
        <f t="shared" si="87"/>
        <v>0</v>
      </c>
      <c r="BL66" s="12">
        <f t="shared" si="88"/>
        <v>0</v>
      </c>
      <c r="BM66" s="12">
        <f t="shared" si="89"/>
        <v>0</v>
      </c>
      <c r="BN66" s="12">
        <f t="shared" si="90"/>
        <v>0</v>
      </c>
      <c r="BP66" s="29" t="s">
        <v>1306</v>
      </c>
      <c r="BQ66">
        <f>_xlfn.XLOOKUP(BP66,'KPI Impacts'!$B$2:$H$2,'KPI Impacts'!$B66:$H66)</f>
        <v>-3.2</v>
      </c>
      <c r="BT66" s="12">
        <f t="shared" si="91"/>
        <v>0</v>
      </c>
      <c r="BU66" s="12">
        <f t="shared" si="92"/>
        <v>0</v>
      </c>
      <c r="BV66" s="12">
        <f t="shared" si="93"/>
        <v>0</v>
      </c>
      <c r="BW66" s="12">
        <f t="shared" si="94"/>
        <v>0</v>
      </c>
      <c r="BX66" s="12">
        <f t="shared" si="95"/>
        <v>0</v>
      </c>
      <c r="BY66" s="12">
        <f t="shared" si="96"/>
        <v>0</v>
      </c>
      <c r="BZ66" s="12">
        <f t="shared" si="97"/>
        <v>0</v>
      </c>
      <c r="CA66" s="12">
        <f t="shared" si="98"/>
        <v>0</v>
      </c>
      <c r="CB66" s="12">
        <f t="shared" si="99"/>
        <v>0</v>
      </c>
      <c r="CD66" s="16" t="s">
        <v>1303</v>
      </c>
      <c r="CE66">
        <f>_xlfn.XLOOKUP(CD66,'KPI Impacts'!$B$2:$H$2,'KPI Impacts'!$B66:$H66)</f>
        <v>0</v>
      </c>
      <c r="CH66" s="12">
        <f t="shared" si="100"/>
        <v>0</v>
      </c>
      <c r="CI66" s="12">
        <f t="shared" si="101"/>
        <v>0</v>
      </c>
      <c r="CJ66" s="12">
        <f t="shared" si="102"/>
        <v>0</v>
      </c>
      <c r="CK66" s="12">
        <f t="shared" si="103"/>
        <v>0</v>
      </c>
      <c r="CL66" s="12">
        <f t="shared" si="104"/>
        <v>0</v>
      </c>
      <c r="CM66" s="12">
        <f t="shared" si="105"/>
        <v>0</v>
      </c>
      <c r="CN66" s="12">
        <f t="shared" si="106"/>
        <v>0</v>
      </c>
      <c r="CO66" s="12">
        <f t="shared" si="107"/>
        <v>0</v>
      </c>
      <c r="CP66" s="12">
        <f t="shared" si="108"/>
        <v>0</v>
      </c>
      <c r="CR66" s="29" t="s">
        <v>1306</v>
      </c>
      <c r="CS66">
        <f>_xlfn.XLOOKUP(CR66,'KPI Impacts'!$B$2:$H$2,'KPI Impacts'!$B66:$H66)</f>
        <v>-3.2</v>
      </c>
      <c r="CW66" s="12"/>
      <c r="CX66" s="12"/>
      <c r="CY66" s="12"/>
      <c r="CZ66" s="12"/>
      <c r="DA66" s="12"/>
      <c r="DB66" s="12"/>
      <c r="DC66" s="12"/>
      <c r="DD66" s="12"/>
      <c r="DE66" s="12"/>
    </row>
    <row r="67" spans="1:109" x14ac:dyDescent="0.2">
      <c r="A67" t="s">
        <v>48</v>
      </c>
      <c r="B67" s="12">
        <f t="shared" si="53"/>
        <v>0</v>
      </c>
      <c r="C67" s="12">
        <f t="shared" si="109"/>
        <v>0</v>
      </c>
      <c r="D67" s="12">
        <f t="shared" si="110"/>
        <v>0</v>
      </c>
      <c r="E67" s="12">
        <f t="shared" si="111"/>
        <v>0</v>
      </c>
      <c r="F67" s="12">
        <f t="shared" si="112"/>
        <v>0</v>
      </c>
      <c r="G67" s="12">
        <f t="shared" si="113"/>
        <v>0</v>
      </c>
      <c r="H67" s="12">
        <f t="shared" si="114"/>
        <v>0</v>
      </c>
      <c r="I67" s="12">
        <f t="shared" si="115"/>
        <v>0</v>
      </c>
      <c r="J67" s="12">
        <f t="shared" si="116"/>
        <v>0</v>
      </c>
      <c r="P67" s="12">
        <f t="shared" si="55"/>
        <v>0</v>
      </c>
      <c r="Q67" s="12">
        <f t="shared" si="56"/>
        <v>0</v>
      </c>
      <c r="R67" s="12">
        <f t="shared" si="57"/>
        <v>0</v>
      </c>
      <c r="S67" s="12">
        <f t="shared" si="58"/>
        <v>0</v>
      </c>
      <c r="T67" s="12">
        <f t="shared" si="59"/>
        <v>0</v>
      </c>
      <c r="U67" s="12">
        <f t="shared" si="60"/>
        <v>0</v>
      </c>
      <c r="V67" s="12">
        <f t="shared" si="61"/>
        <v>0</v>
      </c>
      <c r="W67" s="12">
        <f t="shared" si="62"/>
        <v>0</v>
      </c>
      <c r="X67" s="12">
        <f t="shared" si="63"/>
        <v>0</v>
      </c>
      <c r="Z67" t="s">
        <v>1303</v>
      </c>
      <c r="AA67">
        <f>_xlfn.XLOOKUP(Z67,'KPI Impacts'!$B$2:$H$2,'KPI Impacts'!$B67:$H67)</f>
        <v>0</v>
      </c>
      <c r="AD67" s="12">
        <f t="shared" si="64"/>
        <v>0</v>
      </c>
      <c r="AE67" s="12">
        <f t="shared" si="65"/>
        <v>0</v>
      </c>
      <c r="AF67" s="12">
        <f t="shared" si="66"/>
        <v>0</v>
      </c>
      <c r="AG67" s="12">
        <f t="shared" si="67"/>
        <v>0</v>
      </c>
      <c r="AH67" s="12">
        <f t="shared" si="68"/>
        <v>0</v>
      </c>
      <c r="AI67" s="12">
        <f t="shared" si="69"/>
        <v>0</v>
      </c>
      <c r="AJ67" s="12">
        <f t="shared" si="70"/>
        <v>0</v>
      </c>
      <c r="AK67" s="12">
        <f t="shared" si="71"/>
        <v>0</v>
      </c>
      <c r="AL67" s="12">
        <f t="shared" si="72"/>
        <v>0</v>
      </c>
      <c r="AN67" s="16" t="s">
        <v>1303</v>
      </c>
      <c r="AO67">
        <f>_xlfn.XLOOKUP(AN67,'KPI Impacts'!$B$2:$H$2,'KPI Impacts'!$B67:$H67)</f>
        <v>0</v>
      </c>
      <c r="AR67" s="12">
        <f t="shared" si="73"/>
        <v>0</v>
      </c>
      <c r="AS67" s="12">
        <f t="shared" si="74"/>
        <v>0</v>
      </c>
      <c r="AT67" s="12">
        <f t="shared" si="75"/>
        <v>0</v>
      </c>
      <c r="AU67" s="12">
        <f t="shared" si="76"/>
        <v>0</v>
      </c>
      <c r="AV67" s="12">
        <f t="shared" si="77"/>
        <v>0</v>
      </c>
      <c r="AW67" s="12">
        <f t="shared" si="78"/>
        <v>0</v>
      </c>
      <c r="AX67" s="12">
        <f t="shared" si="79"/>
        <v>0</v>
      </c>
      <c r="AY67" s="12">
        <f t="shared" si="80"/>
        <v>0</v>
      </c>
      <c r="AZ67" s="12">
        <f t="shared" si="81"/>
        <v>0</v>
      </c>
      <c r="BB67" s="29" t="s">
        <v>1304</v>
      </c>
      <c r="BC67">
        <f>_xlfn.XLOOKUP(BB67,'KPI Impacts'!$B$2:$H$2,'KPI Impacts'!$B67:$H67)</f>
        <v>-1.6</v>
      </c>
      <c r="BF67" s="12">
        <f t="shared" si="82"/>
        <v>0</v>
      </c>
      <c r="BG67" s="12">
        <f t="shared" si="83"/>
        <v>0</v>
      </c>
      <c r="BH67" s="12">
        <f t="shared" si="84"/>
        <v>0</v>
      </c>
      <c r="BI67" s="12">
        <f t="shared" si="85"/>
        <v>0</v>
      </c>
      <c r="BJ67" s="12">
        <f t="shared" si="86"/>
        <v>0</v>
      </c>
      <c r="BK67" s="12">
        <f t="shared" si="87"/>
        <v>0</v>
      </c>
      <c r="BL67" s="12">
        <f t="shared" si="88"/>
        <v>0</v>
      </c>
      <c r="BM67" s="12">
        <f t="shared" si="89"/>
        <v>0</v>
      </c>
      <c r="BN67" s="12">
        <f t="shared" si="90"/>
        <v>0</v>
      </c>
      <c r="BP67" s="29" t="s">
        <v>1304</v>
      </c>
      <c r="BQ67">
        <f>_xlfn.XLOOKUP(BP67,'KPI Impacts'!$B$2:$H$2,'KPI Impacts'!$B67:$H67)</f>
        <v>-1.6</v>
      </c>
      <c r="BT67" s="12">
        <f t="shared" si="91"/>
        <v>0</v>
      </c>
      <c r="BU67" s="12">
        <f t="shared" si="92"/>
        <v>0</v>
      </c>
      <c r="BV67" s="12">
        <f t="shared" si="93"/>
        <v>0</v>
      </c>
      <c r="BW67" s="12">
        <f t="shared" si="94"/>
        <v>0</v>
      </c>
      <c r="BX67" s="12">
        <f t="shared" si="95"/>
        <v>0</v>
      </c>
      <c r="BY67" s="12">
        <f t="shared" si="96"/>
        <v>0</v>
      </c>
      <c r="BZ67" s="12">
        <f t="shared" si="97"/>
        <v>0</v>
      </c>
      <c r="CA67" s="12">
        <f t="shared" si="98"/>
        <v>0</v>
      </c>
      <c r="CB67" s="12">
        <f t="shared" si="99"/>
        <v>0</v>
      </c>
      <c r="CD67" s="16" t="s">
        <v>1303</v>
      </c>
      <c r="CE67">
        <f>_xlfn.XLOOKUP(CD67,'KPI Impacts'!$B$2:$H$2,'KPI Impacts'!$B67:$H67)</f>
        <v>0</v>
      </c>
      <c r="CH67" s="12">
        <f t="shared" si="100"/>
        <v>0</v>
      </c>
      <c r="CI67" s="12">
        <f t="shared" si="101"/>
        <v>0</v>
      </c>
      <c r="CJ67" s="12">
        <f t="shared" si="102"/>
        <v>0</v>
      </c>
      <c r="CK67" s="12">
        <f t="shared" si="103"/>
        <v>0</v>
      </c>
      <c r="CL67" s="12">
        <f t="shared" si="104"/>
        <v>0</v>
      </c>
      <c r="CM67" s="12">
        <f t="shared" si="105"/>
        <v>0</v>
      </c>
      <c r="CN67" s="12">
        <f t="shared" si="106"/>
        <v>0</v>
      </c>
      <c r="CO67" s="12">
        <f t="shared" si="107"/>
        <v>0</v>
      </c>
      <c r="CP67" s="12">
        <f t="shared" si="108"/>
        <v>0</v>
      </c>
      <c r="CR67" s="29" t="s">
        <v>1304</v>
      </c>
      <c r="CS67">
        <f>_xlfn.XLOOKUP(CR67,'KPI Impacts'!$B$2:$H$2,'KPI Impacts'!$B67:$H67)</f>
        <v>-1.6</v>
      </c>
      <c r="CW67" s="12"/>
      <c r="CX67" s="12"/>
      <c r="CY67" s="12"/>
      <c r="CZ67" s="12"/>
      <c r="DA67" s="12"/>
      <c r="DB67" s="12"/>
      <c r="DC67" s="12"/>
      <c r="DD67" s="12"/>
      <c r="DE67" s="12"/>
    </row>
    <row r="68" spans="1:109" x14ac:dyDescent="0.2">
      <c r="A68" t="s">
        <v>49</v>
      </c>
      <c r="B68" s="12">
        <f t="shared" si="53"/>
        <v>0</v>
      </c>
      <c r="C68" s="12">
        <f t="shared" si="109"/>
        <v>0</v>
      </c>
      <c r="D68" s="12">
        <f t="shared" si="110"/>
        <v>0</v>
      </c>
      <c r="E68" s="12">
        <f t="shared" si="111"/>
        <v>0</v>
      </c>
      <c r="F68" s="12">
        <f t="shared" si="112"/>
        <v>0</v>
      </c>
      <c r="G68" s="12">
        <f t="shared" si="113"/>
        <v>0</v>
      </c>
      <c r="H68" s="12">
        <f t="shared" si="114"/>
        <v>0</v>
      </c>
      <c r="I68" s="12">
        <f t="shared" si="115"/>
        <v>0</v>
      </c>
      <c r="J68" s="12">
        <f t="shared" si="116"/>
        <v>0</v>
      </c>
      <c r="P68" s="12">
        <f t="shared" si="55"/>
        <v>0</v>
      </c>
      <c r="Q68" s="12">
        <f t="shared" si="56"/>
        <v>0</v>
      </c>
      <c r="R68" s="12">
        <f t="shared" si="57"/>
        <v>0</v>
      </c>
      <c r="S68" s="12">
        <f t="shared" si="58"/>
        <v>0</v>
      </c>
      <c r="T68" s="12">
        <f t="shared" si="59"/>
        <v>0</v>
      </c>
      <c r="U68" s="12">
        <f t="shared" si="60"/>
        <v>0</v>
      </c>
      <c r="V68" s="12">
        <f t="shared" si="61"/>
        <v>0</v>
      </c>
      <c r="W68" s="12">
        <f t="shared" si="62"/>
        <v>0</v>
      </c>
      <c r="X68" s="12">
        <f t="shared" si="63"/>
        <v>0</v>
      </c>
      <c r="Z68" t="s">
        <v>1303</v>
      </c>
      <c r="AA68">
        <f>_xlfn.XLOOKUP(Z68,'KPI Impacts'!$B$2:$H$2,'KPI Impacts'!$B68:$H68)</f>
        <v>0</v>
      </c>
      <c r="AD68" s="12">
        <f t="shared" si="64"/>
        <v>0</v>
      </c>
      <c r="AE68" s="12">
        <f t="shared" si="65"/>
        <v>0</v>
      </c>
      <c r="AF68" s="12">
        <f t="shared" si="66"/>
        <v>0</v>
      </c>
      <c r="AG68" s="12">
        <f t="shared" si="67"/>
        <v>0</v>
      </c>
      <c r="AH68" s="12">
        <f t="shared" si="68"/>
        <v>0</v>
      </c>
      <c r="AI68" s="12">
        <f t="shared" si="69"/>
        <v>0</v>
      </c>
      <c r="AJ68" s="12">
        <f t="shared" si="70"/>
        <v>0</v>
      </c>
      <c r="AK68" s="12">
        <f t="shared" si="71"/>
        <v>0</v>
      </c>
      <c r="AL68" s="12">
        <f t="shared" si="72"/>
        <v>0</v>
      </c>
      <c r="AN68" s="16" t="s">
        <v>1303</v>
      </c>
      <c r="AO68">
        <f>_xlfn.XLOOKUP(AN68,'KPI Impacts'!$B$2:$H$2,'KPI Impacts'!$B68:$H68)</f>
        <v>0</v>
      </c>
      <c r="AR68" s="12">
        <f t="shared" si="73"/>
        <v>0</v>
      </c>
      <c r="AS68" s="12">
        <f t="shared" si="74"/>
        <v>0</v>
      </c>
      <c r="AT68" s="12">
        <f t="shared" si="75"/>
        <v>0</v>
      </c>
      <c r="AU68" s="12">
        <f t="shared" si="76"/>
        <v>0</v>
      </c>
      <c r="AV68" s="12">
        <f t="shared" si="77"/>
        <v>0</v>
      </c>
      <c r="AW68" s="12">
        <f t="shared" si="78"/>
        <v>0</v>
      </c>
      <c r="AX68" s="12">
        <f t="shared" si="79"/>
        <v>0</v>
      </c>
      <c r="AY68" s="12">
        <f t="shared" si="80"/>
        <v>0</v>
      </c>
      <c r="AZ68" s="12">
        <f t="shared" si="81"/>
        <v>0</v>
      </c>
      <c r="BB68" s="29" t="s">
        <v>1306</v>
      </c>
      <c r="BC68">
        <f>_xlfn.XLOOKUP(BB68,'KPI Impacts'!$B$2:$H$2,'KPI Impacts'!$B68:$H68)</f>
        <v>-3.2</v>
      </c>
      <c r="BF68" s="12">
        <f t="shared" si="82"/>
        <v>0</v>
      </c>
      <c r="BG68" s="12">
        <f t="shared" si="83"/>
        <v>0</v>
      </c>
      <c r="BH68" s="12">
        <f t="shared" si="84"/>
        <v>0</v>
      </c>
      <c r="BI68" s="12">
        <f t="shared" si="85"/>
        <v>0</v>
      </c>
      <c r="BJ68" s="12">
        <f t="shared" si="86"/>
        <v>0</v>
      </c>
      <c r="BK68" s="12">
        <f t="shared" si="87"/>
        <v>0</v>
      </c>
      <c r="BL68" s="12">
        <f t="shared" si="88"/>
        <v>0</v>
      </c>
      <c r="BM68" s="12">
        <f t="shared" si="89"/>
        <v>0</v>
      </c>
      <c r="BN68" s="12">
        <f t="shared" si="90"/>
        <v>0</v>
      </c>
      <c r="BP68" s="16" t="s">
        <v>1303</v>
      </c>
      <c r="BQ68">
        <f>_xlfn.XLOOKUP(BP68,'KPI Impacts'!$B$2:$H$2,'KPI Impacts'!$B68:$H68)</f>
        <v>0</v>
      </c>
      <c r="BT68" s="12">
        <f t="shared" si="91"/>
        <v>0</v>
      </c>
      <c r="BU68" s="12">
        <f t="shared" si="92"/>
        <v>0</v>
      </c>
      <c r="BV68" s="12">
        <f t="shared" si="93"/>
        <v>0</v>
      </c>
      <c r="BW68" s="12">
        <f t="shared" si="94"/>
        <v>0</v>
      </c>
      <c r="BX68" s="12">
        <f t="shared" si="95"/>
        <v>0</v>
      </c>
      <c r="BY68" s="12">
        <f t="shared" si="96"/>
        <v>0</v>
      </c>
      <c r="BZ68" s="12">
        <f t="shared" si="97"/>
        <v>0</v>
      </c>
      <c r="CA68" s="12">
        <f t="shared" si="98"/>
        <v>0</v>
      </c>
      <c r="CB68" s="12">
        <f t="shared" si="99"/>
        <v>0</v>
      </c>
      <c r="CD68" s="29" t="s">
        <v>1304</v>
      </c>
      <c r="CE68">
        <f>_xlfn.XLOOKUP(CD68,'KPI Impacts'!$B$2:$H$2,'KPI Impacts'!$B68:$H68)</f>
        <v>-1.6</v>
      </c>
      <c r="CH68" s="12">
        <f t="shared" si="100"/>
        <v>0</v>
      </c>
      <c r="CI68" s="12">
        <f t="shared" si="101"/>
        <v>0</v>
      </c>
      <c r="CJ68" s="12">
        <f t="shared" si="102"/>
        <v>0</v>
      </c>
      <c r="CK68" s="12">
        <f t="shared" si="103"/>
        <v>0</v>
      </c>
      <c r="CL68" s="12">
        <f t="shared" si="104"/>
        <v>0</v>
      </c>
      <c r="CM68" s="12">
        <f t="shared" si="105"/>
        <v>0</v>
      </c>
      <c r="CN68" s="12">
        <f t="shared" si="106"/>
        <v>0</v>
      </c>
      <c r="CO68" s="12">
        <f t="shared" si="107"/>
        <v>0</v>
      </c>
      <c r="CP68" s="12">
        <f t="shared" si="108"/>
        <v>0</v>
      </c>
      <c r="CR68" s="16" t="s">
        <v>1303</v>
      </c>
      <c r="CS68">
        <f>_xlfn.XLOOKUP(CR68,'KPI Impacts'!$B$2:$H$2,'KPI Impacts'!$B68:$H68)</f>
        <v>0</v>
      </c>
      <c r="CW68" s="12"/>
      <c r="CX68" s="12"/>
      <c r="CY68" s="12"/>
      <c r="CZ68" s="12"/>
      <c r="DA68" s="12"/>
      <c r="DB68" s="12"/>
      <c r="DC68" s="12"/>
      <c r="DD68" s="12"/>
      <c r="DE68" s="12"/>
    </row>
    <row r="69" spans="1:109" x14ac:dyDescent="0.2">
      <c r="A69" t="s">
        <v>50</v>
      </c>
      <c r="B69" s="12">
        <f t="shared" si="53"/>
        <v>0</v>
      </c>
      <c r="C69" s="12">
        <f t="shared" si="109"/>
        <v>0</v>
      </c>
      <c r="D69" s="12">
        <f t="shared" si="110"/>
        <v>0</v>
      </c>
      <c r="E69" s="12">
        <f t="shared" si="111"/>
        <v>0</v>
      </c>
      <c r="F69" s="12">
        <f t="shared" si="112"/>
        <v>0</v>
      </c>
      <c r="G69" s="12">
        <f t="shared" si="113"/>
        <v>0</v>
      </c>
      <c r="H69" s="12">
        <f t="shared" si="114"/>
        <v>0</v>
      </c>
      <c r="I69" s="12">
        <f t="shared" si="115"/>
        <v>0</v>
      </c>
      <c r="J69" s="12">
        <f t="shared" si="116"/>
        <v>0</v>
      </c>
      <c r="P69" s="12">
        <f t="shared" si="55"/>
        <v>0</v>
      </c>
      <c r="Q69" s="12">
        <f t="shared" si="56"/>
        <v>0</v>
      </c>
      <c r="R69" s="12">
        <f t="shared" si="57"/>
        <v>0</v>
      </c>
      <c r="S69" s="12">
        <f t="shared" si="58"/>
        <v>0</v>
      </c>
      <c r="T69" s="12">
        <f t="shared" si="59"/>
        <v>0</v>
      </c>
      <c r="U69" s="12">
        <f t="shared" si="60"/>
        <v>0</v>
      </c>
      <c r="V69" s="12">
        <f t="shared" si="61"/>
        <v>0</v>
      </c>
      <c r="W69" s="12">
        <f t="shared" si="62"/>
        <v>0</v>
      </c>
      <c r="X69" s="12">
        <f t="shared" si="63"/>
        <v>0</v>
      </c>
      <c r="Z69" t="s">
        <v>1303</v>
      </c>
      <c r="AA69">
        <f>_xlfn.XLOOKUP(Z69,'KPI Impacts'!$B$2:$H$2,'KPI Impacts'!$B69:$H69)</f>
        <v>0</v>
      </c>
      <c r="AD69" s="12">
        <f t="shared" si="64"/>
        <v>0</v>
      </c>
      <c r="AE69" s="12">
        <f t="shared" si="65"/>
        <v>0</v>
      </c>
      <c r="AF69" s="12">
        <f t="shared" si="66"/>
        <v>0</v>
      </c>
      <c r="AG69" s="12">
        <f t="shared" si="67"/>
        <v>0</v>
      </c>
      <c r="AH69" s="12">
        <f t="shared" si="68"/>
        <v>0</v>
      </c>
      <c r="AI69" s="12">
        <f t="shared" si="69"/>
        <v>0</v>
      </c>
      <c r="AJ69" s="12">
        <f t="shared" si="70"/>
        <v>0</v>
      </c>
      <c r="AK69" s="12">
        <f t="shared" si="71"/>
        <v>0</v>
      </c>
      <c r="AL69" s="12">
        <f t="shared" si="72"/>
        <v>0</v>
      </c>
      <c r="AN69" s="16" t="s">
        <v>1303</v>
      </c>
      <c r="AO69">
        <f>_xlfn.XLOOKUP(AN69,'KPI Impacts'!$B$2:$H$2,'KPI Impacts'!$B69:$H69)</f>
        <v>0</v>
      </c>
      <c r="AR69" s="12">
        <f t="shared" si="73"/>
        <v>0</v>
      </c>
      <c r="AS69" s="12">
        <f t="shared" si="74"/>
        <v>0</v>
      </c>
      <c r="AT69" s="12">
        <f t="shared" si="75"/>
        <v>0</v>
      </c>
      <c r="AU69" s="12">
        <f t="shared" si="76"/>
        <v>0</v>
      </c>
      <c r="AV69" s="12">
        <f t="shared" si="77"/>
        <v>0</v>
      </c>
      <c r="AW69" s="12">
        <f t="shared" si="78"/>
        <v>0</v>
      </c>
      <c r="AX69" s="12">
        <f t="shared" si="79"/>
        <v>0</v>
      </c>
      <c r="AY69" s="12">
        <f t="shared" si="80"/>
        <v>0</v>
      </c>
      <c r="AZ69" s="12">
        <f t="shared" si="81"/>
        <v>0</v>
      </c>
      <c r="BB69" s="29" t="s">
        <v>1304</v>
      </c>
      <c r="BC69">
        <f>_xlfn.XLOOKUP(BB69,'KPI Impacts'!$B$2:$H$2,'KPI Impacts'!$B69:$H69)</f>
        <v>-1.6</v>
      </c>
      <c r="BF69" s="12">
        <f t="shared" si="82"/>
        <v>0</v>
      </c>
      <c r="BG69" s="12">
        <f t="shared" si="83"/>
        <v>0</v>
      </c>
      <c r="BH69" s="12">
        <f t="shared" si="84"/>
        <v>0</v>
      </c>
      <c r="BI69" s="12">
        <f t="shared" si="85"/>
        <v>0</v>
      </c>
      <c r="BJ69" s="12">
        <f t="shared" si="86"/>
        <v>0</v>
      </c>
      <c r="BK69" s="12">
        <f t="shared" si="87"/>
        <v>0</v>
      </c>
      <c r="BL69" s="12">
        <f t="shared" si="88"/>
        <v>0</v>
      </c>
      <c r="BM69" s="12">
        <f t="shared" si="89"/>
        <v>0</v>
      </c>
      <c r="BN69" s="12">
        <f t="shared" si="90"/>
        <v>0</v>
      </c>
      <c r="BP69" s="29" t="s">
        <v>1304</v>
      </c>
      <c r="BQ69">
        <f>_xlfn.XLOOKUP(BP69,'KPI Impacts'!$B$2:$H$2,'KPI Impacts'!$B69:$H69)</f>
        <v>-1.6</v>
      </c>
      <c r="BT69" s="12">
        <f t="shared" si="91"/>
        <v>0</v>
      </c>
      <c r="BU69" s="12">
        <f t="shared" si="92"/>
        <v>0</v>
      </c>
      <c r="BV69" s="12">
        <f t="shared" si="93"/>
        <v>0</v>
      </c>
      <c r="BW69" s="12">
        <f t="shared" si="94"/>
        <v>0</v>
      </c>
      <c r="BX69" s="12">
        <f t="shared" si="95"/>
        <v>0</v>
      </c>
      <c r="BY69" s="12">
        <f t="shared" si="96"/>
        <v>0</v>
      </c>
      <c r="BZ69" s="12">
        <f t="shared" si="97"/>
        <v>0</v>
      </c>
      <c r="CA69" s="12">
        <f t="shared" si="98"/>
        <v>0</v>
      </c>
      <c r="CB69" s="12">
        <f t="shared" si="99"/>
        <v>0</v>
      </c>
      <c r="CD69" s="29" t="s">
        <v>1304</v>
      </c>
      <c r="CE69">
        <f>_xlfn.XLOOKUP(CD69,'KPI Impacts'!$B$2:$H$2,'KPI Impacts'!$B69:$H69)</f>
        <v>-1.6</v>
      </c>
      <c r="CH69" s="12">
        <f t="shared" si="100"/>
        <v>0</v>
      </c>
      <c r="CI69" s="12">
        <f t="shared" si="101"/>
        <v>0</v>
      </c>
      <c r="CJ69" s="12">
        <f t="shared" si="102"/>
        <v>0</v>
      </c>
      <c r="CK69" s="12">
        <f t="shared" si="103"/>
        <v>0</v>
      </c>
      <c r="CL69" s="12">
        <f t="shared" si="104"/>
        <v>0</v>
      </c>
      <c r="CM69" s="12">
        <f t="shared" si="105"/>
        <v>0</v>
      </c>
      <c r="CN69" s="12">
        <f t="shared" si="106"/>
        <v>0</v>
      </c>
      <c r="CO69" s="12">
        <f t="shared" si="107"/>
        <v>0</v>
      </c>
      <c r="CP69" s="12">
        <f t="shared" si="108"/>
        <v>0</v>
      </c>
      <c r="CR69" s="29" t="s">
        <v>1304</v>
      </c>
      <c r="CS69">
        <f>_xlfn.XLOOKUP(CR69,'KPI Impacts'!$B$2:$H$2,'KPI Impacts'!$B69:$H69)</f>
        <v>-1.6</v>
      </c>
      <c r="CW69" s="12"/>
      <c r="CX69" s="12"/>
      <c r="CY69" s="12"/>
      <c r="CZ69" s="12"/>
      <c r="DA69" s="12"/>
      <c r="DB69" s="12"/>
      <c r="DC69" s="12"/>
      <c r="DD69" s="12"/>
      <c r="DE69" s="12"/>
    </row>
    <row r="70" spans="1:109" x14ac:dyDescent="0.2">
      <c r="AN70" s="16"/>
      <c r="BB70" s="16"/>
      <c r="BP70" s="16"/>
      <c r="CD70" s="16"/>
      <c r="CR70" s="16"/>
      <c r="CZ70" s="12"/>
      <c r="DA70" s="12"/>
    </row>
    <row r="71" spans="1:109" x14ac:dyDescent="0.2">
      <c r="AN71" s="16"/>
      <c r="BB71" s="16"/>
      <c r="BP71" s="16"/>
      <c r="CD71" s="16"/>
      <c r="CR71" s="16"/>
      <c r="CZ71" s="12"/>
      <c r="DA71" s="12"/>
    </row>
    <row r="72" spans="1:109" x14ac:dyDescent="0.2">
      <c r="A72" s="5" t="s">
        <v>44</v>
      </c>
      <c r="AN72" s="16"/>
      <c r="BB72" s="16"/>
      <c r="BP72" s="16"/>
      <c r="CD72" s="16"/>
      <c r="CR72" s="16"/>
      <c r="CZ72" s="12"/>
      <c r="DA72" s="12"/>
    </row>
    <row r="73" spans="1:109" x14ac:dyDescent="0.2">
      <c r="A73" t="s">
        <v>55</v>
      </c>
      <c r="B73" s="12">
        <f>P73+AD73+AR73+BF73+BT73+CH73</f>
        <v>0</v>
      </c>
      <c r="C73" s="12">
        <f t="shared" ref="C73:C76" si="117">Q73+AE73+AS73+BG73+BU73+CI73</f>
        <v>0</v>
      </c>
      <c r="D73" s="12">
        <f t="shared" ref="D73:D76" si="118">R73+AF73+AT73+BH73+BV73+CJ73</f>
        <v>0</v>
      </c>
      <c r="E73" s="12">
        <f t="shared" ref="E73:E76" si="119">S73+AG73+AU73+BI73+BW73+CK73</f>
        <v>0</v>
      </c>
      <c r="F73" s="12">
        <f t="shared" ref="F73:F76" si="120">T73+AH73+AV73+BJ73+BX73+CL73</f>
        <v>0</v>
      </c>
      <c r="G73" s="12">
        <f t="shared" ref="G73:G76" si="121">U73+AI73+AW73+BK73+BY73+CM73</f>
        <v>0</v>
      </c>
      <c r="H73" s="12">
        <f t="shared" ref="H73:H76" si="122">V73+AJ73+AX73+BL73+BZ73+CN73</f>
        <v>0</v>
      </c>
      <c r="I73" s="12">
        <f t="shared" ref="I73:I76" si="123">W73+AK73+AY73+BM73+CA73+CO73</f>
        <v>0</v>
      </c>
      <c r="J73" s="12">
        <f t="shared" ref="J73:J76" si="124">X73+AL73+AZ73+BN73+CB73+CP73</f>
        <v>0</v>
      </c>
      <c r="P73" s="12">
        <f>P$5*AA73</f>
        <v>0</v>
      </c>
      <c r="Q73" s="12">
        <f>Q$5*AA73</f>
        <v>0</v>
      </c>
      <c r="R73" s="12">
        <f>R$5*AA73</f>
        <v>0</v>
      </c>
      <c r="S73" s="12">
        <f>S$5*AA73</f>
        <v>0</v>
      </c>
      <c r="T73" s="12">
        <f>T$5*AA73</f>
        <v>0</v>
      </c>
      <c r="U73" s="12">
        <f>U$5*AA73</f>
        <v>0</v>
      </c>
      <c r="V73" s="12">
        <f>V$5*AA73</f>
        <v>0</v>
      </c>
      <c r="W73" s="12">
        <f>W$5*AA73</f>
        <v>0</v>
      </c>
      <c r="X73" s="12">
        <f>X$5*AA73</f>
        <v>0</v>
      </c>
      <c r="Z73" t="s">
        <v>1303</v>
      </c>
      <c r="AA73">
        <f>_xlfn.XLOOKUP(Z73,'KPI Impacts'!$B$2:$H$2,'KPI Impacts'!$B73:$H73)</f>
        <v>0</v>
      </c>
      <c r="AD73" s="12">
        <f>AD$5*AO73</f>
        <v>0</v>
      </c>
      <c r="AE73" s="12">
        <f>AE$5*AO73</f>
        <v>0</v>
      </c>
      <c r="AF73" s="12">
        <f>AF$5*AO73</f>
        <v>0</v>
      </c>
      <c r="AG73" s="12">
        <f>AG$5*AO73</f>
        <v>0</v>
      </c>
      <c r="AH73" s="12">
        <f>AH$5*AO73</f>
        <v>0</v>
      </c>
      <c r="AI73" s="12">
        <f>AI$5*AO73</f>
        <v>0</v>
      </c>
      <c r="AJ73" s="12">
        <f>AJ$5*AO73</f>
        <v>0</v>
      </c>
      <c r="AK73" s="12">
        <f>AK$5*AO73</f>
        <v>0</v>
      </c>
      <c r="AL73" s="12">
        <f>AL$5*AO73</f>
        <v>0</v>
      </c>
      <c r="AN73" s="29" t="s">
        <v>1306</v>
      </c>
      <c r="AO73">
        <f>_xlfn.XLOOKUP(AN73,'KPI Impacts'!$B$2:$H$2,'KPI Impacts'!$B73:$H73)</f>
        <v>-0.60000000000000009</v>
      </c>
      <c r="AR73" s="12">
        <f>AR$5*BC73</f>
        <v>0</v>
      </c>
      <c r="AS73" s="12">
        <f>AS$5*BC73</f>
        <v>0</v>
      </c>
      <c r="AT73" s="12">
        <f>AT$5*BC73</f>
        <v>0</v>
      </c>
      <c r="AU73" s="12">
        <f>AU$5*BC73</f>
        <v>0</v>
      </c>
      <c r="AV73" s="12">
        <f>AV$5*BC73</f>
        <v>0</v>
      </c>
      <c r="AW73" s="12">
        <f>AW$5*BC73</f>
        <v>0</v>
      </c>
      <c r="AX73" s="12">
        <f>AX$5*BC73</f>
        <v>0</v>
      </c>
      <c r="AY73" s="12">
        <f>AY$5*BC73</f>
        <v>0</v>
      </c>
      <c r="AZ73" s="12">
        <f>AZ$5*BC73</f>
        <v>0</v>
      </c>
      <c r="BB73" s="16" t="s">
        <v>1303</v>
      </c>
      <c r="BC73">
        <f>_xlfn.XLOOKUP(BB73,'KPI Impacts'!$B$2:$H$2,'KPI Impacts'!$B73:$H73)</f>
        <v>0</v>
      </c>
      <c r="BF73" s="12">
        <f>BF$5*BQ73</f>
        <v>0</v>
      </c>
      <c r="BG73" s="12">
        <f>BG$5*BQ73</f>
        <v>0</v>
      </c>
      <c r="BH73" s="12">
        <f>BH$5*BQ73</f>
        <v>0</v>
      </c>
      <c r="BI73" s="12">
        <f>BI$5*BQ73</f>
        <v>0</v>
      </c>
      <c r="BJ73" s="12">
        <f>BJ$5*BQ73</f>
        <v>0</v>
      </c>
      <c r="BK73" s="12">
        <f>BK$5*BQ73</f>
        <v>0</v>
      </c>
      <c r="BL73" s="12">
        <f>BL$5*BQ73</f>
        <v>0</v>
      </c>
      <c r="BM73" s="12">
        <f>BM$5*BQ73</f>
        <v>0</v>
      </c>
      <c r="BN73" s="12">
        <f>BN$5*BQ73</f>
        <v>0</v>
      </c>
      <c r="BP73" s="16" t="s">
        <v>1303</v>
      </c>
      <c r="BQ73">
        <f>_xlfn.XLOOKUP(BP73,'KPI Impacts'!$B$2:$H$2,'KPI Impacts'!$B73:$H73)</f>
        <v>0</v>
      </c>
      <c r="BT73" s="12">
        <f>BT$5*CE73</f>
        <v>0</v>
      </c>
      <c r="BU73" s="12">
        <f>BU$5*CE73</f>
        <v>0</v>
      </c>
      <c r="BV73" s="12">
        <f>BV$5*CE73</f>
        <v>0</v>
      </c>
      <c r="BW73" s="12">
        <f>BW$5*CE73</f>
        <v>0</v>
      </c>
      <c r="BX73" s="12">
        <f>BX$5*CE73</f>
        <v>0</v>
      </c>
      <c r="BY73" s="12">
        <f>BY$5*CE73</f>
        <v>0</v>
      </c>
      <c r="BZ73" s="12">
        <f>BZ$5*CE73</f>
        <v>0</v>
      </c>
      <c r="CA73" s="12">
        <f>CA$5*CE73</f>
        <v>0</v>
      </c>
      <c r="CB73" s="12">
        <f>CB$5*CE73</f>
        <v>0</v>
      </c>
      <c r="CD73" s="29" t="s">
        <v>1304</v>
      </c>
      <c r="CE73">
        <f>_xlfn.XLOOKUP(CD73,'KPI Impacts'!$B$2:$H$2,'KPI Impacts'!$B73:$H73)</f>
        <v>-0.32000000000000006</v>
      </c>
      <c r="CH73" s="12">
        <f>CH$5*CS73</f>
        <v>0</v>
      </c>
      <c r="CI73" s="12">
        <f>CI$5*CS73</f>
        <v>0</v>
      </c>
      <c r="CJ73" s="12">
        <f>CJ$5*CS73</f>
        <v>0</v>
      </c>
      <c r="CK73" s="12">
        <f>CK$5*CS73</f>
        <v>0</v>
      </c>
      <c r="CL73" s="12">
        <f>CL$5*CS73</f>
        <v>0</v>
      </c>
      <c r="CM73" s="12">
        <f>CM$5*CS73</f>
        <v>0</v>
      </c>
      <c r="CN73" s="12">
        <f>CN$5*CS73</f>
        <v>0</v>
      </c>
      <c r="CO73" s="12">
        <f>CO$5*CS73</f>
        <v>0</v>
      </c>
      <c r="CP73" s="12">
        <f>CP$5*CS73</f>
        <v>0</v>
      </c>
      <c r="CR73" s="16" t="s">
        <v>1303</v>
      </c>
      <c r="CS73">
        <f>_xlfn.XLOOKUP(CR73,'KPI Impacts'!$B$2:$H$2,'KPI Impacts'!$B73:$H73)</f>
        <v>0</v>
      </c>
      <c r="CW73" s="12"/>
      <c r="CX73" s="12"/>
      <c r="CY73" s="12"/>
      <c r="CZ73" s="12"/>
      <c r="DA73" s="12"/>
      <c r="DB73" s="12"/>
      <c r="DC73" s="12"/>
      <c r="DD73" s="12"/>
      <c r="DE73" s="12"/>
    </row>
    <row r="74" spans="1:109" x14ac:dyDescent="0.2">
      <c r="A74" s="9" t="s">
        <v>1928</v>
      </c>
      <c r="B74" s="12">
        <f>P74+AD74+AR74+BF74+BT74+CH74</f>
        <v>0</v>
      </c>
      <c r="C74" s="12">
        <f t="shared" si="117"/>
        <v>0</v>
      </c>
      <c r="D74" s="12">
        <f t="shared" si="118"/>
        <v>0</v>
      </c>
      <c r="E74" s="12">
        <f t="shared" si="119"/>
        <v>0</v>
      </c>
      <c r="F74" s="12">
        <f t="shared" si="120"/>
        <v>0</v>
      </c>
      <c r="G74" s="12">
        <f t="shared" si="121"/>
        <v>0</v>
      </c>
      <c r="H74" s="12">
        <f t="shared" si="122"/>
        <v>0</v>
      </c>
      <c r="I74" s="12">
        <f t="shared" si="123"/>
        <v>0</v>
      </c>
      <c r="J74" s="12">
        <f t="shared" si="124"/>
        <v>0</v>
      </c>
      <c r="P74" s="12">
        <f>P$5*AA74</f>
        <v>0</v>
      </c>
      <c r="Q74" s="12">
        <f>Q$5*AA74</f>
        <v>0</v>
      </c>
      <c r="R74" s="12">
        <f>R$5*AA74</f>
        <v>0</v>
      </c>
      <c r="S74" s="12">
        <f>S$5*AA74</f>
        <v>0</v>
      </c>
      <c r="T74" s="12">
        <f>T$5*AA74</f>
        <v>0</v>
      </c>
      <c r="U74" s="12">
        <f>U$5*AA74</f>
        <v>0</v>
      </c>
      <c r="V74" s="12">
        <f>V$5*AA74</f>
        <v>0</v>
      </c>
      <c r="W74" s="12">
        <f>W$5*AA74</f>
        <v>0</v>
      </c>
      <c r="X74" s="12">
        <f>X$5*AA74</f>
        <v>0</v>
      </c>
      <c r="Z74" t="s">
        <v>1303</v>
      </c>
      <c r="AA74">
        <f>_xlfn.XLOOKUP(Z74,'KPI Impacts'!$B$2:$H$2,'KPI Impacts'!$B74:$H74)</f>
        <v>0</v>
      </c>
      <c r="AD74" s="12">
        <f>AD$5*AO74</f>
        <v>0</v>
      </c>
      <c r="AE74" s="12">
        <f>AE$5*AO74</f>
        <v>0</v>
      </c>
      <c r="AF74" s="12">
        <f>AF$5*AO74</f>
        <v>0</v>
      </c>
      <c r="AG74" s="12">
        <f>AG$5*AO74</f>
        <v>0</v>
      </c>
      <c r="AH74" s="12">
        <f>AH$5*AO74</f>
        <v>0</v>
      </c>
      <c r="AI74" s="12">
        <f>AI$5*AO74</f>
        <v>0</v>
      </c>
      <c r="AJ74" s="12">
        <f>AJ$5*AO74</f>
        <v>0</v>
      </c>
      <c r="AK74" s="12">
        <f>AK$5*AO74</f>
        <v>0</v>
      </c>
      <c r="AL74" s="12">
        <f>AL$5*AO74</f>
        <v>0</v>
      </c>
      <c r="AN74" s="16" t="s">
        <v>1303</v>
      </c>
      <c r="AO74">
        <f>_xlfn.XLOOKUP(AN74,'KPI Impacts'!$B$2:$H$2,'KPI Impacts'!$B74:$H74)</f>
        <v>0</v>
      </c>
      <c r="AR74" s="12">
        <f>AR$5*BC74</f>
        <v>0</v>
      </c>
      <c r="AS74" s="12">
        <f>AS$5*BC74</f>
        <v>0</v>
      </c>
      <c r="AT74" s="12">
        <f>AT$5*BC74</f>
        <v>0</v>
      </c>
      <c r="AU74" s="12">
        <f>AU$5*BC74</f>
        <v>0</v>
      </c>
      <c r="AV74" s="12">
        <f>AV$5*BC74</f>
        <v>0</v>
      </c>
      <c r="AW74" s="12">
        <f>AW$5*BC74</f>
        <v>0</v>
      </c>
      <c r="AX74" s="12">
        <f>AX$5*BC74</f>
        <v>0</v>
      </c>
      <c r="AY74" s="12">
        <f>AY$5*BC74</f>
        <v>0</v>
      </c>
      <c r="AZ74" s="12">
        <f>AZ$5*BC74</f>
        <v>0</v>
      </c>
      <c r="BB74" s="16" t="s">
        <v>1303</v>
      </c>
      <c r="BC74">
        <f>_xlfn.XLOOKUP(BB74,'KPI Impacts'!$B$2:$H$2,'KPI Impacts'!$B74:$H74)</f>
        <v>0</v>
      </c>
      <c r="BF74" s="12">
        <f>BF$5*BQ74</f>
        <v>0</v>
      </c>
      <c r="BG74" s="12">
        <f>BG$5*BQ74</f>
        <v>0</v>
      </c>
      <c r="BH74" s="12">
        <f>BH$5*BQ74</f>
        <v>0</v>
      </c>
      <c r="BI74" s="12">
        <f>BI$5*BQ74</f>
        <v>0</v>
      </c>
      <c r="BJ74" s="12">
        <f>BJ$5*BQ74</f>
        <v>0</v>
      </c>
      <c r="BK74" s="12">
        <f>BK$5*BQ74</f>
        <v>0</v>
      </c>
      <c r="BL74" s="12">
        <f>BL$5*BQ74</f>
        <v>0</v>
      </c>
      <c r="BM74" s="12">
        <f>BM$5*BQ74</f>
        <v>0</v>
      </c>
      <c r="BN74" s="12">
        <f>BN$5*BQ74</f>
        <v>0</v>
      </c>
      <c r="BP74" s="16" t="s">
        <v>1303</v>
      </c>
      <c r="BQ74">
        <f>_xlfn.XLOOKUP(BP74,'KPI Impacts'!$B$2:$H$2,'KPI Impacts'!$B74:$H74)</f>
        <v>0</v>
      </c>
      <c r="BT74" s="12">
        <f>BT$5*CE74</f>
        <v>0</v>
      </c>
      <c r="BU74" s="12">
        <f>BU$5*CE74</f>
        <v>0</v>
      </c>
      <c r="BV74" s="12">
        <f>BV$5*CE74</f>
        <v>0</v>
      </c>
      <c r="BW74" s="12">
        <f>BW$5*CE74</f>
        <v>0</v>
      </c>
      <c r="BX74" s="12">
        <f>BX$5*CE74</f>
        <v>0</v>
      </c>
      <c r="BY74" s="12">
        <f>BY$5*CE74</f>
        <v>0</v>
      </c>
      <c r="BZ74" s="12">
        <f>BZ$5*CE74</f>
        <v>0</v>
      </c>
      <c r="CA74" s="12">
        <f>CA$5*CE74</f>
        <v>0</v>
      </c>
      <c r="CB74" s="12">
        <f>CB$5*CE74</f>
        <v>0</v>
      </c>
      <c r="CD74" s="16" t="s">
        <v>1303</v>
      </c>
      <c r="CE74">
        <f>_xlfn.XLOOKUP(CD74,'KPI Impacts'!$B$2:$H$2,'KPI Impacts'!$B74:$H74)</f>
        <v>0</v>
      </c>
      <c r="CH74" s="12">
        <f>CH$5*CS74</f>
        <v>0</v>
      </c>
      <c r="CI74" s="12">
        <f>CI$5*CS74</f>
        <v>0</v>
      </c>
      <c r="CJ74" s="12">
        <f>CJ$5*CS74</f>
        <v>0</v>
      </c>
      <c r="CK74" s="12">
        <f>CK$5*CS74</f>
        <v>0</v>
      </c>
      <c r="CL74" s="12">
        <f>CL$5*CS74</f>
        <v>0</v>
      </c>
      <c r="CM74" s="12">
        <f>CM$5*CS74</f>
        <v>0</v>
      </c>
      <c r="CN74" s="12">
        <f>CN$5*CS74</f>
        <v>0</v>
      </c>
      <c r="CO74" s="12">
        <f>CO$5*CS74</f>
        <v>0</v>
      </c>
      <c r="CP74" s="12">
        <f>CP$5*CS74</f>
        <v>0</v>
      </c>
      <c r="CR74" s="29" t="s">
        <v>1304</v>
      </c>
      <c r="CS74">
        <f>_xlfn.XLOOKUP(CR74,'KPI Impacts'!$B$2:$H$2,'KPI Impacts'!$B74:$H74)</f>
        <v>-1600000000</v>
      </c>
      <c r="CW74" s="12"/>
      <c r="CX74" s="12"/>
      <c r="CY74" s="12"/>
      <c r="CZ74" s="12"/>
      <c r="DA74" s="12"/>
      <c r="DB74" s="12"/>
      <c r="DC74" s="12"/>
      <c r="DD74" s="12"/>
      <c r="DE74" s="12"/>
    </row>
    <row r="75" spans="1:109" x14ac:dyDescent="0.2">
      <c r="A75" t="s">
        <v>1310</v>
      </c>
      <c r="B75" s="12">
        <f>P75+AD75+AR75+BF75+BT75+CH75</f>
        <v>0</v>
      </c>
      <c r="C75" s="12">
        <f t="shared" si="117"/>
        <v>0</v>
      </c>
      <c r="D75" s="12">
        <f t="shared" si="118"/>
        <v>0</v>
      </c>
      <c r="E75" s="12">
        <f t="shared" si="119"/>
        <v>0</v>
      </c>
      <c r="F75" s="12">
        <f t="shared" si="120"/>
        <v>0</v>
      </c>
      <c r="G75" s="12">
        <f t="shared" si="121"/>
        <v>0</v>
      </c>
      <c r="H75" s="12">
        <f t="shared" si="122"/>
        <v>0</v>
      </c>
      <c r="I75" s="12">
        <f t="shared" si="123"/>
        <v>0</v>
      </c>
      <c r="J75" s="12">
        <f t="shared" si="124"/>
        <v>0</v>
      </c>
      <c r="P75" s="12">
        <f>P$5*AA75</f>
        <v>0</v>
      </c>
      <c r="Q75" s="12">
        <f>Q$5*AA75</f>
        <v>0</v>
      </c>
      <c r="R75" s="12">
        <f>R$5*AA75</f>
        <v>0</v>
      </c>
      <c r="S75" s="12">
        <f>S$5*AA75</f>
        <v>0</v>
      </c>
      <c r="T75" s="12">
        <f>T$5*AA75</f>
        <v>0</v>
      </c>
      <c r="U75" s="12">
        <f>U$5*AA75</f>
        <v>0</v>
      </c>
      <c r="V75" s="12">
        <f>V$5*AA75</f>
        <v>0</v>
      </c>
      <c r="W75" s="12">
        <f>W$5*AA75</f>
        <v>0</v>
      </c>
      <c r="X75" s="12">
        <f>X$5*AA75</f>
        <v>0</v>
      </c>
      <c r="Z75" t="s">
        <v>1303</v>
      </c>
      <c r="AA75">
        <f>_xlfn.XLOOKUP(Z75,'KPI Impacts'!$B$2:$H$2,'KPI Impacts'!$B75:$H75)</f>
        <v>0</v>
      </c>
      <c r="AD75" s="12">
        <f>AD$5*AO75</f>
        <v>0</v>
      </c>
      <c r="AE75" s="12">
        <f>AE$5*AO75</f>
        <v>0</v>
      </c>
      <c r="AF75" s="12">
        <f>AF$5*AO75</f>
        <v>0</v>
      </c>
      <c r="AG75" s="12">
        <f>AG$5*AO75</f>
        <v>0</v>
      </c>
      <c r="AH75" s="12">
        <f>AH$5*AO75</f>
        <v>0</v>
      </c>
      <c r="AI75" s="12">
        <f>AI$5*AO75</f>
        <v>0</v>
      </c>
      <c r="AJ75" s="12">
        <f>AJ$5*AO75</f>
        <v>0</v>
      </c>
      <c r="AK75" s="12">
        <f>AK$5*AO75</f>
        <v>0</v>
      </c>
      <c r="AL75" s="12">
        <f>AL$5*AO75</f>
        <v>0</v>
      </c>
      <c r="AN75" s="16" t="s">
        <v>1303</v>
      </c>
      <c r="AO75">
        <f>_xlfn.XLOOKUP(AN75,'KPI Impacts'!$B$2:$H$2,'KPI Impacts'!$B75:$H75)</f>
        <v>0</v>
      </c>
      <c r="AR75" s="12">
        <f>AR$5*BC75</f>
        <v>0</v>
      </c>
      <c r="AS75" s="12">
        <f>AS$5*BC75</f>
        <v>0</v>
      </c>
      <c r="AT75" s="12">
        <f>AT$5*BC75</f>
        <v>0</v>
      </c>
      <c r="AU75" s="12">
        <f>AU$5*BC75</f>
        <v>0</v>
      </c>
      <c r="AV75" s="12">
        <f>AV$5*BC75</f>
        <v>0</v>
      </c>
      <c r="AW75" s="12">
        <f>AW$5*BC75</f>
        <v>0</v>
      </c>
      <c r="AX75" s="12">
        <f>AX$5*BC75</f>
        <v>0</v>
      </c>
      <c r="AY75" s="12">
        <f>AY$5*BC75</f>
        <v>0</v>
      </c>
      <c r="AZ75" s="12">
        <f>AZ$5*BC75</f>
        <v>0</v>
      </c>
      <c r="BB75" s="16" t="s">
        <v>1303</v>
      </c>
      <c r="BC75">
        <f>_xlfn.XLOOKUP(BB75,'KPI Impacts'!$B$2:$H$2,'KPI Impacts'!$B75:$H75)</f>
        <v>0</v>
      </c>
      <c r="BF75" s="12">
        <f>BF$5*BQ75</f>
        <v>0</v>
      </c>
      <c r="BG75" s="12">
        <f>BG$5*BQ75</f>
        <v>0</v>
      </c>
      <c r="BH75" s="12">
        <f>BH$5*BQ75</f>
        <v>0</v>
      </c>
      <c r="BI75" s="12">
        <f>BI$5*BQ75</f>
        <v>0</v>
      </c>
      <c r="BJ75" s="12">
        <f>BJ$5*BQ75</f>
        <v>0</v>
      </c>
      <c r="BK75" s="12">
        <f>BK$5*BQ75</f>
        <v>0</v>
      </c>
      <c r="BL75" s="12">
        <f>BL$5*BQ75</f>
        <v>0</v>
      </c>
      <c r="BM75" s="12">
        <f>BM$5*BQ75</f>
        <v>0</v>
      </c>
      <c r="BN75" s="12">
        <f>BN$5*BQ75</f>
        <v>0</v>
      </c>
      <c r="BP75" s="16" t="s">
        <v>1303</v>
      </c>
      <c r="BQ75">
        <f>_xlfn.XLOOKUP(BP75,'KPI Impacts'!$B$2:$H$2,'KPI Impacts'!$B75:$H75)</f>
        <v>0</v>
      </c>
      <c r="BT75" s="12">
        <f>BT$5*CE75</f>
        <v>0</v>
      </c>
      <c r="BU75" s="12">
        <f>BU$5*CE75</f>
        <v>0</v>
      </c>
      <c r="BV75" s="12">
        <f>BV$5*CE75</f>
        <v>0</v>
      </c>
      <c r="BW75" s="12">
        <f>BW$5*CE75</f>
        <v>0</v>
      </c>
      <c r="BX75" s="12">
        <f>BX$5*CE75</f>
        <v>0</v>
      </c>
      <c r="BY75" s="12">
        <f>BY$5*CE75</f>
        <v>0</v>
      </c>
      <c r="BZ75" s="12">
        <f>BZ$5*CE75</f>
        <v>0</v>
      </c>
      <c r="CA75" s="12">
        <f>CA$5*CE75</f>
        <v>0</v>
      </c>
      <c r="CB75" s="12">
        <f>CB$5*CE75</f>
        <v>0</v>
      </c>
      <c r="CD75" s="16" t="s">
        <v>1303</v>
      </c>
      <c r="CE75">
        <f>_xlfn.XLOOKUP(CD75,'KPI Impacts'!$B$2:$H$2,'KPI Impacts'!$B75:$H75)</f>
        <v>0</v>
      </c>
      <c r="CH75" s="12">
        <f>CH$5*CS75</f>
        <v>0</v>
      </c>
      <c r="CI75" s="12">
        <f>CI$5*CS75</f>
        <v>0</v>
      </c>
      <c r="CJ75" s="12">
        <f>CJ$5*CS75</f>
        <v>0</v>
      </c>
      <c r="CK75" s="12">
        <f>CK$5*CS75</f>
        <v>0</v>
      </c>
      <c r="CL75" s="12">
        <f>CL$5*CS75</f>
        <v>0</v>
      </c>
      <c r="CM75" s="12">
        <f>CM$5*CS75</f>
        <v>0</v>
      </c>
      <c r="CN75" s="12">
        <f>CN$5*CS75</f>
        <v>0</v>
      </c>
      <c r="CO75" s="12">
        <f>CO$5*CS75</f>
        <v>0</v>
      </c>
      <c r="CP75" s="12">
        <f>CP$5*CS75</f>
        <v>0</v>
      </c>
      <c r="CR75" s="16" t="s">
        <v>1303</v>
      </c>
      <c r="CS75">
        <f>_xlfn.XLOOKUP(CR75,'KPI Impacts'!$B$2:$H$2,'KPI Impacts'!$B75:$H75)</f>
        <v>0</v>
      </c>
      <c r="CW75" s="12"/>
      <c r="CX75" s="12"/>
      <c r="CY75" s="12"/>
      <c r="CZ75" s="12"/>
      <c r="DA75" s="12"/>
      <c r="DB75" s="12"/>
      <c r="DC75" s="12"/>
      <c r="DD75" s="12"/>
      <c r="DE75" s="12"/>
    </row>
    <row r="76" spans="1:109" x14ac:dyDescent="0.2">
      <c r="A76" t="s">
        <v>1311</v>
      </c>
      <c r="B76" s="12">
        <f>P76+AD76+AR76+BF76+BT76+CH76</f>
        <v>0</v>
      </c>
      <c r="C76" s="12">
        <f t="shared" si="117"/>
        <v>0</v>
      </c>
      <c r="D76" s="12">
        <f t="shared" si="118"/>
        <v>0</v>
      </c>
      <c r="E76" s="12">
        <f t="shared" si="119"/>
        <v>0</v>
      </c>
      <c r="F76" s="12">
        <f t="shared" si="120"/>
        <v>0</v>
      </c>
      <c r="G76" s="12">
        <f t="shared" si="121"/>
        <v>0</v>
      </c>
      <c r="H76" s="12">
        <f t="shared" si="122"/>
        <v>0</v>
      </c>
      <c r="I76" s="12">
        <f t="shared" si="123"/>
        <v>0</v>
      </c>
      <c r="J76" s="12">
        <f t="shared" si="124"/>
        <v>0</v>
      </c>
      <c r="P76" s="12">
        <f>P$5*AA76</f>
        <v>0</v>
      </c>
      <c r="Q76" s="12">
        <f>Q$5*AA76</f>
        <v>0</v>
      </c>
      <c r="R76" s="12">
        <f>R$5*AA76</f>
        <v>0</v>
      </c>
      <c r="S76" s="12">
        <f>S$5*AA76</f>
        <v>0</v>
      </c>
      <c r="T76" s="12">
        <f>T$5*AA76</f>
        <v>0</v>
      </c>
      <c r="U76" s="12">
        <f>U$5*AA76</f>
        <v>0</v>
      </c>
      <c r="V76" s="12">
        <f>V$5*AA76</f>
        <v>0</v>
      </c>
      <c r="W76" s="12">
        <f>W$5*AA76</f>
        <v>0</v>
      </c>
      <c r="X76" s="12">
        <f>X$5*AA76</f>
        <v>0</v>
      </c>
      <c r="Z76" t="s">
        <v>1303</v>
      </c>
      <c r="AA76">
        <f>_xlfn.XLOOKUP(Z76,'KPI Impacts'!$B$2:$H$2,'KPI Impacts'!$B76:$H76)</f>
        <v>0</v>
      </c>
      <c r="AD76" s="12">
        <f>AD$5*AO76</f>
        <v>0</v>
      </c>
      <c r="AE76" s="12">
        <f>AE$5*AO76</f>
        <v>0</v>
      </c>
      <c r="AF76" s="12">
        <f>AF$5*AO76</f>
        <v>0</v>
      </c>
      <c r="AG76" s="12">
        <f>AG$5*AO76</f>
        <v>0</v>
      </c>
      <c r="AH76" s="12">
        <f>AH$5*AO76</f>
        <v>0</v>
      </c>
      <c r="AI76" s="12">
        <f>AI$5*AO76</f>
        <v>0</v>
      </c>
      <c r="AJ76" s="12">
        <f>AJ$5*AO76</f>
        <v>0</v>
      </c>
      <c r="AK76" s="12">
        <f>AK$5*AO76</f>
        <v>0</v>
      </c>
      <c r="AL76" s="12">
        <f>AL$5*AO76</f>
        <v>0</v>
      </c>
      <c r="AN76" s="16" t="s">
        <v>1303</v>
      </c>
      <c r="AO76">
        <f>_xlfn.XLOOKUP(AN76,'KPI Impacts'!$B$2:$H$2,'KPI Impacts'!$B76:$H76)</f>
        <v>0</v>
      </c>
      <c r="AR76" s="12">
        <f>AR$5*BC76</f>
        <v>0</v>
      </c>
      <c r="AS76" s="12">
        <f>AS$5*BC76</f>
        <v>0</v>
      </c>
      <c r="AT76" s="12">
        <f>AT$5*BC76</f>
        <v>0</v>
      </c>
      <c r="AU76" s="12">
        <f>AU$5*BC76</f>
        <v>0</v>
      </c>
      <c r="AV76" s="12">
        <f>AV$5*BC76</f>
        <v>0</v>
      </c>
      <c r="AW76" s="12">
        <f>AW$5*BC76</f>
        <v>0</v>
      </c>
      <c r="AX76" s="12">
        <f>AX$5*BC76</f>
        <v>0</v>
      </c>
      <c r="AY76" s="12">
        <f>AY$5*BC76</f>
        <v>0</v>
      </c>
      <c r="AZ76" s="12">
        <f>AZ$5*BC76</f>
        <v>0</v>
      </c>
      <c r="BB76" s="16" t="s">
        <v>1303</v>
      </c>
      <c r="BC76">
        <f>_xlfn.XLOOKUP(BB76,'KPI Impacts'!$B$2:$H$2,'KPI Impacts'!$B76:$H76)</f>
        <v>0</v>
      </c>
      <c r="BF76" s="12">
        <f>BF$5*BQ76</f>
        <v>0</v>
      </c>
      <c r="BG76" s="12">
        <f>BG$5*BQ76</f>
        <v>0</v>
      </c>
      <c r="BH76" s="12">
        <f>BH$5*BQ76</f>
        <v>0</v>
      </c>
      <c r="BI76" s="12">
        <f>BI$5*BQ76</f>
        <v>0</v>
      </c>
      <c r="BJ76" s="12">
        <f>BJ$5*BQ76</f>
        <v>0</v>
      </c>
      <c r="BK76" s="12">
        <f>BK$5*BQ76</f>
        <v>0</v>
      </c>
      <c r="BL76" s="12">
        <f>BL$5*BQ76</f>
        <v>0</v>
      </c>
      <c r="BM76" s="12">
        <f>BM$5*BQ76</f>
        <v>0</v>
      </c>
      <c r="BN76" s="12">
        <f>BN$5*BQ76</f>
        <v>0</v>
      </c>
      <c r="BP76" s="16" t="s">
        <v>1303</v>
      </c>
      <c r="BQ76">
        <f>_xlfn.XLOOKUP(BP76,'KPI Impacts'!$B$2:$H$2,'KPI Impacts'!$B76:$H76)</f>
        <v>0</v>
      </c>
      <c r="BT76" s="12">
        <f>BT$5*CE76</f>
        <v>0</v>
      </c>
      <c r="BU76" s="12">
        <f>BU$5*CE76</f>
        <v>0</v>
      </c>
      <c r="BV76" s="12">
        <f>BV$5*CE76</f>
        <v>0</v>
      </c>
      <c r="BW76" s="12">
        <f>BW$5*CE76</f>
        <v>0</v>
      </c>
      <c r="BX76" s="12">
        <f>BX$5*CE76</f>
        <v>0</v>
      </c>
      <c r="BY76" s="12">
        <f>BY$5*CE76</f>
        <v>0</v>
      </c>
      <c r="BZ76" s="12">
        <f>BZ$5*CE76</f>
        <v>0</v>
      </c>
      <c r="CA76" s="12">
        <f>CA$5*CE76</f>
        <v>0</v>
      </c>
      <c r="CB76" s="12">
        <f>CB$5*CE76</f>
        <v>0</v>
      </c>
      <c r="CD76" s="16" t="s">
        <v>1303</v>
      </c>
      <c r="CE76">
        <f>_xlfn.XLOOKUP(CD76,'KPI Impacts'!$B$2:$H$2,'KPI Impacts'!$B76:$H76)</f>
        <v>0</v>
      </c>
      <c r="CH76" s="12">
        <f>CH$5*CS76</f>
        <v>0</v>
      </c>
      <c r="CI76" s="12">
        <f>CI$5*CS76</f>
        <v>0</v>
      </c>
      <c r="CJ76" s="12">
        <f>CJ$5*CS76</f>
        <v>0</v>
      </c>
      <c r="CK76" s="12">
        <f>CK$5*CS76</f>
        <v>0</v>
      </c>
      <c r="CL76" s="12">
        <f>CL$5*CS76</f>
        <v>0</v>
      </c>
      <c r="CM76" s="12">
        <f>CM$5*CS76</f>
        <v>0</v>
      </c>
      <c r="CN76" s="12">
        <f>CN$5*CS76</f>
        <v>0</v>
      </c>
      <c r="CO76" s="12">
        <f>CO$5*CS76</f>
        <v>0</v>
      </c>
      <c r="CP76" s="12">
        <f>CP$5*CS76</f>
        <v>0</v>
      </c>
      <c r="CR76" s="16" t="s">
        <v>1303</v>
      </c>
      <c r="CS76">
        <f>_xlfn.XLOOKUP(CR76,'KPI Impacts'!$B$2:$H$2,'KPI Impacts'!$B76:$H76)</f>
        <v>0</v>
      </c>
      <c r="CW76" s="12"/>
      <c r="CX76" s="12"/>
      <c r="CY76" s="12"/>
      <c r="CZ76" s="12"/>
      <c r="DA76" s="12"/>
      <c r="DB76" s="12"/>
      <c r="DC76" s="12"/>
      <c r="DD76" s="12"/>
      <c r="DE76" s="12"/>
    </row>
    <row r="77" spans="1:109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AN77" s="16"/>
      <c r="BB77" s="16"/>
      <c r="BP77" s="16"/>
      <c r="CD77" s="16"/>
      <c r="CR77" s="16"/>
      <c r="CZ77" s="12"/>
      <c r="DA77" s="12"/>
    </row>
    <row r="78" spans="1:109" hidden="1" x14ac:dyDescent="0.2">
      <c r="AN78" s="16"/>
      <c r="BB78" s="16"/>
      <c r="BP78" s="16"/>
      <c r="CD78" s="16"/>
      <c r="CR78" s="16"/>
      <c r="CZ78" s="12"/>
      <c r="DA78" s="12"/>
    </row>
    <row r="79" spans="1:109" hidden="1" x14ac:dyDescent="0.2">
      <c r="AN79" s="16"/>
      <c r="BB79" s="16"/>
      <c r="BP79" s="16"/>
      <c r="CD79" s="16"/>
      <c r="CR79" s="16"/>
      <c r="CZ79" s="12"/>
      <c r="DA79" s="12"/>
    </row>
    <row r="80" spans="1:109" x14ac:dyDescent="0.2">
      <c r="AN80" s="16"/>
      <c r="BB80" s="16"/>
      <c r="BP80" s="16"/>
      <c r="CD80" s="16"/>
      <c r="CR80" s="16"/>
      <c r="CZ80" s="12"/>
      <c r="DA80" s="12"/>
    </row>
    <row r="81" spans="1:109" x14ac:dyDescent="0.2">
      <c r="A81" s="5" t="s">
        <v>51</v>
      </c>
      <c r="AN81" s="16"/>
      <c r="BB81" s="16"/>
      <c r="BP81" s="16"/>
      <c r="CD81" s="16"/>
      <c r="CR81" s="16"/>
      <c r="CZ81" s="12"/>
      <c r="DA81" s="12"/>
    </row>
    <row r="82" spans="1:109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AD82" s="12"/>
      <c r="AE82" s="12"/>
      <c r="AF82" s="12"/>
      <c r="AG82" s="12"/>
      <c r="AH82" s="12"/>
      <c r="AI82" s="12"/>
      <c r="AJ82" s="12"/>
      <c r="AK82" s="12"/>
      <c r="AL82" s="12"/>
      <c r="AN82" s="16"/>
      <c r="AR82" s="12"/>
      <c r="AS82" s="12"/>
      <c r="AT82" s="12"/>
      <c r="AU82" s="12"/>
      <c r="AV82" s="12"/>
      <c r="AW82" s="12"/>
      <c r="AX82" s="12"/>
      <c r="AY82" s="12"/>
      <c r="AZ82" s="12"/>
      <c r="BB82" s="16"/>
      <c r="BF82" s="12"/>
      <c r="BG82" s="12"/>
      <c r="BH82" s="12"/>
      <c r="BI82" s="12"/>
      <c r="BJ82" s="12"/>
      <c r="BK82" s="12"/>
      <c r="BL82" s="12"/>
      <c r="BM82" s="12"/>
      <c r="BN82" s="12"/>
      <c r="BP82" s="16"/>
      <c r="BT82" s="12"/>
      <c r="BU82" s="12"/>
      <c r="BV82" s="12"/>
      <c r="BW82" s="12"/>
      <c r="BX82" s="12"/>
      <c r="BY82" s="12"/>
      <c r="BZ82" s="12"/>
      <c r="CA82" s="12"/>
      <c r="CB82" s="12"/>
      <c r="CD82" s="16"/>
      <c r="CH82" s="12"/>
      <c r="CI82" s="12"/>
      <c r="CJ82" s="12"/>
      <c r="CK82" s="12"/>
      <c r="CL82" s="12"/>
      <c r="CM82" s="12"/>
      <c r="CN82" s="12"/>
      <c r="CO82" s="12"/>
      <c r="CP82" s="12"/>
      <c r="CR82" s="16"/>
      <c r="CW82" s="12"/>
      <c r="CX82" s="12"/>
      <c r="CY82" s="12"/>
      <c r="CZ82" s="12"/>
      <c r="DA82" s="12"/>
      <c r="DB82" s="12"/>
      <c r="DC82" s="12"/>
      <c r="DD82" s="12"/>
      <c r="DE82" s="12"/>
    </row>
    <row r="83" spans="1:109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AD83" s="12"/>
      <c r="AE83" s="12"/>
      <c r="AF83" s="12"/>
      <c r="AG83" s="12"/>
      <c r="AH83" s="12"/>
      <c r="AI83" s="12"/>
      <c r="AJ83" s="12"/>
      <c r="AK83" s="12"/>
      <c r="AL83" s="12"/>
      <c r="AN83" s="16"/>
      <c r="AR83" s="12"/>
      <c r="AS83" s="12"/>
      <c r="AT83" s="12"/>
      <c r="AU83" s="12"/>
      <c r="AV83" s="12"/>
      <c r="AW83" s="12"/>
      <c r="AX83" s="12"/>
      <c r="AY83" s="12"/>
      <c r="AZ83" s="12"/>
      <c r="BB83" s="16"/>
      <c r="BF83" s="12"/>
      <c r="BG83" s="12"/>
      <c r="BH83" s="12"/>
      <c r="BI83" s="12"/>
      <c r="BJ83" s="12"/>
      <c r="BK83" s="12"/>
      <c r="BL83" s="12"/>
      <c r="BM83" s="12"/>
      <c r="BN83" s="12"/>
      <c r="BP83" s="16"/>
      <c r="BT83" s="12"/>
      <c r="BU83" s="12"/>
      <c r="BV83" s="12"/>
      <c r="BW83" s="12"/>
      <c r="BX83" s="12"/>
      <c r="BY83" s="12"/>
      <c r="BZ83" s="12"/>
      <c r="CA83" s="12"/>
      <c r="CB83" s="12"/>
      <c r="CD83" s="16"/>
      <c r="CH83" s="12"/>
      <c r="CI83" s="12"/>
      <c r="CJ83" s="12"/>
      <c r="CK83" s="12"/>
      <c r="CL83" s="12"/>
      <c r="CM83" s="12"/>
      <c r="CN83" s="12"/>
      <c r="CO83" s="12"/>
      <c r="CP83" s="12"/>
      <c r="CR83" s="16"/>
      <c r="CW83" s="12"/>
      <c r="CX83" s="12"/>
      <c r="CY83" s="12"/>
      <c r="CZ83" s="12"/>
      <c r="DA83" s="12"/>
      <c r="DB83" s="12"/>
      <c r="DC83" s="12"/>
      <c r="DD83" s="12"/>
      <c r="DE83" s="12"/>
    </row>
    <row r="84" spans="1:109" x14ac:dyDescent="0.2">
      <c r="A84" s="17" t="s">
        <v>1709</v>
      </c>
      <c r="B84" s="12">
        <f>P84+AD84+AR84+BF84+BT84+CH84</f>
        <v>0</v>
      </c>
      <c r="C84" s="12">
        <f t="shared" ref="C84:C86" si="125">Q84+AE84+AS84+BG84+BU84+CI84</f>
        <v>0</v>
      </c>
      <c r="D84" s="12">
        <f t="shared" ref="D84:D86" si="126">R84+AF84+AT84+BH84+BV84+CJ84</f>
        <v>0</v>
      </c>
      <c r="E84" s="12">
        <f t="shared" ref="E84:E86" si="127">S84+AG84+AU84+BI84+BW84+CK84</f>
        <v>0</v>
      </c>
      <c r="F84" s="12">
        <f t="shared" ref="F84:F86" si="128">T84+AH84+AV84+BJ84+BX84+CL84</f>
        <v>0</v>
      </c>
      <c r="G84" s="12">
        <f t="shared" ref="G84:G86" si="129">U84+AI84+AW84+BK84+BY84+CM84</f>
        <v>0</v>
      </c>
      <c r="H84" s="12">
        <f t="shared" ref="H84:H86" si="130">V84+AJ84+AX84+BL84+BZ84+CN84</f>
        <v>0</v>
      </c>
      <c r="I84" s="12">
        <f t="shared" ref="I84:I86" si="131">W84+AK84+AY84+BM84+CA84+CO84</f>
        <v>0</v>
      </c>
      <c r="J84" s="12">
        <f t="shared" ref="J84:J86" si="132">X84+AL84+AZ84+BN84+CB84+CP84</f>
        <v>0</v>
      </c>
      <c r="P84" s="12">
        <f>P$5*AA84</f>
        <v>0</v>
      </c>
      <c r="Q84" s="12">
        <f>Q$5*AA84</f>
        <v>0</v>
      </c>
      <c r="R84" s="12">
        <f>R$5*AA84</f>
        <v>0</v>
      </c>
      <c r="S84" s="12">
        <f>S$5*AA84</f>
        <v>0</v>
      </c>
      <c r="T84" s="12">
        <f>T$5*AA84</f>
        <v>0</v>
      </c>
      <c r="U84" s="12">
        <f>U$5*AA84</f>
        <v>0</v>
      </c>
      <c r="V84" s="12">
        <f>V$5*AA84</f>
        <v>0</v>
      </c>
      <c r="W84" s="12">
        <f>W$5*AA84</f>
        <v>0</v>
      </c>
      <c r="X84" s="12">
        <f>X$5*AA84</f>
        <v>0</v>
      </c>
      <c r="Z84" t="s">
        <v>1303</v>
      </c>
      <c r="AA84">
        <f>_xlfn.XLOOKUP(Z84,'KPI Impacts'!$B$2:$H$2,'KPI Impacts'!$B84:$H84)</f>
        <v>0</v>
      </c>
      <c r="AD84" s="12">
        <f>AD$5*AO84</f>
        <v>0</v>
      </c>
      <c r="AE84" s="12">
        <f>AE$5*AO84</f>
        <v>0</v>
      </c>
      <c r="AF84" s="12">
        <f>AF$5*AO84</f>
        <v>0</v>
      </c>
      <c r="AG84" s="12">
        <f>AG$5*AO84</f>
        <v>0</v>
      </c>
      <c r="AH84" s="12">
        <f>AH$5*AO84</f>
        <v>0</v>
      </c>
      <c r="AI84" s="12">
        <f>AI$5*AO84</f>
        <v>0</v>
      </c>
      <c r="AJ84" s="12">
        <f>AJ$5*AO84</f>
        <v>0</v>
      </c>
      <c r="AK84" s="12">
        <f>AK$5*AO84</f>
        <v>0</v>
      </c>
      <c r="AL84" s="12">
        <f>AL$5*AO84</f>
        <v>0</v>
      </c>
      <c r="AN84" s="16" t="s">
        <v>1303</v>
      </c>
      <c r="AO84">
        <f>_xlfn.XLOOKUP(AN84,'KPI Impacts'!$B$2:$H$2,'KPI Impacts'!$B84:$H84)</f>
        <v>0</v>
      </c>
      <c r="AR84" s="12">
        <f>AR$5*BC84</f>
        <v>0</v>
      </c>
      <c r="AS84" s="12">
        <f>AS$5*BC84</f>
        <v>0</v>
      </c>
      <c r="AT84" s="12">
        <f>AT$5*BC84</f>
        <v>0</v>
      </c>
      <c r="AU84" s="12">
        <f>AU$5*BC84</f>
        <v>0</v>
      </c>
      <c r="AV84" s="12">
        <f>AV$5*BC84</f>
        <v>0</v>
      </c>
      <c r="AW84" s="12">
        <f>AW$5*BC84</f>
        <v>0</v>
      </c>
      <c r="AX84" s="12">
        <f>AX$5*BC84</f>
        <v>0</v>
      </c>
      <c r="AY84" s="12">
        <f>AY$5*BC84</f>
        <v>0</v>
      </c>
      <c r="AZ84" s="12">
        <f>AZ$5*BC84</f>
        <v>0</v>
      </c>
      <c r="BB84" s="16" t="s">
        <v>1303</v>
      </c>
      <c r="BC84">
        <f>_xlfn.XLOOKUP(BB84,'KPI Impacts'!$B$2:$H$2,'KPI Impacts'!$B84:$H84)</f>
        <v>0</v>
      </c>
      <c r="BF84" s="12">
        <f>BF$5*BQ84</f>
        <v>0</v>
      </c>
      <c r="BG84" s="12">
        <f>BG$5*BQ84</f>
        <v>0</v>
      </c>
      <c r="BH84" s="12">
        <f>BH$5*BQ84</f>
        <v>0</v>
      </c>
      <c r="BI84" s="12">
        <f>BI$5*BQ84</f>
        <v>0</v>
      </c>
      <c r="BJ84" s="12">
        <f>BJ$5*BQ84</f>
        <v>0</v>
      </c>
      <c r="BK84" s="12">
        <f>BK$5*BQ84</f>
        <v>0</v>
      </c>
      <c r="BL84" s="12">
        <f>BL$5*BQ84</f>
        <v>0</v>
      </c>
      <c r="BM84" s="12">
        <f>BM$5*BQ84</f>
        <v>0</v>
      </c>
      <c r="BN84" s="12">
        <f>BN$5*BQ84</f>
        <v>0</v>
      </c>
      <c r="BP84" s="16" t="s">
        <v>1303</v>
      </c>
      <c r="BQ84">
        <f>_xlfn.XLOOKUP(BP84,'KPI Impacts'!$B$2:$H$2,'KPI Impacts'!$B84:$H84)</f>
        <v>0</v>
      </c>
      <c r="BT84" s="12">
        <f>BT$5*CE84</f>
        <v>0</v>
      </c>
      <c r="BU84" s="12">
        <f>BU$5*CE84</f>
        <v>0</v>
      </c>
      <c r="BV84" s="12">
        <f>BV$5*CE84</f>
        <v>0</v>
      </c>
      <c r="BW84" s="12">
        <f>BW$5*CE84</f>
        <v>0</v>
      </c>
      <c r="BX84" s="12">
        <f>BX$5*CE84</f>
        <v>0</v>
      </c>
      <c r="BY84" s="12">
        <f>BY$5*CE84</f>
        <v>0</v>
      </c>
      <c r="BZ84" s="12">
        <f>BZ$5*CE84</f>
        <v>0</v>
      </c>
      <c r="CA84" s="12">
        <f>CA$5*CE84</f>
        <v>0</v>
      </c>
      <c r="CB84" s="12">
        <f>CB$5*CE84</f>
        <v>0</v>
      </c>
      <c r="CD84" s="16" t="s">
        <v>1303</v>
      </c>
      <c r="CE84">
        <f>_xlfn.XLOOKUP(CD84,'KPI Impacts'!$B$2:$H$2,'KPI Impacts'!$B84:$H84)</f>
        <v>0</v>
      </c>
      <c r="CH84" s="12">
        <f>CH$5*CS84</f>
        <v>0</v>
      </c>
      <c r="CI84" s="12">
        <f>CI$5*CS84</f>
        <v>0</v>
      </c>
      <c r="CJ84" s="12">
        <f>CJ$5*CS84</f>
        <v>0</v>
      </c>
      <c r="CK84" s="12">
        <f>CK$5*CS84</f>
        <v>0</v>
      </c>
      <c r="CL84" s="12">
        <f>CL$5*CS84</f>
        <v>0</v>
      </c>
      <c r="CM84" s="12">
        <f>CM$5*CS84</f>
        <v>0</v>
      </c>
      <c r="CN84" s="12">
        <f>CN$5*CS84</f>
        <v>0</v>
      </c>
      <c r="CO84" s="12">
        <f>CO$5*CS84</f>
        <v>0</v>
      </c>
      <c r="CP84" s="12">
        <f>CP$5*CS84</f>
        <v>0</v>
      </c>
      <c r="CR84" s="16" t="s">
        <v>1303</v>
      </c>
      <c r="CS84">
        <f>_xlfn.XLOOKUP(CR84,'KPI Impacts'!$B$2:$H$2,'KPI Impacts'!$B84:$H84)</f>
        <v>0</v>
      </c>
      <c r="CZ84" s="12"/>
      <c r="DA84" s="12"/>
    </row>
    <row r="85" spans="1:109" x14ac:dyDescent="0.2">
      <c r="A85" s="9" t="s">
        <v>1314</v>
      </c>
      <c r="B85" s="12">
        <f>P85+AD85+AR85+BF85+BT85+CH85</f>
        <v>0</v>
      </c>
      <c r="C85" s="12">
        <f t="shared" si="125"/>
        <v>0</v>
      </c>
      <c r="D85" s="12">
        <f t="shared" si="126"/>
        <v>0</v>
      </c>
      <c r="E85" s="12">
        <f t="shared" si="127"/>
        <v>0</v>
      </c>
      <c r="F85" s="12">
        <f t="shared" si="128"/>
        <v>0</v>
      </c>
      <c r="G85" s="12">
        <f t="shared" si="129"/>
        <v>0</v>
      </c>
      <c r="H85" s="12">
        <f t="shared" si="130"/>
        <v>0</v>
      </c>
      <c r="I85" s="12">
        <f t="shared" si="131"/>
        <v>0</v>
      </c>
      <c r="J85" s="12">
        <f t="shared" si="132"/>
        <v>0</v>
      </c>
      <c r="P85" s="12">
        <f>P$5*AA85</f>
        <v>0</v>
      </c>
      <c r="Q85" s="12">
        <f>Q$5*AA85</f>
        <v>0</v>
      </c>
      <c r="R85" s="12">
        <f>R$5*AA85</f>
        <v>0</v>
      </c>
      <c r="S85" s="12">
        <f>S$5*AA85</f>
        <v>0</v>
      </c>
      <c r="T85" s="12">
        <f>T$5*AA85</f>
        <v>0</v>
      </c>
      <c r="U85" s="12">
        <f>U$5*AA85</f>
        <v>0</v>
      </c>
      <c r="V85" s="12">
        <f>V$5*AA85</f>
        <v>0</v>
      </c>
      <c r="W85" s="12">
        <f>W$5*AA85</f>
        <v>0</v>
      </c>
      <c r="X85" s="12">
        <f>X$5*AA85</f>
        <v>0</v>
      </c>
      <c r="Z85" t="s">
        <v>1303</v>
      </c>
      <c r="AA85">
        <f>_xlfn.XLOOKUP(Z85,'KPI Impacts'!$B$2:$H$2,'KPI Impacts'!$B85:$H85)</f>
        <v>0</v>
      </c>
      <c r="AD85" s="12">
        <f>AD$5*AO85</f>
        <v>0</v>
      </c>
      <c r="AE85" s="12">
        <f>AE$5*AO85</f>
        <v>0</v>
      </c>
      <c r="AF85" s="12">
        <f>AF$5*AO85</f>
        <v>0</v>
      </c>
      <c r="AG85" s="12">
        <f>AG$5*AO85</f>
        <v>0</v>
      </c>
      <c r="AH85" s="12">
        <f>AH$5*AO85</f>
        <v>0</v>
      </c>
      <c r="AI85" s="12">
        <f>AI$5*AO85</f>
        <v>0</v>
      </c>
      <c r="AJ85" s="12">
        <f>AJ$5*AO85</f>
        <v>0</v>
      </c>
      <c r="AK85" s="12">
        <f>AK$5*AO85</f>
        <v>0</v>
      </c>
      <c r="AL85" s="12">
        <f>AL$5*AO85</f>
        <v>0</v>
      </c>
      <c r="AN85" s="16" t="s">
        <v>1303</v>
      </c>
      <c r="AO85">
        <f>_xlfn.XLOOKUP(AN85,'KPI Impacts'!$B$2:$H$2,'KPI Impacts'!$B85:$H85)</f>
        <v>0</v>
      </c>
      <c r="AR85" s="12">
        <f>AR$5*BC85</f>
        <v>0</v>
      </c>
      <c r="AS85" s="12">
        <f>AS$5*BC85</f>
        <v>0</v>
      </c>
      <c r="AT85" s="12">
        <f>AT$5*BC85</f>
        <v>0</v>
      </c>
      <c r="AU85" s="12">
        <f>AU$5*BC85</f>
        <v>0</v>
      </c>
      <c r="AV85" s="12">
        <f>AV$5*BC85</f>
        <v>0</v>
      </c>
      <c r="AW85" s="12">
        <f>AW$5*BC85</f>
        <v>0</v>
      </c>
      <c r="AX85" s="12">
        <f>AX$5*BC85</f>
        <v>0</v>
      </c>
      <c r="AY85" s="12">
        <f>AY$5*BC85</f>
        <v>0</v>
      </c>
      <c r="AZ85" s="12">
        <f>AZ$5*BC85</f>
        <v>0</v>
      </c>
      <c r="BB85" s="16" t="s">
        <v>1303</v>
      </c>
      <c r="BC85">
        <f>_xlfn.XLOOKUP(BB85,'KPI Impacts'!$B$2:$H$2,'KPI Impacts'!$B85:$H85)</f>
        <v>0</v>
      </c>
      <c r="BF85" s="12">
        <f>BF$5*BQ85</f>
        <v>0</v>
      </c>
      <c r="BG85" s="12">
        <f>BG$5*BQ85</f>
        <v>0</v>
      </c>
      <c r="BH85" s="12">
        <f>BH$5*BQ85</f>
        <v>0</v>
      </c>
      <c r="BI85" s="12">
        <f>BI$5*BQ85</f>
        <v>0</v>
      </c>
      <c r="BJ85" s="12">
        <f>BJ$5*BQ85</f>
        <v>0</v>
      </c>
      <c r="BK85" s="12">
        <f>BK$5*BQ85</f>
        <v>0</v>
      </c>
      <c r="BL85" s="12">
        <f>BL$5*BQ85</f>
        <v>0</v>
      </c>
      <c r="BM85" s="12">
        <f>BM$5*BQ85</f>
        <v>0</v>
      </c>
      <c r="BN85" s="12">
        <f>BN$5*BQ85</f>
        <v>0</v>
      </c>
      <c r="BP85" s="16" t="s">
        <v>1303</v>
      </c>
      <c r="BQ85">
        <f>_xlfn.XLOOKUP(BP85,'KPI Impacts'!$B$2:$H$2,'KPI Impacts'!$B85:$H85)</f>
        <v>0</v>
      </c>
      <c r="BT85" s="12">
        <f>BT$5*CE85</f>
        <v>0</v>
      </c>
      <c r="BU85" s="12">
        <f>BU$5*CE85</f>
        <v>0</v>
      </c>
      <c r="BV85" s="12">
        <f>BV$5*CE85</f>
        <v>0</v>
      </c>
      <c r="BW85" s="12">
        <f>BW$5*CE85</f>
        <v>0</v>
      </c>
      <c r="BX85" s="12">
        <f>BX$5*CE85</f>
        <v>0</v>
      </c>
      <c r="BY85" s="12">
        <f>BY$5*CE85</f>
        <v>0</v>
      </c>
      <c r="BZ85" s="12">
        <f>BZ$5*CE85</f>
        <v>0</v>
      </c>
      <c r="CA85" s="12">
        <f>CA$5*CE85</f>
        <v>0</v>
      </c>
      <c r="CB85" s="12">
        <f>CB$5*CE85</f>
        <v>0</v>
      </c>
      <c r="CD85" s="16" t="s">
        <v>1303</v>
      </c>
      <c r="CE85">
        <f>_xlfn.XLOOKUP(CD85,'KPI Impacts'!$B$2:$H$2,'KPI Impacts'!$B85:$H85)</f>
        <v>0</v>
      </c>
      <c r="CH85" s="12">
        <f>CH$5*CS85</f>
        <v>0</v>
      </c>
      <c r="CI85" s="12">
        <f>CI$5*CS85</f>
        <v>0</v>
      </c>
      <c r="CJ85" s="12">
        <f>CJ$5*CS85</f>
        <v>0</v>
      </c>
      <c r="CK85" s="12">
        <f>CK$5*CS85</f>
        <v>0</v>
      </c>
      <c r="CL85" s="12">
        <f>CL$5*CS85</f>
        <v>0</v>
      </c>
      <c r="CM85" s="12">
        <f>CM$5*CS85</f>
        <v>0</v>
      </c>
      <c r="CN85" s="12">
        <f>CN$5*CS85</f>
        <v>0</v>
      </c>
      <c r="CO85" s="12">
        <f>CO$5*CS85</f>
        <v>0</v>
      </c>
      <c r="CP85" s="12">
        <f>CP$5*CS85</f>
        <v>0</v>
      </c>
      <c r="CR85" s="16" t="s">
        <v>1303</v>
      </c>
      <c r="CS85">
        <f>_xlfn.XLOOKUP(CR85,'KPI Impacts'!$B$2:$H$2,'KPI Impacts'!$B85:$H85)</f>
        <v>0</v>
      </c>
      <c r="CW85" s="12"/>
      <c r="CX85" s="12"/>
      <c r="CY85" s="12"/>
      <c r="CZ85" s="12"/>
      <c r="DA85" s="12"/>
      <c r="DB85" s="12"/>
      <c r="DC85" s="12"/>
      <c r="DD85" s="12"/>
      <c r="DE85" s="12"/>
    </row>
    <row r="86" spans="1:109" x14ac:dyDescent="0.2">
      <c r="A86" s="9" t="s">
        <v>1315</v>
      </c>
      <c r="B86" s="12">
        <f>P86+AD86+AR86+BF86+BT86+CH86</f>
        <v>0</v>
      </c>
      <c r="C86" s="12">
        <f t="shared" si="125"/>
        <v>0</v>
      </c>
      <c r="D86" s="12">
        <f t="shared" si="126"/>
        <v>0</v>
      </c>
      <c r="E86" s="12">
        <f t="shared" si="127"/>
        <v>0</v>
      </c>
      <c r="F86" s="12">
        <f t="shared" si="128"/>
        <v>0</v>
      </c>
      <c r="G86" s="12">
        <f t="shared" si="129"/>
        <v>0</v>
      </c>
      <c r="H86" s="12">
        <f t="shared" si="130"/>
        <v>0</v>
      </c>
      <c r="I86" s="12">
        <f t="shared" si="131"/>
        <v>0</v>
      </c>
      <c r="J86" s="12">
        <f t="shared" si="132"/>
        <v>0</v>
      </c>
      <c r="P86" s="12">
        <f>P$5*AA86</f>
        <v>0</v>
      </c>
      <c r="Q86" s="12">
        <f>Q$5*AA86</f>
        <v>0</v>
      </c>
      <c r="R86" s="12">
        <f>R$5*AA86</f>
        <v>0</v>
      </c>
      <c r="S86" s="12">
        <f>S$5*AA86</f>
        <v>0</v>
      </c>
      <c r="T86" s="12">
        <f>T$5*AA86</f>
        <v>0</v>
      </c>
      <c r="U86" s="12">
        <f>U$5*AA86</f>
        <v>0</v>
      </c>
      <c r="V86" s="12">
        <f>V$5*AA86</f>
        <v>0</v>
      </c>
      <c r="W86" s="12">
        <f>W$5*AA86</f>
        <v>0</v>
      </c>
      <c r="X86" s="12">
        <f>X$5*AA86</f>
        <v>0</v>
      </c>
      <c r="Z86" t="s">
        <v>1303</v>
      </c>
      <c r="AA86">
        <f>_xlfn.XLOOKUP(Z86,'KPI Impacts'!$B$2:$H$2,'KPI Impacts'!$B86:$H86)</f>
        <v>0</v>
      </c>
      <c r="AD86" s="12">
        <f>AD$5*AO86</f>
        <v>0</v>
      </c>
      <c r="AE86" s="12">
        <f>AE$5*AO86</f>
        <v>0</v>
      </c>
      <c r="AF86" s="12">
        <f>AF$5*AO86</f>
        <v>0</v>
      </c>
      <c r="AG86" s="12">
        <f>AG$5*AO86</f>
        <v>0</v>
      </c>
      <c r="AH86" s="12">
        <f>AH$5*AO86</f>
        <v>0</v>
      </c>
      <c r="AI86" s="12">
        <f>AI$5*AO86</f>
        <v>0</v>
      </c>
      <c r="AJ86" s="12">
        <f>AJ$5*AO86</f>
        <v>0</v>
      </c>
      <c r="AK86" s="12">
        <f>AK$5*AO86</f>
        <v>0</v>
      </c>
      <c r="AL86" s="12">
        <f>AL$5*AO86</f>
        <v>0</v>
      </c>
      <c r="AN86" s="16" t="s">
        <v>1303</v>
      </c>
      <c r="AO86">
        <f>_xlfn.XLOOKUP(AN86,'KPI Impacts'!$B$2:$H$2,'KPI Impacts'!$B86:$H86)</f>
        <v>0</v>
      </c>
      <c r="AR86" s="12">
        <f>AR$5*BC86</f>
        <v>0</v>
      </c>
      <c r="AS86" s="12">
        <f>AS$5*BC86</f>
        <v>0</v>
      </c>
      <c r="AT86" s="12">
        <f>AT$5*BC86</f>
        <v>0</v>
      </c>
      <c r="AU86" s="12">
        <f>AU$5*BC86</f>
        <v>0</v>
      </c>
      <c r="AV86" s="12">
        <f>AV$5*BC86</f>
        <v>0</v>
      </c>
      <c r="AW86" s="12">
        <f>AW$5*BC86</f>
        <v>0</v>
      </c>
      <c r="AX86" s="12">
        <f>AX$5*BC86</f>
        <v>0</v>
      </c>
      <c r="AY86" s="12">
        <f>AY$5*BC86</f>
        <v>0</v>
      </c>
      <c r="AZ86" s="12">
        <f>AZ$5*BC86</f>
        <v>0</v>
      </c>
      <c r="BB86" s="16" t="s">
        <v>1303</v>
      </c>
      <c r="BC86">
        <f>_xlfn.XLOOKUP(BB86,'KPI Impacts'!$B$2:$H$2,'KPI Impacts'!$B86:$H86)</f>
        <v>0</v>
      </c>
      <c r="BF86" s="12">
        <f>BF$5*BQ86</f>
        <v>0</v>
      </c>
      <c r="BG86" s="12">
        <f>BG$5*BQ86</f>
        <v>0</v>
      </c>
      <c r="BH86" s="12">
        <f>BH$5*BQ86</f>
        <v>0</v>
      </c>
      <c r="BI86" s="12">
        <f>BI$5*BQ86</f>
        <v>0</v>
      </c>
      <c r="BJ86" s="12">
        <f>BJ$5*BQ86</f>
        <v>0</v>
      </c>
      <c r="BK86" s="12">
        <f>BK$5*BQ86</f>
        <v>0</v>
      </c>
      <c r="BL86" s="12">
        <f>BL$5*BQ86</f>
        <v>0</v>
      </c>
      <c r="BM86" s="12">
        <f>BM$5*BQ86</f>
        <v>0</v>
      </c>
      <c r="BN86" s="12">
        <f>BN$5*BQ86</f>
        <v>0</v>
      </c>
      <c r="BP86" s="16" t="s">
        <v>1303</v>
      </c>
      <c r="BQ86">
        <f>_xlfn.XLOOKUP(BP86,'KPI Impacts'!$B$2:$H$2,'KPI Impacts'!$B86:$H86)</f>
        <v>0</v>
      </c>
      <c r="BT86" s="12">
        <f>BT$5*CE86</f>
        <v>0</v>
      </c>
      <c r="BU86" s="12">
        <f>BU$5*CE86</f>
        <v>0</v>
      </c>
      <c r="BV86" s="12">
        <f>BV$5*CE86</f>
        <v>0</v>
      </c>
      <c r="BW86" s="12">
        <f>BW$5*CE86</f>
        <v>0</v>
      </c>
      <c r="BX86" s="12">
        <f>BX$5*CE86</f>
        <v>0</v>
      </c>
      <c r="BY86" s="12">
        <f>BY$5*CE86</f>
        <v>0</v>
      </c>
      <c r="BZ86" s="12">
        <f>BZ$5*CE86</f>
        <v>0</v>
      </c>
      <c r="CA86" s="12">
        <f>CA$5*CE86</f>
        <v>0</v>
      </c>
      <c r="CB86" s="12">
        <f>CB$5*CE86</f>
        <v>0</v>
      </c>
      <c r="CD86" s="16" t="s">
        <v>1303</v>
      </c>
      <c r="CE86">
        <f>_xlfn.XLOOKUP(CD86,'KPI Impacts'!$B$2:$H$2,'KPI Impacts'!$B86:$H86)</f>
        <v>0</v>
      </c>
      <c r="CH86" s="12">
        <f>CH$5*CS86</f>
        <v>0</v>
      </c>
      <c r="CI86" s="12">
        <f>CI$5*CS86</f>
        <v>0</v>
      </c>
      <c r="CJ86" s="12">
        <f>CJ$5*CS86</f>
        <v>0</v>
      </c>
      <c r="CK86" s="12">
        <f>CK$5*CS86</f>
        <v>0</v>
      </c>
      <c r="CL86" s="12">
        <f>CL$5*CS86</f>
        <v>0</v>
      </c>
      <c r="CM86" s="12">
        <f>CM$5*CS86</f>
        <v>0</v>
      </c>
      <c r="CN86" s="12">
        <f>CN$5*CS86</f>
        <v>0</v>
      </c>
      <c r="CO86" s="12">
        <f>CO$5*CS86</f>
        <v>0</v>
      </c>
      <c r="CP86" s="12">
        <f>CP$5*CS86</f>
        <v>0</v>
      </c>
      <c r="CR86" s="16" t="s">
        <v>1303</v>
      </c>
      <c r="CS86">
        <f>_xlfn.XLOOKUP(CR86,'KPI Impacts'!$B$2:$H$2,'KPI Impacts'!$B86:$H86)</f>
        <v>0</v>
      </c>
      <c r="CW86" s="12"/>
      <c r="CX86" s="12"/>
      <c r="CY86" s="12"/>
      <c r="CZ86" s="12"/>
      <c r="DA86" s="12"/>
      <c r="DB86" s="12"/>
      <c r="DC86" s="12"/>
      <c r="DD86" s="12"/>
      <c r="DE86" s="12"/>
    </row>
    <row r="87" spans="1:109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AN87" s="16"/>
      <c r="BB87" s="16"/>
      <c r="BP87" s="16"/>
      <c r="CD87" s="16"/>
      <c r="CR87" s="16"/>
      <c r="CZ87" s="12"/>
      <c r="DA87" s="12"/>
    </row>
    <row r="88" spans="1:109" x14ac:dyDescent="0.2">
      <c r="A88" s="9" t="s">
        <v>1290</v>
      </c>
      <c r="B88" s="12">
        <f>P88+AD88+AR88+BF88+BT88+CH88</f>
        <v>0</v>
      </c>
      <c r="C88" s="12">
        <f t="shared" ref="C88" si="133">Q88+AE88+AS88+BG88+BU88+CI88</f>
        <v>0</v>
      </c>
      <c r="D88" s="12">
        <f t="shared" ref="D88" si="134">R88+AF88+AT88+BH88+BV88+CJ88</f>
        <v>0</v>
      </c>
      <c r="E88" s="12">
        <f t="shared" ref="E88" si="135">S88+AG88+AU88+BI88+BW88+CK88</f>
        <v>0</v>
      </c>
      <c r="F88" s="12">
        <f t="shared" ref="F88" si="136">T88+AH88+AV88+BJ88+BX88+CL88</f>
        <v>0</v>
      </c>
      <c r="G88" s="12">
        <f t="shared" ref="G88" si="137">U88+AI88+AW88+BK88+BY88+CM88</f>
        <v>0</v>
      </c>
      <c r="H88" s="12">
        <f t="shared" ref="H88" si="138">V88+AJ88+AX88+BL88+BZ88+CN88</f>
        <v>0</v>
      </c>
      <c r="I88" s="12">
        <f t="shared" ref="I88" si="139">W88+AK88+AY88+BM88+CA88+CO88</f>
        <v>0</v>
      </c>
      <c r="J88" s="12">
        <f t="shared" ref="J88" si="140">X88+AL88+AZ88+BN88+CB88+CP88</f>
        <v>0</v>
      </c>
      <c r="P88" s="12">
        <f>P$5*AA88</f>
        <v>0</v>
      </c>
      <c r="Q88" s="12">
        <f>Q$5*AA88</f>
        <v>0</v>
      </c>
      <c r="R88" s="12">
        <f>R$5*AA88</f>
        <v>0</v>
      </c>
      <c r="S88" s="12">
        <f>S$5*AA88</f>
        <v>0</v>
      </c>
      <c r="T88" s="12">
        <f>T$5*AA88</f>
        <v>0</v>
      </c>
      <c r="U88" s="12">
        <f>U$5*AA88</f>
        <v>0</v>
      </c>
      <c r="V88" s="12">
        <f>V$5*AA88</f>
        <v>0</v>
      </c>
      <c r="W88" s="12">
        <f>W$5*AA88</f>
        <v>0</v>
      </c>
      <c r="X88" s="12">
        <f>X$5*AA88</f>
        <v>0</v>
      </c>
      <c r="Z88" t="s">
        <v>1303</v>
      </c>
      <c r="AA88">
        <f>_xlfn.XLOOKUP(Z88,'KPI Impacts'!$B$2:$H$2,'KPI Impacts'!$B88:$H88)</f>
        <v>0</v>
      </c>
      <c r="AD88" s="12">
        <f>AD$5*AO88</f>
        <v>0</v>
      </c>
      <c r="AE88" s="12">
        <f>AE$5*AO88</f>
        <v>0</v>
      </c>
      <c r="AF88" s="12">
        <f>AF$5*AO88</f>
        <v>0</v>
      </c>
      <c r="AG88" s="12">
        <f>AG$5*AO88</f>
        <v>0</v>
      </c>
      <c r="AH88" s="12">
        <f>AH$5*AO88</f>
        <v>0</v>
      </c>
      <c r="AI88" s="12">
        <f>AI$5*AO88</f>
        <v>0</v>
      </c>
      <c r="AJ88" s="12">
        <f>AJ$5*AO88</f>
        <v>0</v>
      </c>
      <c r="AK88" s="12">
        <f>AK$5*AO88</f>
        <v>0</v>
      </c>
      <c r="AL88" s="12">
        <f>AL$5*AO88</f>
        <v>0</v>
      </c>
      <c r="AN88" s="16" t="s">
        <v>1303</v>
      </c>
      <c r="AO88">
        <f>_xlfn.XLOOKUP(AN88,'KPI Impacts'!$B$2:$H$2,'KPI Impacts'!$B88:$H88)</f>
        <v>0</v>
      </c>
      <c r="AR88" s="12">
        <f>AR$5*BC88</f>
        <v>0</v>
      </c>
      <c r="AS88" s="12">
        <f>AS$5*BC88</f>
        <v>0</v>
      </c>
      <c r="AT88" s="12">
        <f>AT$5*BC88</f>
        <v>0</v>
      </c>
      <c r="AU88" s="12">
        <f>AU$5*BC88</f>
        <v>0</v>
      </c>
      <c r="AV88" s="12">
        <f>AV$5*BC88</f>
        <v>0</v>
      </c>
      <c r="AW88" s="12">
        <f>AW$5*BC88</f>
        <v>0</v>
      </c>
      <c r="AX88" s="12">
        <f>AX$5*BC88</f>
        <v>0</v>
      </c>
      <c r="AY88" s="12">
        <f>AY$5*BC88</f>
        <v>0</v>
      </c>
      <c r="AZ88" s="12">
        <f>AZ$5*BC88</f>
        <v>0</v>
      </c>
      <c r="BB88" s="16" t="s">
        <v>1303</v>
      </c>
      <c r="BC88">
        <f>_xlfn.XLOOKUP(BB88,'KPI Impacts'!$B$2:$H$2,'KPI Impacts'!$B88:$H88)</f>
        <v>0</v>
      </c>
      <c r="BF88" s="12">
        <f>BF$5*BQ88</f>
        <v>0</v>
      </c>
      <c r="BG88" s="12">
        <f>BG$5*BQ88</f>
        <v>0</v>
      </c>
      <c r="BH88" s="12">
        <f>BH$5*BQ88</f>
        <v>0</v>
      </c>
      <c r="BI88" s="12">
        <f>BI$5*BQ88</f>
        <v>0</v>
      </c>
      <c r="BJ88" s="12">
        <f>BJ$5*BQ88</f>
        <v>0</v>
      </c>
      <c r="BK88" s="12">
        <f>BK$5*BQ88</f>
        <v>0</v>
      </c>
      <c r="BL88" s="12">
        <f>BL$5*BQ88</f>
        <v>0</v>
      </c>
      <c r="BM88" s="12">
        <f>BM$5*BQ88</f>
        <v>0</v>
      </c>
      <c r="BN88" s="12">
        <f>BN$5*BQ88</f>
        <v>0</v>
      </c>
      <c r="BP88" s="16" t="s">
        <v>1303</v>
      </c>
      <c r="BQ88">
        <f>_xlfn.XLOOKUP(BP88,'KPI Impacts'!$B$2:$H$2,'KPI Impacts'!$B88:$H88)</f>
        <v>0</v>
      </c>
      <c r="BT88" s="12">
        <f>BT$5*CE88</f>
        <v>0</v>
      </c>
      <c r="BU88" s="12">
        <f>BU$5*CE88</f>
        <v>0</v>
      </c>
      <c r="BV88" s="12">
        <f>BV$5*CE88</f>
        <v>0</v>
      </c>
      <c r="BW88" s="12">
        <f>BW$5*CE88</f>
        <v>0</v>
      </c>
      <c r="BX88" s="12">
        <f>BX$5*CE88</f>
        <v>0</v>
      </c>
      <c r="BY88" s="12">
        <f>BY$5*CE88</f>
        <v>0</v>
      </c>
      <c r="BZ88" s="12">
        <f>BZ$5*CE88</f>
        <v>0</v>
      </c>
      <c r="CA88" s="12">
        <f>CA$5*CE88</f>
        <v>0</v>
      </c>
      <c r="CB88" s="12">
        <f>CB$5*CE88</f>
        <v>0</v>
      </c>
      <c r="CD88" s="16" t="s">
        <v>1303</v>
      </c>
      <c r="CE88">
        <f>_xlfn.XLOOKUP(CD88,'KPI Impacts'!$B$2:$H$2,'KPI Impacts'!$B88:$H88)</f>
        <v>0</v>
      </c>
      <c r="CH88" s="12">
        <f>CH$5*CS88</f>
        <v>0</v>
      </c>
      <c r="CI88" s="12">
        <f>CI$5*CS88</f>
        <v>0</v>
      </c>
      <c r="CJ88" s="12">
        <f>CJ$5*CS88</f>
        <v>0</v>
      </c>
      <c r="CK88" s="12">
        <f>CK$5*CS88</f>
        <v>0</v>
      </c>
      <c r="CL88" s="12">
        <f>CL$5*CS88</f>
        <v>0</v>
      </c>
      <c r="CM88" s="12">
        <f>CM$5*CS88</f>
        <v>0</v>
      </c>
      <c r="CN88" s="12">
        <f>CN$5*CS88</f>
        <v>0</v>
      </c>
      <c r="CO88" s="12">
        <f>CO$5*CS88</f>
        <v>0</v>
      </c>
      <c r="CP88" s="12">
        <f>CP$5*CS88</f>
        <v>0</v>
      </c>
      <c r="CR88" s="16" t="s">
        <v>1303</v>
      </c>
      <c r="CS88">
        <f>_xlfn.XLOOKUP(CR88,'KPI Impacts'!$B$2:$H$2,'KPI Impacts'!$B88:$H88)</f>
        <v>0</v>
      </c>
      <c r="CW88" s="12"/>
      <c r="CX88" s="12"/>
      <c r="CY88" s="12"/>
      <c r="CZ88" s="12"/>
      <c r="DA88" s="12"/>
      <c r="DB88" s="12"/>
      <c r="DC88" s="12"/>
      <c r="DD88" s="12"/>
      <c r="DE88" s="12"/>
    </row>
    <row r="89" spans="1:109" hidden="1" x14ac:dyDescent="0.2">
      <c r="Z89" t="s">
        <v>1303</v>
      </c>
      <c r="AA89">
        <v>1</v>
      </c>
      <c r="AN89" s="16"/>
      <c r="AO89">
        <v>1</v>
      </c>
      <c r="BB89" s="16"/>
      <c r="BC89">
        <v>1</v>
      </c>
      <c r="BP89" s="16"/>
      <c r="BQ89">
        <v>1</v>
      </c>
      <c r="CD89" s="16"/>
      <c r="CE89">
        <v>1</v>
      </c>
      <c r="CR89" s="16"/>
      <c r="CS89">
        <v>1</v>
      </c>
      <c r="CZ89" s="12"/>
      <c r="DA89" s="12"/>
    </row>
    <row r="90" spans="1:109" hidden="1" x14ac:dyDescent="0.2">
      <c r="Z90" t="s">
        <v>1303</v>
      </c>
      <c r="AA90">
        <v>1</v>
      </c>
      <c r="AN90" s="16"/>
      <c r="AO90">
        <v>1</v>
      </c>
      <c r="BB90" s="16"/>
      <c r="BC90">
        <v>1</v>
      </c>
      <c r="BP90" s="16"/>
      <c r="BQ90">
        <v>1</v>
      </c>
      <c r="CD90" s="16"/>
      <c r="CE90">
        <v>1</v>
      </c>
      <c r="CR90" s="16"/>
      <c r="CS90">
        <v>1</v>
      </c>
      <c r="CZ90" s="12"/>
      <c r="DA90" s="12"/>
    </row>
    <row r="91" spans="1:109" x14ac:dyDescent="0.2">
      <c r="AN91" s="16"/>
      <c r="BB91" s="16"/>
      <c r="BP91" s="16"/>
      <c r="CD91" s="16"/>
      <c r="CR91" s="16"/>
      <c r="CZ91" s="12"/>
      <c r="DA91" s="12"/>
    </row>
    <row r="92" spans="1:109" x14ac:dyDescent="0.2">
      <c r="A92" s="5" t="s">
        <v>52</v>
      </c>
      <c r="AN92" s="16"/>
      <c r="BB92" s="16"/>
      <c r="BP92" s="16"/>
      <c r="CD92" s="16"/>
      <c r="CR92" s="16"/>
      <c r="CZ92" s="12"/>
      <c r="DA92" s="12"/>
    </row>
    <row r="93" spans="1:109" x14ac:dyDescent="0.2">
      <c r="A93" t="s">
        <v>56</v>
      </c>
      <c r="B93" s="12">
        <f>P93+AD93+AR93+BF93+BT93+CH93</f>
        <v>0</v>
      </c>
      <c r="C93" s="12">
        <f t="shared" ref="C93:C96" si="141">Q93+AE93+AS93+BG93+BU93+CI93</f>
        <v>0</v>
      </c>
      <c r="D93" s="12">
        <f t="shared" ref="D93:D96" si="142">R93+AF93+AT93+BH93+BV93+CJ93</f>
        <v>0</v>
      </c>
      <c r="E93" s="12">
        <f t="shared" ref="E93:E96" si="143">S93+AG93+AU93+BI93+BW93+CK93</f>
        <v>0</v>
      </c>
      <c r="F93" s="12">
        <f t="shared" ref="F93:F96" si="144">T93+AH93+AV93+BJ93+BX93+CL93</f>
        <v>0</v>
      </c>
      <c r="G93" s="12">
        <f t="shared" ref="G93:G96" si="145">U93+AI93+AW93+BK93+BY93+CM93</f>
        <v>0</v>
      </c>
      <c r="H93" s="12">
        <f t="shared" ref="H93:H96" si="146">V93+AJ93+AX93+BL93+BZ93+CN93</f>
        <v>0</v>
      </c>
      <c r="I93" s="12">
        <f t="shared" ref="I93:I96" si="147">W93+AK93+AY93+BM93+CA93+CO93</f>
        <v>0</v>
      </c>
      <c r="J93" s="12">
        <f t="shared" ref="J93:J96" si="148">X93+AL93+AZ93+BN93+CB93+CP93</f>
        <v>0</v>
      </c>
      <c r="P93" s="12">
        <f>P$5*AA93</f>
        <v>0</v>
      </c>
      <c r="Q93" s="12">
        <f>Q$5*AA93</f>
        <v>0</v>
      </c>
      <c r="R93" s="12">
        <f>R$5*AA93</f>
        <v>0</v>
      </c>
      <c r="S93" s="12">
        <f>S$5*AA93</f>
        <v>0</v>
      </c>
      <c r="T93" s="12">
        <f>T$5*AA93</f>
        <v>0</v>
      </c>
      <c r="U93" s="12">
        <f>U$5*AA93</f>
        <v>0</v>
      </c>
      <c r="V93" s="12">
        <f>V$5*AA93</f>
        <v>0</v>
      </c>
      <c r="W93" s="12">
        <f>W$5*AA93</f>
        <v>0</v>
      </c>
      <c r="X93" s="12">
        <f>X$5*AA93</f>
        <v>0</v>
      </c>
      <c r="Z93" t="s">
        <v>1303</v>
      </c>
      <c r="AA93">
        <f>_xlfn.XLOOKUP(Z93,'KPI Impacts'!$B$2:$H$2,'KPI Impacts'!$B93:$H93)</f>
        <v>0</v>
      </c>
      <c r="AD93" s="12">
        <f>AD$5*AO93</f>
        <v>0</v>
      </c>
      <c r="AE93" s="12">
        <f>AE$5*AO93</f>
        <v>0</v>
      </c>
      <c r="AF93" s="12">
        <f>AF$5*AO93</f>
        <v>0</v>
      </c>
      <c r="AG93" s="12">
        <f>AG$5*AO93</f>
        <v>0</v>
      </c>
      <c r="AH93" s="12">
        <f>AH$5*AO93</f>
        <v>0</v>
      </c>
      <c r="AI93" s="12">
        <f>AI$5*AO93</f>
        <v>0</v>
      </c>
      <c r="AJ93" s="12">
        <f>AJ$5*AO93</f>
        <v>0</v>
      </c>
      <c r="AK93" s="12">
        <f>AK$5*AO93</f>
        <v>0</v>
      </c>
      <c r="AL93" s="12">
        <f>AL$5*AO93</f>
        <v>0</v>
      </c>
      <c r="AN93" s="16" t="s">
        <v>1303</v>
      </c>
      <c r="AO93">
        <f>_xlfn.XLOOKUP(AN93,'KPI Impacts'!$B$2:$H$2,'KPI Impacts'!$B93:$H93)</f>
        <v>0</v>
      </c>
      <c r="AR93" s="12">
        <f>AR$5*BC93</f>
        <v>0</v>
      </c>
      <c r="AS93" s="12">
        <f>AS$5*BC93</f>
        <v>0</v>
      </c>
      <c r="AT93" s="12">
        <f>AT$5*BC93</f>
        <v>0</v>
      </c>
      <c r="AU93" s="12">
        <f>AU$5*BC93</f>
        <v>0</v>
      </c>
      <c r="AV93" s="12">
        <f>AV$5*BC93</f>
        <v>0</v>
      </c>
      <c r="AW93" s="12">
        <f>AW$5*BC93</f>
        <v>0</v>
      </c>
      <c r="AX93" s="12">
        <f>AX$5*BC93</f>
        <v>0</v>
      </c>
      <c r="AY93" s="12">
        <f>AY$5*BC93</f>
        <v>0</v>
      </c>
      <c r="AZ93" s="12">
        <f>AZ$5*BC93</f>
        <v>0</v>
      </c>
      <c r="BB93" s="29" t="s">
        <v>1304</v>
      </c>
      <c r="BC93">
        <f>_xlfn.XLOOKUP(BB93,'KPI Impacts'!$B$2:$H$2,'KPI Impacts'!$B93:$H93)</f>
        <v>-0.8</v>
      </c>
      <c r="BF93" s="12">
        <f>BF$5*BQ93</f>
        <v>0</v>
      </c>
      <c r="BG93" s="12">
        <f>BG$5*BQ93</f>
        <v>0</v>
      </c>
      <c r="BH93" s="12">
        <f>BH$5*BQ93</f>
        <v>0</v>
      </c>
      <c r="BI93" s="12">
        <f>BI$5*BQ93</f>
        <v>0</v>
      </c>
      <c r="BJ93" s="12">
        <f>BJ$5*BQ93</f>
        <v>0</v>
      </c>
      <c r="BK93" s="12">
        <f>BK$5*BQ93</f>
        <v>0</v>
      </c>
      <c r="BL93" s="12">
        <f>BL$5*BQ93</f>
        <v>0</v>
      </c>
      <c r="BM93" s="12">
        <f>BM$5*BQ93</f>
        <v>0</v>
      </c>
      <c r="BN93" s="12">
        <f>BN$5*BQ93</f>
        <v>0</v>
      </c>
      <c r="BP93" s="16" t="s">
        <v>1303</v>
      </c>
      <c r="BQ93">
        <f>_xlfn.XLOOKUP(BP93,'KPI Impacts'!$B$2:$H$2,'KPI Impacts'!$B93:$H93)</f>
        <v>0</v>
      </c>
      <c r="BT93" s="12">
        <f>BT$5*CE93</f>
        <v>0</v>
      </c>
      <c r="BU93" s="12">
        <f>BU$5*CE93</f>
        <v>0</v>
      </c>
      <c r="BV93" s="12">
        <f>BV$5*CE93</f>
        <v>0</v>
      </c>
      <c r="BW93" s="12">
        <f>BW$5*CE93</f>
        <v>0</v>
      </c>
      <c r="BX93" s="12">
        <f>BX$5*CE93</f>
        <v>0</v>
      </c>
      <c r="BY93" s="12">
        <f>BY$5*CE93</f>
        <v>0</v>
      </c>
      <c r="BZ93" s="12">
        <f>BZ$5*CE93</f>
        <v>0</v>
      </c>
      <c r="CA93" s="12">
        <f>CA$5*CE93</f>
        <v>0</v>
      </c>
      <c r="CB93" s="12">
        <f>CB$5*CE93</f>
        <v>0</v>
      </c>
      <c r="CD93" s="29" t="s">
        <v>1304</v>
      </c>
      <c r="CE93">
        <f>_xlfn.XLOOKUP(CD93,'KPI Impacts'!$B$2:$H$2,'KPI Impacts'!$B93:$H93)</f>
        <v>-0.8</v>
      </c>
      <c r="CH93" s="12">
        <f>CH$5*CS93</f>
        <v>0</v>
      </c>
      <c r="CI93" s="12">
        <f>CI$5*CS93</f>
        <v>0</v>
      </c>
      <c r="CJ93" s="12">
        <f>CJ$5*CS93</f>
        <v>0</v>
      </c>
      <c r="CK93" s="12">
        <f>CK$5*CS93</f>
        <v>0</v>
      </c>
      <c r="CL93" s="12">
        <f>CL$5*CS93</f>
        <v>0</v>
      </c>
      <c r="CM93" s="12">
        <f>CM$5*CS93</f>
        <v>0</v>
      </c>
      <c r="CN93" s="12">
        <f>CN$5*CS93</f>
        <v>0</v>
      </c>
      <c r="CO93" s="12">
        <f>CO$5*CS93</f>
        <v>0</v>
      </c>
      <c r="CP93" s="12">
        <f>CP$5*CS93</f>
        <v>0</v>
      </c>
      <c r="CR93" s="29" t="s">
        <v>1304</v>
      </c>
      <c r="CS93">
        <f>_xlfn.XLOOKUP(CR93,'KPI Impacts'!$B$2:$H$2,'KPI Impacts'!$B93:$H93)</f>
        <v>-0.8</v>
      </c>
      <c r="CW93" s="12"/>
      <c r="CX93" s="12"/>
      <c r="CY93" s="12"/>
      <c r="CZ93" s="12"/>
      <c r="DA93" s="12"/>
      <c r="DB93" s="12"/>
      <c r="DC93" s="12"/>
      <c r="DD93" s="12"/>
      <c r="DE93" s="12"/>
    </row>
    <row r="94" spans="1:109" x14ac:dyDescent="0.2">
      <c r="A94" s="9" t="s">
        <v>1711</v>
      </c>
      <c r="B94" s="12">
        <f>P94+AD94+AR94+BF94+BT94+CH94</f>
        <v>0</v>
      </c>
      <c r="C94" s="12">
        <f t="shared" si="141"/>
        <v>0</v>
      </c>
      <c r="D94" s="12">
        <f t="shared" si="142"/>
        <v>0</v>
      </c>
      <c r="E94" s="12">
        <f t="shared" si="143"/>
        <v>0</v>
      </c>
      <c r="F94" s="12">
        <f t="shared" si="144"/>
        <v>0</v>
      </c>
      <c r="G94" s="12">
        <f t="shared" si="145"/>
        <v>0</v>
      </c>
      <c r="H94" s="12">
        <f t="shared" si="146"/>
        <v>0</v>
      </c>
      <c r="I94" s="12">
        <f t="shared" si="147"/>
        <v>0</v>
      </c>
      <c r="J94" s="12">
        <f t="shared" si="148"/>
        <v>0</v>
      </c>
      <c r="P94" s="12">
        <f>P$5*AA94</f>
        <v>0</v>
      </c>
      <c r="Q94" s="12">
        <f>Q$5*AA94</f>
        <v>0</v>
      </c>
      <c r="R94" s="12">
        <f>R$5*AA94</f>
        <v>0</v>
      </c>
      <c r="S94" s="12">
        <f>S$5*AA94</f>
        <v>0</v>
      </c>
      <c r="T94" s="12">
        <f>T$5*AA94</f>
        <v>0</v>
      </c>
      <c r="U94" s="12">
        <f>U$5*AA94</f>
        <v>0</v>
      </c>
      <c r="V94" s="12">
        <f>V$5*AA94</f>
        <v>0</v>
      </c>
      <c r="W94" s="12">
        <f>W$5*AA94</f>
        <v>0</v>
      </c>
      <c r="X94" s="12">
        <f>X$5*AA94</f>
        <v>0</v>
      </c>
      <c r="Z94" t="s">
        <v>1303</v>
      </c>
      <c r="AA94">
        <f>_xlfn.XLOOKUP(Z94,'KPI Impacts'!$B$2:$H$2,'KPI Impacts'!$B94:$H94)</f>
        <v>0</v>
      </c>
      <c r="AD94" s="12">
        <f>AD$5*AO94</f>
        <v>0</v>
      </c>
      <c r="AE94" s="12">
        <f>AE$5*AO94</f>
        <v>0</v>
      </c>
      <c r="AF94" s="12">
        <f>AF$5*AO94</f>
        <v>0</v>
      </c>
      <c r="AG94" s="12">
        <f>AG$5*AO94</f>
        <v>0</v>
      </c>
      <c r="AH94" s="12">
        <f>AH$5*AO94</f>
        <v>0</v>
      </c>
      <c r="AI94" s="12">
        <f>AI$5*AO94</f>
        <v>0</v>
      </c>
      <c r="AJ94" s="12">
        <f>AJ$5*AO94</f>
        <v>0</v>
      </c>
      <c r="AK94" s="12">
        <f>AK$5*AO94</f>
        <v>0</v>
      </c>
      <c r="AL94" s="12">
        <f>AL$5*AO94</f>
        <v>0</v>
      </c>
      <c r="AN94" s="29" t="s">
        <v>1304</v>
      </c>
      <c r="AO94">
        <f>_xlfn.XLOOKUP(AN94,'KPI Impacts'!$B$2:$H$2,'KPI Impacts'!$B94:$H94)</f>
        <v>-0.8</v>
      </c>
      <c r="AR94" s="12">
        <f>AR$5*BC94</f>
        <v>0</v>
      </c>
      <c r="AS94" s="12">
        <f>AS$5*BC94</f>
        <v>0</v>
      </c>
      <c r="AT94" s="12">
        <f>AT$5*BC94</f>
        <v>0</v>
      </c>
      <c r="AU94" s="12">
        <f>AU$5*BC94</f>
        <v>0</v>
      </c>
      <c r="AV94" s="12">
        <f>AV$5*BC94</f>
        <v>0</v>
      </c>
      <c r="AW94" s="12">
        <f>AW$5*BC94</f>
        <v>0</v>
      </c>
      <c r="AX94" s="12">
        <f>AX$5*BC94</f>
        <v>0</v>
      </c>
      <c r="AY94" s="12">
        <f>AY$5*BC94</f>
        <v>0</v>
      </c>
      <c r="AZ94" s="12">
        <f>AZ$5*BC94</f>
        <v>0</v>
      </c>
      <c r="BB94" s="16" t="s">
        <v>1303</v>
      </c>
      <c r="BC94">
        <f>_xlfn.XLOOKUP(BB94,'KPI Impacts'!$B$2:$H$2,'KPI Impacts'!$B94:$H94)</f>
        <v>0</v>
      </c>
      <c r="BF94" s="12">
        <f>BF$5*BQ94</f>
        <v>0</v>
      </c>
      <c r="BG94" s="12">
        <f>BG$5*BQ94</f>
        <v>0</v>
      </c>
      <c r="BH94" s="12">
        <f>BH$5*BQ94</f>
        <v>0</v>
      </c>
      <c r="BI94" s="12">
        <f>BI$5*BQ94</f>
        <v>0</v>
      </c>
      <c r="BJ94" s="12">
        <f>BJ$5*BQ94</f>
        <v>0</v>
      </c>
      <c r="BK94" s="12">
        <f>BK$5*BQ94</f>
        <v>0</v>
      </c>
      <c r="BL94" s="12">
        <f>BL$5*BQ94</f>
        <v>0</v>
      </c>
      <c r="BM94" s="12">
        <f>BM$5*BQ94</f>
        <v>0</v>
      </c>
      <c r="BN94" s="12">
        <f>BN$5*BQ94</f>
        <v>0</v>
      </c>
      <c r="BP94" s="16" t="s">
        <v>1303</v>
      </c>
      <c r="BQ94">
        <f>_xlfn.XLOOKUP(BP94,'KPI Impacts'!$B$2:$H$2,'KPI Impacts'!$B94:$H94)</f>
        <v>0</v>
      </c>
      <c r="BT94" s="12">
        <f>BT$5*CE94</f>
        <v>0</v>
      </c>
      <c r="BU94" s="12">
        <f>BU$5*CE94</f>
        <v>0</v>
      </c>
      <c r="BV94" s="12">
        <f>BV$5*CE94</f>
        <v>0</v>
      </c>
      <c r="BW94" s="12">
        <f>BW$5*CE94</f>
        <v>0</v>
      </c>
      <c r="BX94" s="12">
        <f>BX$5*CE94</f>
        <v>0</v>
      </c>
      <c r="BY94" s="12">
        <f>BY$5*CE94</f>
        <v>0</v>
      </c>
      <c r="BZ94" s="12">
        <f>BZ$5*CE94</f>
        <v>0</v>
      </c>
      <c r="CA94" s="12">
        <f>CA$5*CE94</f>
        <v>0</v>
      </c>
      <c r="CB94" s="12">
        <f>CB$5*CE94</f>
        <v>0</v>
      </c>
      <c r="CD94" s="16" t="s">
        <v>1303</v>
      </c>
      <c r="CE94">
        <f>_xlfn.XLOOKUP(CD94,'KPI Impacts'!$B$2:$H$2,'KPI Impacts'!$B94:$H94)</f>
        <v>0</v>
      </c>
      <c r="CH94" s="12">
        <f>CH$5*CS94</f>
        <v>0</v>
      </c>
      <c r="CI94" s="12">
        <f>CI$5*CS94</f>
        <v>0</v>
      </c>
      <c r="CJ94" s="12">
        <f>CJ$5*CS94</f>
        <v>0</v>
      </c>
      <c r="CK94" s="12">
        <f>CK$5*CS94</f>
        <v>0</v>
      </c>
      <c r="CL94" s="12">
        <f>CL$5*CS94</f>
        <v>0</v>
      </c>
      <c r="CM94" s="12">
        <f>CM$5*CS94</f>
        <v>0</v>
      </c>
      <c r="CN94" s="12">
        <f>CN$5*CS94</f>
        <v>0</v>
      </c>
      <c r="CO94" s="12">
        <f>CO$5*CS94</f>
        <v>0</v>
      </c>
      <c r="CP94" s="12">
        <f>CP$5*CS94</f>
        <v>0</v>
      </c>
      <c r="CR94" s="16" t="s">
        <v>1303</v>
      </c>
      <c r="CS94">
        <f>_xlfn.XLOOKUP(CR94,'KPI Impacts'!$B$2:$H$2,'KPI Impacts'!$B94:$H94)</f>
        <v>0</v>
      </c>
      <c r="CW94" s="12"/>
      <c r="CX94" s="12"/>
      <c r="CY94" s="12"/>
      <c r="CZ94" s="12"/>
      <c r="DA94" s="12"/>
      <c r="DB94" s="12"/>
      <c r="DC94" s="12"/>
      <c r="DD94" s="12"/>
      <c r="DE94" s="12"/>
    </row>
    <row r="95" spans="1:109" x14ac:dyDescent="0.2">
      <c r="A95" t="s">
        <v>1316</v>
      </c>
      <c r="B95" s="12">
        <f>P95+AD95+AR95+BF95+BT95+CH95</f>
        <v>0</v>
      </c>
      <c r="C95" s="12">
        <f t="shared" si="141"/>
        <v>0</v>
      </c>
      <c r="D95" s="12">
        <f t="shared" si="142"/>
        <v>0</v>
      </c>
      <c r="E95" s="12">
        <f t="shared" si="143"/>
        <v>0</v>
      </c>
      <c r="F95" s="12">
        <f t="shared" si="144"/>
        <v>0</v>
      </c>
      <c r="G95" s="12">
        <f t="shared" si="145"/>
        <v>0</v>
      </c>
      <c r="H95" s="12">
        <f t="shared" si="146"/>
        <v>0</v>
      </c>
      <c r="I95" s="12">
        <f t="shared" si="147"/>
        <v>0</v>
      </c>
      <c r="J95" s="12">
        <f t="shared" si="148"/>
        <v>0</v>
      </c>
      <c r="P95" s="12">
        <f>P$5*AA95</f>
        <v>0</v>
      </c>
      <c r="Q95" s="12">
        <f>Q$5*AA95</f>
        <v>0</v>
      </c>
      <c r="R95" s="12">
        <f>R$5*AA95</f>
        <v>0</v>
      </c>
      <c r="S95" s="12">
        <f>S$5*AA95</f>
        <v>0</v>
      </c>
      <c r="T95" s="12">
        <f>T$5*AA95</f>
        <v>0</v>
      </c>
      <c r="U95" s="12">
        <f>U$5*AA95</f>
        <v>0</v>
      </c>
      <c r="V95" s="12">
        <f>V$5*AA95</f>
        <v>0</v>
      </c>
      <c r="W95" s="12">
        <f>W$5*AA95</f>
        <v>0</v>
      </c>
      <c r="X95" s="12">
        <f>X$5*AA95</f>
        <v>0</v>
      </c>
      <c r="Z95" t="s">
        <v>1303</v>
      </c>
      <c r="AA95">
        <f>_xlfn.XLOOKUP(Z95,'KPI Impacts'!$B$2:$H$2,'KPI Impacts'!$B95:$H95)</f>
        <v>0</v>
      </c>
      <c r="AD95" s="12">
        <f>AD$5*AO95</f>
        <v>0</v>
      </c>
      <c r="AE95" s="12">
        <f>AE$5*AO95</f>
        <v>0</v>
      </c>
      <c r="AF95" s="12">
        <f>AF$5*AO95</f>
        <v>0</v>
      </c>
      <c r="AG95" s="12">
        <f>AG$5*AO95</f>
        <v>0</v>
      </c>
      <c r="AH95" s="12">
        <f>AH$5*AO95</f>
        <v>0</v>
      </c>
      <c r="AI95" s="12">
        <f>AI$5*AO95</f>
        <v>0</v>
      </c>
      <c r="AJ95" s="12">
        <f>AJ$5*AO95</f>
        <v>0</v>
      </c>
      <c r="AK95" s="12">
        <f>AK$5*AO95</f>
        <v>0</v>
      </c>
      <c r="AL95" s="12">
        <f>AL$5*AO95</f>
        <v>0</v>
      </c>
      <c r="AN95" s="16" t="s">
        <v>1303</v>
      </c>
      <c r="AO95">
        <f>_xlfn.XLOOKUP(AN95,'KPI Impacts'!$B$2:$H$2,'KPI Impacts'!$B95:$H95)</f>
        <v>0</v>
      </c>
      <c r="AR95" s="12">
        <f>AR$5*BC95</f>
        <v>0</v>
      </c>
      <c r="AS95" s="12">
        <f>AS$5*BC95</f>
        <v>0</v>
      </c>
      <c r="AT95" s="12">
        <f>AT$5*BC95</f>
        <v>0</v>
      </c>
      <c r="AU95" s="12">
        <f>AU$5*BC95</f>
        <v>0</v>
      </c>
      <c r="AV95" s="12">
        <f>AV$5*BC95</f>
        <v>0</v>
      </c>
      <c r="AW95" s="12">
        <f>AW$5*BC95</f>
        <v>0</v>
      </c>
      <c r="AX95" s="12">
        <f>AX$5*BC95</f>
        <v>0</v>
      </c>
      <c r="AY95" s="12">
        <f>AY$5*BC95</f>
        <v>0</v>
      </c>
      <c r="AZ95" s="12">
        <f>AZ$5*BC95</f>
        <v>0</v>
      </c>
      <c r="BB95" s="16" t="s">
        <v>1303</v>
      </c>
      <c r="BC95">
        <f>_xlfn.XLOOKUP(BB95,'KPI Impacts'!$B$2:$H$2,'KPI Impacts'!$B95:$H95)</f>
        <v>0</v>
      </c>
      <c r="BF95" s="12">
        <f>BF$5*BQ95</f>
        <v>0</v>
      </c>
      <c r="BG95" s="12">
        <f>BG$5*BQ95</f>
        <v>0</v>
      </c>
      <c r="BH95" s="12">
        <f>BH$5*BQ95</f>
        <v>0</v>
      </c>
      <c r="BI95" s="12">
        <f>BI$5*BQ95</f>
        <v>0</v>
      </c>
      <c r="BJ95" s="12">
        <f>BJ$5*BQ95</f>
        <v>0</v>
      </c>
      <c r="BK95" s="12">
        <f>BK$5*BQ95</f>
        <v>0</v>
      </c>
      <c r="BL95" s="12">
        <f>BL$5*BQ95</f>
        <v>0</v>
      </c>
      <c r="BM95" s="12">
        <f>BM$5*BQ95</f>
        <v>0</v>
      </c>
      <c r="BN95" s="12">
        <f>BN$5*BQ95</f>
        <v>0</v>
      </c>
      <c r="BP95" s="16" t="s">
        <v>1303</v>
      </c>
      <c r="BQ95">
        <f>_xlfn.XLOOKUP(BP95,'KPI Impacts'!$B$2:$H$2,'KPI Impacts'!$B95:$H95)</f>
        <v>0</v>
      </c>
      <c r="BT95" s="12">
        <f>BT$5*CE95</f>
        <v>0</v>
      </c>
      <c r="BU95" s="12">
        <f>BU$5*CE95</f>
        <v>0</v>
      </c>
      <c r="BV95" s="12">
        <f>BV$5*CE95</f>
        <v>0</v>
      </c>
      <c r="BW95" s="12">
        <f>BW$5*CE95</f>
        <v>0</v>
      </c>
      <c r="BX95" s="12">
        <f>BX$5*CE95</f>
        <v>0</v>
      </c>
      <c r="BY95" s="12">
        <f>BY$5*CE95</f>
        <v>0</v>
      </c>
      <c r="BZ95" s="12">
        <f>BZ$5*CE95</f>
        <v>0</v>
      </c>
      <c r="CA95" s="12">
        <f>CA$5*CE95</f>
        <v>0</v>
      </c>
      <c r="CB95" s="12">
        <f>CB$5*CE95</f>
        <v>0</v>
      </c>
      <c r="CD95" s="16" t="s">
        <v>1303</v>
      </c>
      <c r="CE95">
        <f>_xlfn.XLOOKUP(CD95,'KPI Impacts'!$B$2:$H$2,'KPI Impacts'!$B95:$H95)</f>
        <v>0</v>
      </c>
      <c r="CH95" s="12">
        <f>CH$5*CS95</f>
        <v>0</v>
      </c>
      <c r="CI95" s="12">
        <f>CI$5*CS95</f>
        <v>0</v>
      </c>
      <c r="CJ95" s="12">
        <f>CJ$5*CS95</f>
        <v>0</v>
      </c>
      <c r="CK95" s="12">
        <f>CK$5*CS95</f>
        <v>0</v>
      </c>
      <c r="CL95" s="12">
        <f>CL$5*CS95</f>
        <v>0</v>
      </c>
      <c r="CM95" s="12">
        <f>CM$5*CS95</f>
        <v>0</v>
      </c>
      <c r="CN95" s="12">
        <f>CN$5*CS95</f>
        <v>0</v>
      </c>
      <c r="CO95" s="12">
        <f>CO$5*CS95</f>
        <v>0</v>
      </c>
      <c r="CP95" s="12">
        <f>CP$5*CS95</f>
        <v>0</v>
      </c>
      <c r="CR95" s="16" t="s">
        <v>1303</v>
      </c>
      <c r="CS95">
        <f>_xlfn.XLOOKUP(CR95,'KPI Impacts'!$B$2:$H$2,'KPI Impacts'!$B95:$H95)</f>
        <v>0</v>
      </c>
      <c r="CW95" s="12"/>
      <c r="CX95" s="12"/>
      <c r="CY95" s="12"/>
      <c r="CZ95" s="12"/>
      <c r="DA95" s="12"/>
      <c r="DB95" s="12"/>
      <c r="DC95" s="12"/>
      <c r="DD95" s="12"/>
      <c r="DE95" s="12"/>
    </row>
    <row r="96" spans="1:109" x14ac:dyDescent="0.2">
      <c r="A96" t="s">
        <v>1317</v>
      </c>
      <c r="B96" s="12">
        <f>P96+AD96+AR96+BF96+BT96+CH96</f>
        <v>0</v>
      </c>
      <c r="C96" s="12">
        <f t="shared" si="141"/>
        <v>0</v>
      </c>
      <c r="D96" s="12">
        <f t="shared" si="142"/>
        <v>0</v>
      </c>
      <c r="E96" s="12">
        <f t="shared" si="143"/>
        <v>0</v>
      </c>
      <c r="F96" s="12">
        <f t="shared" si="144"/>
        <v>0</v>
      </c>
      <c r="G96" s="12">
        <f t="shared" si="145"/>
        <v>0</v>
      </c>
      <c r="H96" s="12">
        <f t="shared" si="146"/>
        <v>0</v>
      </c>
      <c r="I96" s="12">
        <f t="shared" si="147"/>
        <v>0</v>
      </c>
      <c r="J96" s="12">
        <f t="shared" si="148"/>
        <v>0</v>
      </c>
      <c r="P96" s="12">
        <f>P$5*AA96</f>
        <v>0</v>
      </c>
      <c r="Q96" s="12">
        <f>Q$5*AA96</f>
        <v>0</v>
      </c>
      <c r="R96" s="12">
        <f>R$5*AA96</f>
        <v>0</v>
      </c>
      <c r="S96" s="12">
        <f>S$5*AA96</f>
        <v>0</v>
      </c>
      <c r="T96" s="12">
        <f>T$5*AA96</f>
        <v>0</v>
      </c>
      <c r="U96" s="12">
        <f>U$5*AA96</f>
        <v>0</v>
      </c>
      <c r="V96" s="12">
        <f>V$5*AA96</f>
        <v>0</v>
      </c>
      <c r="W96" s="12">
        <f>W$5*AA96</f>
        <v>0</v>
      </c>
      <c r="X96" s="12">
        <f>X$5*AA96</f>
        <v>0</v>
      </c>
      <c r="Z96" t="s">
        <v>1303</v>
      </c>
      <c r="AA96">
        <f>_xlfn.XLOOKUP(Z96,'KPI Impacts'!$B$2:$H$2,'KPI Impacts'!$B96:$H96)</f>
        <v>0</v>
      </c>
      <c r="AD96" s="12">
        <f>AD$5*AO96</f>
        <v>0</v>
      </c>
      <c r="AE96" s="12">
        <f>AE$5*AO96</f>
        <v>0</v>
      </c>
      <c r="AF96" s="12">
        <f>AF$5*AO96</f>
        <v>0</v>
      </c>
      <c r="AG96" s="12">
        <f>AG$5*AO96</f>
        <v>0</v>
      </c>
      <c r="AH96" s="12">
        <f>AH$5*AO96</f>
        <v>0</v>
      </c>
      <c r="AI96" s="12">
        <f>AI$5*AO96</f>
        <v>0</v>
      </c>
      <c r="AJ96" s="12">
        <f>AJ$5*AO96</f>
        <v>0</v>
      </c>
      <c r="AK96" s="12">
        <f>AK$5*AO96</f>
        <v>0</v>
      </c>
      <c r="AL96" s="12">
        <f>AL$5*AO96</f>
        <v>0</v>
      </c>
      <c r="AN96" s="16" t="s">
        <v>1303</v>
      </c>
      <c r="AO96">
        <f>_xlfn.XLOOKUP(AN96,'KPI Impacts'!$B$2:$H$2,'KPI Impacts'!$B96:$H96)</f>
        <v>0</v>
      </c>
      <c r="AR96" s="12">
        <f>AR$5*BC96</f>
        <v>0</v>
      </c>
      <c r="AS96" s="12">
        <f>AS$5*BC96</f>
        <v>0</v>
      </c>
      <c r="AT96" s="12">
        <f>AT$5*BC96</f>
        <v>0</v>
      </c>
      <c r="AU96" s="12">
        <f>AU$5*BC96</f>
        <v>0</v>
      </c>
      <c r="AV96" s="12">
        <f>AV$5*BC96</f>
        <v>0</v>
      </c>
      <c r="AW96" s="12">
        <f>AW$5*BC96</f>
        <v>0</v>
      </c>
      <c r="AX96" s="12">
        <f>AX$5*BC96</f>
        <v>0</v>
      </c>
      <c r="AY96" s="12">
        <f>AY$5*BC96</f>
        <v>0</v>
      </c>
      <c r="AZ96" s="12">
        <f>AZ$5*BC96</f>
        <v>0</v>
      </c>
      <c r="BB96" s="16" t="s">
        <v>1303</v>
      </c>
      <c r="BC96">
        <f>_xlfn.XLOOKUP(BB96,'KPI Impacts'!$B$2:$H$2,'KPI Impacts'!$B96:$H96)</f>
        <v>0</v>
      </c>
      <c r="BF96" s="12">
        <f>BF$5*BQ96</f>
        <v>0</v>
      </c>
      <c r="BG96" s="12">
        <f>BG$5*BQ96</f>
        <v>0</v>
      </c>
      <c r="BH96" s="12">
        <f>BH$5*BQ96</f>
        <v>0</v>
      </c>
      <c r="BI96" s="12">
        <f>BI$5*BQ96</f>
        <v>0</v>
      </c>
      <c r="BJ96" s="12">
        <f>BJ$5*BQ96</f>
        <v>0</v>
      </c>
      <c r="BK96" s="12">
        <f>BK$5*BQ96</f>
        <v>0</v>
      </c>
      <c r="BL96" s="12">
        <f>BL$5*BQ96</f>
        <v>0</v>
      </c>
      <c r="BM96" s="12">
        <f>BM$5*BQ96</f>
        <v>0</v>
      </c>
      <c r="BN96" s="12">
        <f>BN$5*BQ96</f>
        <v>0</v>
      </c>
      <c r="BP96" s="16" t="s">
        <v>1303</v>
      </c>
      <c r="BQ96">
        <f>_xlfn.XLOOKUP(BP96,'KPI Impacts'!$B$2:$H$2,'KPI Impacts'!$B96:$H96)</f>
        <v>0</v>
      </c>
      <c r="BT96" s="12">
        <f>BT$5*CE96</f>
        <v>0</v>
      </c>
      <c r="BU96" s="12">
        <f>BU$5*CE96</f>
        <v>0</v>
      </c>
      <c r="BV96" s="12">
        <f>BV$5*CE96</f>
        <v>0</v>
      </c>
      <c r="BW96" s="12">
        <f>BW$5*CE96</f>
        <v>0</v>
      </c>
      <c r="BX96" s="12">
        <f>BX$5*CE96</f>
        <v>0</v>
      </c>
      <c r="BY96" s="12">
        <f>BY$5*CE96</f>
        <v>0</v>
      </c>
      <c r="BZ96" s="12">
        <f>BZ$5*CE96</f>
        <v>0</v>
      </c>
      <c r="CA96" s="12">
        <f>CA$5*CE96</f>
        <v>0</v>
      </c>
      <c r="CB96" s="12">
        <f>CB$5*CE96</f>
        <v>0</v>
      </c>
      <c r="CD96" s="16" t="s">
        <v>1303</v>
      </c>
      <c r="CE96">
        <f>_xlfn.XLOOKUP(CD96,'KPI Impacts'!$B$2:$H$2,'KPI Impacts'!$B96:$H96)</f>
        <v>0</v>
      </c>
      <c r="CH96" s="12">
        <f>CH$5*CS96</f>
        <v>0</v>
      </c>
      <c r="CI96" s="12">
        <f>CI$5*CS96</f>
        <v>0</v>
      </c>
      <c r="CJ96" s="12">
        <f>CJ$5*CS96</f>
        <v>0</v>
      </c>
      <c r="CK96" s="12">
        <f>CK$5*CS96</f>
        <v>0</v>
      </c>
      <c r="CL96" s="12">
        <f>CL$5*CS96</f>
        <v>0</v>
      </c>
      <c r="CM96" s="12">
        <f>CM$5*CS96</f>
        <v>0</v>
      </c>
      <c r="CN96" s="12">
        <f>CN$5*CS96</f>
        <v>0</v>
      </c>
      <c r="CO96" s="12">
        <f>CO$5*CS96</f>
        <v>0</v>
      </c>
      <c r="CP96" s="12">
        <f>CP$5*CS96</f>
        <v>0</v>
      </c>
      <c r="CR96" s="16" t="s">
        <v>1303</v>
      </c>
      <c r="CS96">
        <f>_xlfn.XLOOKUP(CR96,'KPI Impacts'!$B$2:$H$2,'KPI Impacts'!$B96:$H96)</f>
        <v>0</v>
      </c>
      <c r="CW96" s="12"/>
      <c r="CX96" s="12"/>
      <c r="CY96" s="12"/>
      <c r="CZ96" s="12"/>
      <c r="DA96" s="12"/>
      <c r="DB96" s="12"/>
      <c r="DC96" s="12"/>
      <c r="DD96" s="12"/>
      <c r="DE96" s="12"/>
    </row>
    <row r="97" spans="1:109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AN97" s="16"/>
      <c r="BB97" s="16"/>
      <c r="BP97" s="16"/>
      <c r="CD97" s="16"/>
      <c r="CR97" s="16"/>
      <c r="CZ97" s="12"/>
      <c r="DA97" s="12"/>
    </row>
    <row r="98" spans="1:109" hidden="1" x14ac:dyDescent="0.2">
      <c r="AN98" s="16"/>
      <c r="BB98" s="16"/>
      <c r="BP98" s="16"/>
      <c r="CD98" s="16"/>
      <c r="CR98" s="16"/>
      <c r="CZ98" s="12"/>
      <c r="DA98" s="12"/>
    </row>
    <row r="99" spans="1:109" hidden="1" x14ac:dyDescent="0.2">
      <c r="AN99" s="16"/>
      <c r="BB99" s="16"/>
      <c r="BP99" s="16"/>
      <c r="CD99" s="16"/>
      <c r="CR99" s="16"/>
      <c r="CZ99" s="12"/>
      <c r="DA99" s="12"/>
    </row>
    <row r="100" spans="1:109" x14ac:dyDescent="0.2">
      <c r="AN100" s="16"/>
      <c r="BB100" s="16"/>
      <c r="BP100" s="16"/>
      <c r="CD100" s="16"/>
      <c r="CR100" s="16"/>
      <c r="CZ100" s="12"/>
      <c r="DA100" s="12"/>
    </row>
    <row r="101" spans="1:109" x14ac:dyDescent="0.2">
      <c r="A101" s="5" t="s">
        <v>53</v>
      </c>
      <c r="AN101" s="16"/>
      <c r="BB101" s="16"/>
      <c r="BP101" s="16"/>
      <c r="CD101" s="16"/>
      <c r="CR101" s="16"/>
      <c r="CZ101" s="12"/>
      <c r="DA101" s="12"/>
    </row>
    <row r="102" spans="1:109" x14ac:dyDescent="0.2">
      <c r="A102" t="s">
        <v>57</v>
      </c>
      <c r="B102" s="12">
        <f>P102+AD102+AR102+BF102+BT102+CH102</f>
        <v>0</v>
      </c>
      <c r="C102" s="12">
        <f t="shared" ref="C102:C104" si="149">Q102+AE102+AS102+BG102+BU102+CI102</f>
        <v>0</v>
      </c>
      <c r="D102" s="12">
        <f t="shared" ref="D102:D104" si="150">R102+AF102+AT102+BH102+BV102+CJ102</f>
        <v>0</v>
      </c>
      <c r="E102" s="12">
        <f t="shared" ref="E102:E104" si="151">S102+AG102+AU102+BI102+BW102+CK102</f>
        <v>0</v>
      </c>
      <c r="F102" s="12">
        <f t="shared" ref="F102:F104" si="152">T102+AH102+AV102+BJ102+BX102+CL102</f>
        <v>0</v>
      </c>
      <c r="G102" s="12">
        <f t="shared" ref="G102:G104" si="153">U102+AI102+AW102+BK102+BY102+CM102</f>
        <v>0</v>
      </c>
      <c r="H102" s="12">
        <f t="shared" ref="H102:H104" si="154">V102+AJ102+AX102+BL102+BZ102+CN102</f>
        <v>0</v>
      </c>
      <c r="I102" s="12">
        <f t="shared" ref="I102:I104" si="155">W102+AK102+AY102+BM102+CA102+CO102</f>
        <v>0</v>
      </c>
      <c r="J102" s="12">
        <f t="shared" ref="J102:J104" si="156">X102+AL102+AZ102+BN102+CB102+CP102</f>
        <v>0</v>
      </c>
      <c r="P102" s="12">
        <f>P$5*AA102</f>
        <v>0</v>
      </c>
      <c r="Q102" s="12">
        <f>Q$5*AA102</f>
        <v>0</v>
      </c>
      <c r="R102" s="12">
        <f>R$5*AA102</f>
        <v>0</v>
      </c>
      <c r="S102" s="12">
        <f>S$5*AA102</f>
        <v>0</v>
      </c>
      <c r="T102" s="12">
        <f>T$5*AA102</f>
        <v>0</v>
      </c>
      <c r="U102" s="12">
        <f>U$5*AA102</f>
        <v>0</v>
      </c>
      <c r="V102" s="12">
        <f>V$5*AA102</f>
        <v>0</v>
      </c>
      <c r="W102" s="12">
        <f>W$5*AA102</f>
        <v>0</v>
      </c>
      <c r="X102" s="12">
        <f>X$5*AA102</f>
        <v>0</v>
      </c>
      <c r="Z102" t="s">
        <v>1303</v>
      </c>
      <c r="AA102">
        <f>_xlfn.XLOOKUP(Z102,'KPI Impacts'!$B$2:$H$2,'KPI Impacts'!$B102:$H102)</f>
        <v>0</v>
      </c>
      <c r="AD102" s="12">
        <f>AD$5*AO102</f>
        <v>0</v>
      </c>
      <c r="AE102" s="12">
        <f>AE$5*AO102</f>
        <v>0</v>
      </c>
      <c r="AF102" s="12">
        <f>AF$5*AO102</f>
        <v>0</v>
      </c>
      <c r="AG102" s="12">
        <f>AG$5*AO102</f>
        <v>0</v>
      </c>
      <c r="AH102" s="12">
        <f>AH$5*AO102</f>
        <v>0</v>
      </c>
      <c r="AI102" s="12">
        <f>AI$5*AO102</f>
        <v>0</v>
      </c>
      <c r="AJ102" s="12">
        <f>AJ$5*AO102</f>
        <v>0</v>
      </c>
      <c r="AK102" s="12">
        <f>AK$5*AO102</f>
        <v>0</v>
      </c>
      <c r="AL102" s="12">
        <f>AL$5*AO102</f>
        <v>0</v>
      </c>
      <c r="AN102" s="16" t="s">
        <v>1303</v>
      </c>
      <c r="AO102">
        <f>_xlfn.XLOOKUP(AN102,'KPI Impacts'!$B$2:$H$2,'KPI Impacts'!$B102:$H102)</f>
        <v>0</v>
      </c>
      <c r="AR102" s="12">
        <f>AR$5*BC102</f>
        <v>0</v>
      </c>
      <c r="AS102" s="12">
        <f>AS$5*BC102</f>
        <v>0</v>
      </c>
      <c r="AT102" s="12">
        <f>AT$5*BC102</f>
        <v>0</v>
      </c>
      <c r="AU102" s="12">
        <f>AU$5*BC102</f>
        <v>0</v>
      </c>
      <c r="AV102" s="12">
        <f>AV$5*BC102</f>
        <v>0</v>
      </c>
      <c r="AW102" s="12">
        <f>AW$5*BC102</f>
        <v>0</v>
      </c>
      <c r="AX102" s="12">
        <f>AX$5*BC102</f>
        <v>0</v>
      </c>
      <c r="AY102" s="12">
        <f>AY$5*BC102</f>
        <v>0</v>
      </c>
      <c r="AZ102" s="12">
        <f>AZ$5*BC102</f>
        <v>0</v>
      </c>
      <c r="BB102" s="16" t="s">
        <v>1303</v>
      </c>
      <c r="BC102">
        <f>_xlfn.XLOOKUP(BB102,'KPI Impacts'!$B$2:$H$2,'KPI Impacts'!$B102:$H102)</f>
        <v>0</v>
      </c>
      <c r="BF102" s="12">
        <f>BF$5*BQ102</f>
        <v>0</v>
      </c>
      <c r="BG102" s="12">
        <f>BG$5*BQ102</f>
        <v>0</v>
      </c>
      <c r="BH102" s="12">
        <f>BH$5*BQ102</f>
        <v>0</v>
      </c>
      <c r="BI102" s="12">
        <f>BI$5*BQ102</f>
        <v>0</v>
      </c>
      <c r="BJ102" s="12">
        <f>BJ$5*BQ102</f>
        <v>0</v>
      </c>
      <c r="BK102" s="12">
        <f>BK$5*BQ102</f>
        <v>0</v>
      </c>
      <c r="BL102" s="12">
        <f>BL$5*BQ102</f>
        <v>0</v>
      </c>
      <c r="BM102" s="12">
        <f>BM$5*BQ102</f>
        <v>0</v>
      </c>
      <c r="BN102" s="12">
        <f>BN$5*BQ102</f>
        <v>0</v>
      </c>
      <c r="BP102" s="16" t="s">
        <v>1303</v>
      </c>
      <c r="BQ102">
        <f>_xlfn.XLOOKUP(BP102,'KPI Impacts'!$B$2:$H$2,'KPI Impacts'!$B102:$H102)</f>
        <v>0</v>
      </c>
      <c r="BT102" s="12">
        <f>BT$5*CE102</f>
        <v>0</v>
      </c>
      <c r="BU102" s="12">
        <f>BU$5*CE102</f>
        <v>0</v>
      </c>
      <c r="BV102" s="12">
        <f>BV$5*CE102</f>
        <v>0</v>
      </c>
      <c r="BW102" s="12">
        <f>BW$5*CE102</f>
        <v>0</v>
      </c>
      <c r="BX102" s="12">
        <f>BX$5*CE102</f>
        <v>0</v>
      </c>
      <c r="BY102" s="12">
        <f>BY$5*CE102</f>
        <v>0</v>
      </c>
      <c r="BZ102" s="12">
        <f>BZ$5*CE102</f>
        <v>0</v>
      </c>
      <c r="CA102" s="12">
        <f>CA$5*CE102</f>
        <v>0</v>
      </c>
      <c r="CB102" s="12">
        <f>CB$5*CE102</f>
        <v>0</v>
      </c>
      <c r="CD102" s="16" t="s">
        <v>1303</v>
      </c>
      <c r="CE102">
        <f>_xlfn.XLOOKUP(CD102,'KPI Impacts'!$B$2:$H$2,'KPI Impacts'!$B102:$H102)</f>
        <v>0</v>
      </c>
      <c r="CH102" s="12">
        <f>CH$5*CS102</f>
        <v>0</v>
      </c>
      <c r="CI102" s="12">
        <f>CI$5*CS102</f>
        <v>0</v>
      </c>
      <c r="CJ102" s="12">
        <f>CJ$5*CS102</f>
        <v>0</v>
      </c>
      <c r="CK102" s="12">
        <f>CK$5*CS102</f>
        <v>0</v>
      </c>
      <c r="CL102" s="12">
        <f>CL$5*CS102</f>
        <v>0</v>
      </c>
      <c r="CM102" s="12">
        <f>CM$5*CS102</f>
        <v>0</v>
      </c>
      <c r="CN102" s="12">
        <f>CN$5*CS102</f>
        <v>0</v>
      </c>
      <c r="CO102" s="12">
        <f>CO$5*CS102</f>
        <v>0</v>
      </c>
      <c r="CP102" s="12">
        <f>CP$5*CS102</f>
        <v>0</v>
      </c>
      <c r="CR102" s="16" t="s">
        <v>1303</v>
      </c>
      <c r="CS102">
        <f>_xlfn.XLOOKUP(CR102,'KPI Impacts'!$B$2:$H$2,'KPI Impacts'!$B102:$H102)</f>
        <v>0</v>
      </c>
      <c r="CW102" s="12"/>
      <c r="CX102" s="12"/>
      <c r="CY102" s="12"/>
      <c r="CZ102" s="12"/>
      <c r="DA102" s="12"/>
      <c r="DB102" s="12"/>
      <c r="DC102" s="12"/>
      <c r="DD102" s="12"/>
      <c r="DE102" s="12"/>
    </row>
    <row r="103" spans="1:109" x14ac:dyDescent="0.2">
      <c r="A103" t="s">
        <v>58</v>
      </c>
      <c r="B103" s="12">
        <f>P103+AD103+AR103+BF103+BT103+CH103</f>
        <v>0</v>
      </c>
      <c r="C103" s="12">
        <f t="shared" si="149"/>
        <v>0</v>
      </c>
      <c r="D103" s="12">
        <f t="shared" si="150"/>
        <v>0</v>
      </c>
      <c r="E103" s="12">
        <f t="shared" si="151"/>
        <v>0</v>
      </c>
      <c r="F103" s="12">
        <f t="shared" si="152"/>
        <v>0</v>
      </c>
      <c r="G103" s="12">
        <f t="shared" si="153"/>
        <v>0</v>
      </c>
      <c r="H103" s="12">
        <f t="shared" si="154"/>
        <v>0</v>
      </c>
      <c r="I103" s="12">
        <f t="shared" si="155"/>
        <v>0</v>
      </c>
      <c r="J103" s="12">
        <f t="shared" si="156"/>
        <v>0</v>
      </c>
      <c r="P103" s="12">
        <f>P$5*AA103</f>
        <v>0</v>
      </c>
      <c r="Q103" s="12">
        <f>Q$5*AA103</f>
        <v>0</v>
      </c>
      <c r="R103" s="12">
        <f>R$5*AA103</f>
        <v>0</v>
      </c>
      <c r="S103" s="12">
        <f>S$5*AA103</f>
        <v>0</v>
      </c>
      <c r="T103" s="12">
        <f>T$5*AA103</f>
        <v>0</v>
      </c>
      <c r="U103" s="12">
        <f>U$5*AA103</f>
        <v>0</v>
      </c>
      <c r="V103" s="12">
        <f>V$5*AA103</f>
        <v>0</v>
      </c>
      <c r="W103" s="12">
        <f>W$5*AA103</f>
        <v>0</v>
      </c>
      <c r="X103" s="12">
        <f>X$5*AA103</f>
        <v>0</v>
      </c>
      <c r="Z103" t="s">
        <v>1303</v>
      </c>
      <c r="AA103">
        <f>_xlfn.XLOOKUP(Z103,'KPI Impacts'!$B$2:$H$2,'KPI Impacts'!$B103:$H103)</f>
        <v>0</v>
      </c>
      <c r="AD103" s="12">
        <f>AD$5*AO103</f>
        <v>0</v>
      </c>
      <c r="AE103" s="12">
        <f>AE$5*AO103</f>
        <v>0</v>
      </c>
      <c r="AF103" s="12">
        <f>AF$5*AO103</f>
        <v>0</v>
      </c>
      <c r="AG103" s="12">
        <f>AG$5*AO103</f>
        <v>0</v>
      </c>
      <c r="AH103" s="12">
        <f>AH$5*AO103</f>
        <v>0</v>
      </c>
      <c r="AI103" s="12">
        <f>AI$5*AO103</f>
        <v>0</v>
      </c>
      <c r="AJ103" s="12">
        <f>AJ$5*AO103</f>
        <v>0</v>
      </c>
      <c r="AK103" s="12">
        <f>AK$5*AO103</f>
        <v>0</v>
      </c>
      <c r="AL103" s="12">
        <f>AL$5*AO103</f>
        <v>0</v>
      </c>
      <c r="AN103" s="29" t="s">
        <v>1304</v>
      </c>
      <c r="AO103">
        <f>_xlfn.XLOOKUP(AN103,'KPI Impacts'!$B$2:$H$2,'KPI Impacts'!$B103:$H103)</f>
        <v>-0.4</v>
      </c>
      <c r="AR103" s="12">
        <f>AR$5*BC103</f>
        <v>0</v>
      </c>
      <c r="AS103" s="12">
        <f>AS$5*BC103</f>
        <v>0</v>
      </c>
      <c r="AT103" s="12">
        <f>AT$5*BC103</f>
        <v>0</v>
      </c>
      <c r="AU103" s="12">
        <f>AU$5*BC103</f>
        <v>0</v>
      </c>
      <c r="AV103" s="12">
        <f>AV$5*BC103</f>
        <v>0</v>
      </c>
      <c r="AW103" s="12">
        <f>AW$5*BC103</f>
        <v>0</v>
      </c>
      <c r="AX103" s="12">
        <f>AX$5*BC103</f>
        <v>0</v>
      </c>
      <c r="AY103" s="12">
        <f>AY$5*BC103</f>
        <v>0</v>
      </c>
      <c r="AZ103" s="12">
        <f>AZ$5*BC103</f>
        <v>0</v>
      </c>
      <c r="BB103" s="16" t="s">
        <v>1303</v>
      </c>
      <c r="BC103">
        <f>_xlfn.XLOOKUP(BB103,'KPI Impacts'!$B$2:$H$2,'KPI Impacts'!$B103:$H103)</f>
        <v>0</v>
      </c>
      <c r="BF103" s="12">
        <f>BF$5*BQ103</f>
        <v>0</v>
      </c>
      <c r="BG103" s="12">
        <f>BG$5*BQ103</f>
        <v>0</v>
      </c>
      <c r="BH103" s="12">
        <f>BH$5*BQ103</f>
        <v>0</v>
      </c>
      <c r="BI103" s="12">
        <f>BI$5*BQ103</f>
        <v>0</v>
      </c>
      <c r="BJ103" s="12">
        <f>BJ$5*BQ103</f>
        <v>0</v>
      </c>
      <c r="BK103" s="12">
        <f>BK$5*BQ103</f>
        <v>0</v>
      </c>
      <c r="BL103" s="12">
        <f>BL$5*BQ103</f>
        <v>0</v>
      </c>
      <c r="BM103" s="12">
        <f>BM$5*BQ103</f>
        <v>0</v>
      </c>
      <c r="BN103" s="12">
        <f>BN$5*BQ103</f>
        <v>0</v>
      </c>
      <c r="BP103" s="16" t="s">
        <v>1303</v>
      </c>
      <c r="BQ103">
        <f>_xlfn.XLOOKUP(BP103,'KPI Impacts'!$B$2:$H$2,'KPI Impacts'!$B103:$H103)</f>
        <v>0</v>
      </c>
      <c r="BT103" s="12">
        <f>BT$5*CE103</f>
        <v>0</v>
      </c>
      <c r="BU103" s="12">
        <f>BU$5*CE103</f>
        <v>0</v>
      </c>
      <c r="BV103" s="12">
        <f>BV$5*CE103</f>
        <v>0</v>
      </c>
      <c r="BW103" s="12">
        <f>BW$5*CE103</f>
        <v>0</v>
      </c>
      <c r="BX103" s="12">
        <f>BX$5*CE103</f>
        <v>0</v>
      </c>
      <c r="BY103" s="12">
        <f>BY$5*CE103</f>
        <v>0</v>
      </c>
      <c r="BZ103" s="12">
        <f>BZ$5*CE103</f>
        <v>0</v>
      </c>
      <c r="CA103" s="12">
        <f>CA$5*CE103</f>
        <v>0</v>
      </c>
      <c r="CB103" s="12">
        <f>CB$5*CE103</f>
        <v>0</v>
      </c>
      <c r="CD103" s="16" t="s">
        <v>1303</v>
      </c>
      <c r="CE103">
        <f>_xlfn.XLOOKUP(CD103,'KPI Impacts'!$B$2:$H$2,'KPI Impacts'!$B103:$H103)</f>
        <v>0</v>
      </c>
      <c r="CH103" s="12">
        <f>CH$5*CS103</f>
        <v>0</v>
      </c>
      <c r="CI103" s="12">
        <f>CI$5*CS103</f>
        <v>0</v>
      </c>
      <c r="CJ103" s="12">
        <f>CJ$5*CS103</f>
        <v>0</v>
      </c>
      <c r="CK103" s="12">
        <f>CK$5*CS103</f>
        <v>0</v>
      </c>
      <c r="CL103" s="12">
        <f>CL$5*CS103</f>
        <v>0</v>
      </c>
      <c r="CM103" s="12">
        <f>CM$5*CS103</f>
        <v>0</v>
      </c>
      <c r="CN103" s="12">
        <f>CN$5*CS103</f>
        <v>0</v>
      </c>
      <c r="CO103" s="12">
        <f>CO$5*CS103</f>
        <v>0</v>
      </c>
      <c r="CP103" s="12">
        <f>CP$5*CS103</f>
        <v>0</v>
      </c>
      <c r="CR103" s="16" t="s">
        <v>1303</v>
      </c>
      <c r="CS103">
        <f>_xlfn.XLOOKUP(CR103,'KPI Impacts'!$B$2:$H$2,'KPI Impacts'!$B103:$H103)</f>
        <v>0</v>
      </c>
      <c r="CW103" s="12"/>
      <c r="CX103" s="12"/>
      <c r="CY103" s="12"/>
      <c r="CZ103" s="12"/>
      <c r="DA103" s="12"/>
      <c r="DB103" s="12"/>
      <c r="DC103" s="12"/>
      <c r="DD103" s="12"/>
      <c r="DE103" s="12"/>
    </row>
    <row r="104" spans="1:109" x14ac:dyDescent="0.2">
      <c r="A104" t="s">
        <v>1295</v>
      </c>
      <c r="B104" s="12">
        <f>P104+AD104+AR104+BF104+BT104+CH104</f>
        <v>0</v>
      </c>
      <c r="C104" s="12">
        <f t="shared" si="149"/>
        <v>0</v>
      </c>
      <c r="D104" s="12">
        <f t="shared" si="150"/>
        <v>0</v>
      </c>
      <c r="E104" s="12">
        <f t="shared" si="151"/>
        <v>0</v>
      </c>
      <c r="F104" s="12">
        <f t="shared" si="152"/>
        <v>0</v>
      </c>
      <c r="G104" s="12">
        <f t="shared" si="153"/>
        <v>0</v>
      </c>
      <c r="H104" s="12">
        <f t="shared" si="154"/>
        <v>0</v>
      </c>
      <c r="I104" s="12">
        <f t="shared" si="155"/>
        <v>0</v>
      </c>
      <c r="J104" s="12">
        <f t="shared" si="156"/>
        <v>0</v>
      </c>
      <c r="P104" s="12">
        <f>P$5*AA104</f>
        <v>0</v>
      </c>
      <c r="Q104" s="12">
        <f>Q$5*AA104</f>
        <v>0</v>
      </c>
      <c r="R104" s="12">
        <f>R$5*AA104</f>
        <v>0</v>
      </c>
      <c r="S104" s="12">
        <f>S$5*AA104</f>
        <v>0</v>
      </c>
      <c r="T104" s="12">
        <f>T$5*AA104</f>
        <v>0</v>
      </c>
      <c r="U104" s="12">
        <f>U$5*AA104</f>
        <v>0</v>
      </c>
      <c r="V104" s="12">
        <f>V$5*AA104</f>
        <v>0</v>
      </c>
      <c r="W104" s="12">
        <f>W$5*AA104</f>
        <v>0</v>
      </c>
      <c r="X104" s="12">
        <f>X$5*AA104</f>
        <v>0</v>
      </c>
      <c r="Z104" t="s">
        <v>1303</v>
      </c>
      <c r="AA104">
        <f>_xlfn.XLOOKUP(Z104,'KPI Impacts'!$B$2:$H$2,'KPI Impacts'!$B104:$H104)</f>
        <v>0</v>
      </c>
      <c r="AD104" s="12">
        <f>AD$5*AO104</f>
        <v>0</v>
      </c>
      <c r="AE104" s="12">
        <f>AE$5*AO104</f>
        <v>0</v>
      </c>
      <c r="AF104" s="12">
        <f>AF$5*AO104</f>
        <v>0</v>
      </c>
      <c r="AG104" s="12">
        <f>AG$5*AO104</f>
        <v>0</v>
      </c>
      <c r="AH104" s="12">
        <f>AH$5*AO104</f>
        <v>0</v>
      </c>
      <c r="AI104" s="12">
        <f>AI$5*AO104</f>
        <v>0</v>
      </c>
      <c r="AJ104" s="12">
        <f>AJ$5*AO104</f>
        <v>0</v>
      </c>
      <c r="AK104" s="12">
        <f>AK$5*AO104</f>
        <v>0</v>
      </c>
      <c r="AL104" s="12">
        <f>AL$5*AO104</f>
        <v>0</v>
      </c>
      <c r="AN104" s="16" t="s">
        <v>1303</v>
      </c>
      <c r="AO104">
        <f>_xlfn.XLOOKUP(AN104,'KPI Impacts'!$B$2:$H$2,'KPI Impacts'!$B104:$H104)</f>
        <v>0</v>
      </c>
      <c r="AR104" s="12">
        <f>AR$5*BC104</f>
        <v>0</v>
      </c>
      <c r="AS104" s="12">
        <f>AS$5*BC104</f>
        <v>0</v>
      </c>
      <c r="AT104" s="12">
        <f>AT$5*BC104</f>
        <v>0</v>
      </c>
      <c r="AU104" s="12">
        <f>AU$5*BC104</f>
        <v>0</v>
      </c>
      <c r="AV104" s="12">
        <f>AV$5*BC104</f>
        <v>0</v>
      </c>
      <c r="AW104" s="12">
        <f>AW$5*BC104</f>
        <v>0</v>
      </c>
      <c r="AX104" s="12">
        <f>AX$5*BC104</f>
        <v>0</v>
      </c>
      <c r="AY104" s="12">
        <f>AY$5*BC104</f>
        <v>0</v>
      </c>
      <c r="AZ104" s="12">
        <f>AZ$5*BC104</f>
        <v>0</v>
      </c>
      <c r="BB104" s="16" t="s">
        <v>1303</v>
      </c>
      <c r="BC104">
        <f>_xlfn.XLOOKUP(BB104,'KPI Impacts'!$B$2:$H$2,'KPI Impacts'!$B104:$H104)</f>
        <v>0</v>
      </c>
      <c r="BF104" s="12">
        <f>BF$5*BQ104</f>
        <v>0</v>
      </c>
      <c r="BG104" s="12">
        <f>BG$5*BQ104</f>
        <v>0</v>
      </c>
      <c r="BH104" s="12">
        <f>BH$5*BQ104</f>
        <v>0</v>
      </c>
      <c r="BI104" s="12">
        <f>BI$5*BQ104</f>
        <v>0</v>
      </c>
      <c r="BJ104" s="12">
        <f>BJ$5*BQ104</f>
        <v>0</v>
      </c>
      <c r="BK104" s="12">
        <f>BK$5*BQ104</f>
        <v>0</v>
      </c>
      <c r="BL104" s="12">
        <f>BL$5*BQ104</f>
        <v>0</v>
      </c>
      <c r="BM104" s="12">
        <f>BM$5*BQ104</f>
        <v>0</v>
      </c>
      <c r="BN104" s="12">
        <f>BN$5*BQ104</f>
        <v>0</v>
      </c>
      <c r="BP104" s="29" t="s">
        <v>1304</v>
      </c>
      <c r="BQ104">
        <f>_xlfn.XLOOKUP(BP104,'KPI Impacts'!$B$2:$H$2,'KPI Impacts'!$B104:$H104)</f>
        <v>-1.6</v>
      </c>
      <c r="BT104" s="12">
        <f>BT$5*CE104</f>
        <v>0</v>
      </c>
      <c r="BU104" s="12">
        <f>BU$5*CE104</f>
        <v>0</v>
      </c>
      <c r="BV104" s="12">
        <f>BV$5*CE104</f>
        <v>0</v>
      </c>
      <c r="BW104" s="12">
        <f>BW$5*CE104</f>
        <v>0</v>
      </c>
      <c r="BX104" s="12">
        <f>BX$5*CE104</f>
        <v>0</v>
      </c>
      <c r="BY104" s="12">
        <f>BY$5*CE104</f>
        <v>0</v>
      </c>
      <c r="BZ104" s="12">
        <f>BZ$5*CE104</f>
        <v>0</v>
      </c>
      <c r="CA104" s="12">
        <f>CA$5*CE104</f>
        <v>0</v>
      </c>
      <c r="CB104" s="12">
        <f>CB$5*CE104</f>
        <v>0</v>
      </c>
      <c r="CD104" s="16" t="s">
        <v>1303</v>
      </c>
      <c r="CE104">
        <f>_xlfn.XLOOKUP(CD104,'KPI Impacts'!$B$2:$H$2,'KPI Impacts'!$B104:$H104)</f>
        <v>0</v>
      </c>
      <c r="CH104" s="12">
        <f>CH$5*CS104</f>
        <v>0</v>
      </c>
      <c r="CI104" s="12">
        <f>CI$5*CS104</f>
        <v>0</v>
      </c>
      <c r="CJ104" s="12">
        <f>CJ$5*CS104</f>
        <v>0</v>
      </c>
      <c r="CK104" s="12">
        <f>CK$5*CS104</f>
        <v>0</v>
      </c>
      <c r="CL104" s="12">
        <f>CL$5*CS104</f>
        <v>0</v>
      </c>
      <c r="CM104" s="12">
        <f>CM$5*CS104</f>
        <v>0</v>
      </c>
      <c r="CN104" s="12">
        <f>CN$5*CS104</f>
        <v>0</v>
      </c>
      <c r="CO104" s="12">
        <f>CO$5*CS104</f>
        <v>0</v>
      </c>
      <c r="CP104" s="12">
        <f>CP$5*CS104</f>
        <v>0</v>
      </c>
      <c r="CR104" s="16" t="s">
        <v>1303</v>
      </c>
      <c r="CS104">
        <f>_xlfn.XLOOKUP(CR104,'KPI Impacts'!$B$2:$H$2,'KPI Impacts'!$B104:$H104)</f>
        <v>0</v>
      </c>
      <c r="CW104" s="12"/>
      <c r="CX104" s="12"/>
      <c r="CY104" s="12"/>
      <c r="CZ104" s="12"/>
      <c r="DA104" s="12"/>
      <c r="DB104" s="12"/>
      <c r="DC104" s="12"/>
      <c r="DD104" s="12"/>
      <c r="DE104" s="12"/>
    </row>
    <row r="105" spans="1:109" x14ac:dyDescent="0.2">
      <c r="CZ105" s="12"/>
      <c r="DA105" s="12"/>
    </row>
    <row r="106" spans="1:109" x14ac:dyDescent="0.2">
      <c r="CZ106" s="12"/>
      <c r="DA106" s="12"/>
    </row>
    <row r="107" spans="1:109" x14ac:dyDescent="0.2">
      <c r="CZ107" s="12"/>
      <c r="DA107" s="12"/>
    </row>
    <row r="108" spans="1:109" x14ac:dyDescent="0.2">
      <c r="A108" s="5"/>
      <c r="CZ108" s="12"/>
      <c r="DA108" s="12"/>
    </row>
    <row r="109" spans="1:109" x14ac:dyDescent="0.2">
      <c r="CZ109" s="12"/>
      <c r="DA109" s="12"/>
    </row>
    <row r="110" spans="1:109" x14ac:dyDescent="0.2">
      <c r="CZ110" s="12"/>
      <c r="DA110" s="12"/>
    </row>
    <row r="111" spans="1:109" x14ac:dyDescent="0.2">
      <c r="CZ111" s="12"/>
      <c r="DA111" s="12"/>
    </row>
    <row r="112" spans="1:109" x14ac:dyDescent="0.2">
      <c r="CZ112" s="12"/>
      <c r="DA112" s="12"/>
    </row>
    <row r="113" spans="104:105" x14ac:dyDescent="0.2">
      <c r="CZ113" s="12"/>
      <c r="DA113" s="12"/>
    </row>
    <row r="114" spans="104:105" x14ac:dyDescent="0.2">
      <c r="CZ114" s="12"/>
      <c r="DA114" s="12"/>
    </row>
    <row r="115" spans="104:105" x14ac:dyDescent="0.2">
      <c r="CZ115" s="12"/>
      <c r="DA115" s="12"/>
    </row>
    <row r="116" spans="104:105" x14ac:dyDescent="0.2">
      <c r="CZ116" s="12"/>
      <c r="DA116" s="12"/>
    </row>
    <row r="117" spans="104:105" x14ac:dyDescent="0.2">
      <c r="CZ117" s="12"/>
      <c r="DA117" s="12"/>
    </row>
    <row r="118" spans="104:105" x14ac:dyDescent="0.2">
      <c r="CZ118" s="12"/>
      <c r="DA118" s="12"/>
    </row>
    <row r="119" spans="104:105" x14ac:dyDescent="0.2">
      <c r="CZ119" s="12"/>
      <c r="DA119" s="12"/>
    </row>
    <row r="120" spans="104:105" x14ac:dyDescent="0.2">
      <c r="CZ120" s="12"/>
      <c r="DA120" s="12"/>
    </row>
    <row r="121" spans="104:105" x14ac:dyDescent="0.2">
      <c r="CZ121" s="12"/>
      <c r="DA121" s="12"/>
    </row>
    <row r="122" spans="104:105" x14ac:dyDescent="0.2">
      <c r="CZ122" s="12"/>
      <c r="DA122" s="12"/>
    </row>
    <row r="123" spans="104:105" x14ac:dyDescent="0.2">
      <c r="CZ123" s="12"/>
      <c r="DA123" s="12"/>
    </row>
    <row r="124" spans="104:105" x14ac:dyDescent="0.2">
      <c r="CZ124" s="12"/>
      <c r="DA124" s="12"/>
    </row>
    <row r="125" spans="104:105" x14ac:dyDescent="0.2">
      <c r="CZ125" s="12"/>
      <c r="DA125" s="12"/>
    </row>
    <row r="126" spans="104:105" x14ac:dyDescent="0.2">
      <c r="CZ126" s="12"/>
      <c r="DA126" s="12"/>
    </row>
    <row r="127" spans="104:105" x14ac:dyDescent="0.2">
      <c r="CZ127" s="12"/>
      <c r="DA127" s="12"/>
    </row>
    <row r="128" spans="104:105" x14ac:dyDescent="0.2">
      <c r="CZ128" s="12"/>
      <c r="DA128" s="12"/>
    </row>
    <row r="129" spans="104:105" x14ac:dyDescent="0.2">
      <c r="CZ129" s="12"/>
      <c r="DA129" s="12"/>
    </row>
    <row r="130" spans="104:105" x14ac:dyDescent="0.2">
      <c r="CZ130" s="12"/>
      <c r="DA130" s="12"/>
    </row>
    <row r="131" spans="104:105" x14ac:dyDescent="0.2">
      <c r="CZ131" s="12"/>
      <c r="DA131" s="12"/>
    </row>
    <row r="132" spans="104:105" x14ac:dyDescent="0.2">
      <c r="CZ132" s="12"/>
      <c r="DA132" s="12"/>
    </row>
    <row r="133" spans="104:105" x14ac:dyDescent="0.2">
      <c r="CZ133" s="12"/>
      <c r="DA133" s="12"/>
    </row>
    <row r="134" spans="104:105" x14ac:dyDescent="0.2">
      <c r="CZ134" s="12"/>
      <c r="DA134" s="12"/>
    </row>
    <row r="135" spans="104:105" x14ac:dyDescent="0.2">
      <c r="CZ135" s="12"/>
      <c r="DA135" s="12"/>
    </row>
    <row r="136" spans="104:105" x14ac:dyDescent="0.2">
      <c r="CZ136" s="12"/>
      <c r="DA136" s="12"/>
    </row>
    <row r="137" spans="104:105" x14ac:dyDescent="0.2">
      <c r="CZ137" s="12"/>
      <c r="DA137" s="12"/>
    </row>
    <row r="138" spans="104:105" x14ac:dyDescent="0.2">
      <c r="CZ138" s="12"/>
      <c r="DA138" s="12"/>
    </row>
    <row r="139" spans="104:105" x14ac:dyDescent="0.2">
      <c r="CZ139" s="12"/>
      <c r="DA139" s="12"/>
    </row>
    <row r="140" spans="104:105" x14ac:dyDescent="0.2">
      <c r="CZ140" s="12"/>
      <c r="DA140" s="12"/>
    </row>
    <row r="141" spans="104:105" x14ac:dyDescent="0.2">
      <c r="CZ141" s="12"/>
      <c r="DA141" s="12"/>
    </row>
    <row r="142" spans="104:105" x14ac:dyDescent="0.2">
      <c r="CZ142" s="12"/>
      <c r="DA142" s="12"/>
    </row>
    <row r="143" spans="104:105" x14ac:dyDescent="0.2">
      <c r="CZ143" s="12"/>
      <c r="DA143" s="12"/>
    </row>
    <row r="144" spans="104:105" x14ac:dyDescent="0.2">
      <c r="CZ144" s="12"/>
      <c r="DA144" s="12"/>
    </row>
    <row r="145" spans="104:105" x14ac:dyDescent="0.2">
      <c r="CZ145" s="12"/>
      <c r="DA145" s="12"/>
    </row>
    <row r="146" spans="104:105" x14ac:dyDescent="0.2">
      <c r="CZ146" s="12"/>
      <c r="DA146" s="12"/>
    </row>
    <row r="147" spans="104:105" x14ac:dyDescent="0.2">
      <c r="CZ147" s="12"/>
      <c r="DA147" s="12"/>
    </row>
    <row r="148" spans="104:105" x14ac:dyDescent="0.2">
      <c r="CZ148" s="12"/>
      <c r="DA148" s="12"/>
    </row>
    <row r="149" spans="104:105" x14ac:dyDescent="0.2">
      <c r="CZ149" s="12"/>
      <c r="DA149" s="12"/>
    </row>
    <row r="150" spans="104:105" x14ac:dyDescent="0.2">
      <c r="CZ150" s="12"/>
      <c r="DA150" s="12"/>
    </row>
    <row r="151" spans="104:105" x14ac:dyDescent="0.2">
      <c r="CZ151" s="12"/>
      <c r="DA151" s="12"/>
    </row>
    <row r="152" spans="104:105" x14ac:dyDescent="0.2">
      <c r="CZ152" s="12"/>
      <c r="DA152" s="12"/>
    </row>
    <row r="153" spans="104:105" x14ac:dyDescent="0.2">
      <c r="CZ153" s="12"/>
      <c r="DA153" s="12"/>
    </row>
    <row r="154" spans="104:105" x14ac:dyDescent="0.2">
      <c r="CZ154" s="12"/>
      <c r="DA154" s="12"/>
    </row>
    <row r="155" spans="104:105" x14ac:dyDescent="0.2">
      <c r="CZ155" s="12"/>
      <c r="DA155" s="12"/>
    </row>
    <row r="156" spans="104:105" x14ac:dyDescent="0.2">
      <c r="CZ156" s="12"/>
      <c r="DA156" s="12"/>
    </row>
    <row r="157" spans="104:105" x14ac:dyDescent="0.2">
      <c r="CZ157" s="12"/>
      <c r="DA157" s="12"/>
    </row>
    <row r="158" spans="104:105" x14ac:dyDescent="0.2">
      <c r="CZ158" s="12"/>
      <c r="DA158" s="12"/>
    </row>
    <row r="159" spans="104:105" x14ac:dyDescent="0.2">
      <c r="CZ159" s="12"/>
      <c r="DA159" s="12"/>
    </row>
    <row r="160" spans="104:105" x14ac:dyDescent="0.2">
      <c r="CZ160" s="12"/>
      <c r="DA160" s="12"/>
    </row>
    <row r="161" spans="104:105" x14ac:dyDescent="0.2">
      <c r="CZ161" s="12"/>
      <c r="DA161" s="12"/>
    </row>
    <row r="162" spans="104:105" x14ac:dyDescent="0.2">
      <c r="CZ162" s="12"/>
      <c r="DA162" s="12"/>
    </row>
    <row r="163" spans="104:105" x14ac:dyDescent="0.2">
      <c r="CZ163" s="12"/>
      <c r="DA163" s="12"/>
    </row>
    <row r="164" spans="104:105" x14ac:dyDescent="0.2">
      <c r="CZ164" s="12"/>
      <c r="DA164" s="12"/>
    </row>
    <row r="165" spans="104:105" x14ac:dyDescent="0.2">
      <c r="CZ165" s="12"/>
      <c r="DA165" s="12"/>
    </row>
    <row r="166" spans="104:105" x14ac:dyDescent="0.2">
      <c r="CZ166" s="12"/>
      <c r="DA166" s="12"/>
    </row>
    <row r="167" spans="104:105" x14ac:dyDescent="0.2">
      <c r="CZ167" s="12"/>
      <c r="DA167" s="12"/>
    </row>
    <row r="168" spans="104:105" x14ac:dyDescent="0.2">
      <c r="CZ168" s="12"/>
      <c r="DA168" s="12"/>
    </row>
    <row r="169" spans="104:105" x14ac:dyDescent="0.2">
      <c r="CZ169" s="12"/>
      <c r="DA169" s="12"/>
    </row>
    <row r="170" spans="104:105" x14ac:dyDescent="0.2">
      <c r="CZ170" s="12"/>
      <c r="DA170" s="12"/>
    </row>
    <row r="171" spans="104:105" x14ac:dyDescent="0.2">
      <c r="CZ171" s="12"/>
      <c r="DA171" s="12"/>
    </row>
    <row r="172" spans="104:105" x14ac:dyDescent="0.2">
      <c r="CZ172" s="12"/>
      <c r="DA172" s="12"/>
    </row>
    <row r="173" spans="104:105" x14ac:dyDescent="0.2">
      <c r="CZ173" s="12"/>
      <c r="DA173" s="12"/>
    </row>
    <row r="174" spans="104:105" x14ac:dyDescent="0.2">
      <c r="CZ174" s="12"/>
      <c r="DA174" s="12"/>
    </row>
    <row r="175" spans="104:105" x14ac:dyDescent="0.2">
      <c r="CZ175" s="12"/>
      <c r="DA175" s="12"/>
    </row>
    <row r="176" spans="104:105" x14ac:dyDescent="0.2">
      <c r="CZ176" s="12"/>
      <c r="DA176" s="12"/>
    </row>
    <row r="177" spans="104:105" x14ac:dyDescent="0.2">
      <c r="CZ177" s="12"/>
      <c r="DA177" s="12"/>
    </row>
    <row r="178" spans="104:105" x14ac:dyDescent="0.2">
      <c r="CZ178" s="12"/>
      <c r="DA178" s="12"/>
    </row>
    <row r="179" spans="104:105" x14ac:dyDescent="0.2">
      <c r="CZ179" s="12"/>
      <c r="DA179" s="12"/>
    </row>
    <row r="180" spans="104:105" x14ac:dyDescent="0.2">
      <c r="CZ180" s="12"/>
      <c r="DA180" s="12"/>
    </row>
    <row r="181" spans="104:105" x14ac:dyDescent="0.2">
      <c r="CZ181" s="12"/>
      <c r="DA181" s="12"/>
    </row>
    <row r="182" spans="104:105" x14ac:dyDescent="0.2">
      <c r="CZ182" s="12"/>
      <c r="DA182" s="12"/>
    </row>
    <row r="183" spans="104:105" x14ac:dyDescent="0.2">
      <c r="CZ183" s="12"/>
      <c r="DA183" s="12"/>
    </row>
    <row r="184" spans="104:105" x14ac:dyDescent="0.2">
      <c r="CZ184" s="12"/>
      <c r="DA184" s="12"/>
    </row>
    <row r="185" spans="104:105" x14ac:dyDescent="0.2">
      <c r="CZ185" s="12"/>
      <c r="DA185" s="12"/>
    </row>
    <row r="186" spans="104:105" x14ac:dyDescent="0.2">
      <c r="CZ186" s="12"/>
      <c r="DA186" s="12"/>
    </row>
    <row r="187" spans="104:105" x14ac:dyDescent="0.2">
      <c r="CZ187" s="12"/>
      <c r="DA187" s="12"/>
    </row>
    <row r="188" spans="104:105" x14ac:dyDescent="0.2">
      <c r="CZ188" s="12"/>
      <c r="DA188" s="12"/>
    </row>
    <row r="189" spans="104:105" x14ac:dyDescent="0.2">
      <c r="CZ189" s="12"/>
      <c r="DA189" s="12"/>
    </row>
    <row r="190" spans="104:105" x14ac:dyDescent="0.2">
      <c r="CZ190" s="12"/>
      <c r="DA190" s="12"/>
    </row>
    <row r="191" spans="104:105" x14ac:dyDescent="0.2">
      <c r="CZ191" s="12"/>
      <c r="DA191" s="12"/>
    </row>
    <row r="192" spans="104:105" x14ac:dyDescent="0.2">
      <c r="CZ192" s="12"/>
      <c r="DA192" s="12"/>
    </row>
    <row r="193" spans="104:105" x14ac:dyDescent="0.2">
      <c r="CZ193" s="12"/>
      <c r="DA193" s="12"/>
    </row>
    <row r="194" spans="104:105" x14ac:dyDescent="0.2">
      <c r="CZ194" s="12"/>
      <c r="DA194" s="12"/>
    </row>
    <row r="195" spans="104:105" x14ac:dyDescent="0.2">
      <c r="CZ195" s="12"/>
      <c r="DA195" s="12"/>
    </row>
    <row r="196" spans="104:105" x14ac:dyDescent="0.2">
      <c r="CZ196" s="12"/>
      <c r="DA196" s="12"/>
    </row>
    <row r="197" spans="104:105" x14ac:dyDescent="0.2">
      <c r="CZ197" s="12"/>
      <c r="DA197" s="12"/>
    </row>
    <row r="198" spans="104:105" x14ac:dyDescent="0.2">
      <c r="CZ198" s="12"/>
      <c r="DA198" s="12"/>
    </row>
    <row r="199" spans="104:105" x14ac:dyDescent="0.2">
      <c r="CZ199" s="12"/>
      <c r="DA199" s="12"/>
    </row>
    <row r="200" spans="104:105" x14ac:dyDescent="0.2">
      <c r="CZ200" s="12"/>
      <c r="DA200" s="12"/>
    </row>
    <row r="201" spans="104:105" x14ac:dyDescent="0.2">
      <c r="CZ201" s="12"/>
      <c r="DA201" s="12"/>
    </row>
    <row r="202" spans="104:105" x14ac:dyDescent="0.2">
      <c r="CZ202" s="12"/>
      <c r="DA202" s="12"/>
    </row>
    <row r="203" spans="104:105" x14ac:dyDescent="0.2">
      <c r="CZ203" s="12"/>
      <c r="DA203" s="12"/>
    </row>
    <row r="204" spans="104:105" x14ac:dyDescent="0.2">
      <c r="CZ204" s="12"/>
      <c r="DA204" s="12"/>
    </row>
    <row r="205" spans="104:105" x14ac:dyDescent="0.2">
      <c r="CZ205" s="12"/>
      <c r="DA205" s="12"/>
    </row>
    <row r="206" spans="104:105" x14ac:dyDescent="0.2">
      <c r="CZ206" s="12"/>
      <c r="DA206" s="12"/>
    </row>
    <row r="207" spans="104:105" x14ac:dyDescent="0.2">
      <c r="CZ207" s="12"/>
      <c r="DA207" s="12"/>
    </row>
    <row r="208" spans="104:105" x14ac:dyDescent="0.2">
      <c r="CZ208" s="12"/>
      <c r="DA208" s="12"/>
    </row>
    <row r="209" spans="104:105" x14ac:dyDescent="0.2">
      <c r="CZ209" s="12"/>
      <c r="DA209" s="12"/>
    </row>
    <row r="210" spans="104:105" x14ac:dyDescent="0.2">
      <c r="CZ210" s="12"/>
      <c r="DA210" s="12"/>
    </row>
    <row r="211" spans="104:105" x14ac:dyDescent="0.2">
      <c r="CZ211" s="12"/>
      <c r="DA211" s="12"/>
    </row>
    <row r="212" spans="104:105" x14ac:dyDescent="0.2">
      <c r="CZ212" s="12"/>
      <c r="DA212" s="12"/>
    </row>
    <row r="213" spans="104:105" x14ac:dyDescent="0.2">
      <c r="CZ213" s="12"/>
      <c r="DA213" s="12"/>
    </row>
    <row r="214" spans="104:105" x14ac:dyDescent="0.2">
      <c r="CZ214" s="12"/>
      <c r="DA214" s="12"/>
    </row>
    <row r="215" spans="104:105" x14ac:dyDescent="0.2">
      <c r="CZ215" s="12"/>
      <c r="DA215" s="12"/>
    </row>
    <row r="216" spans="104:105" x14ac:dyDescent="0.2">
      <c r="CZ216" s="12"/>
      <c r="DA216" s="12"/>
    </row>
    <row r="217" spans="104:105" x14ac:dyDescent="0.2">
      <c r="CZ217" s="12"/>
      <c r="DA217" s="12"/>
    </row>
    <row r="218" spans="104:105" x14ac:dyDescent="0.2">
      <c r="CZ218" s="12"/>
      <c r="DA218" s="12"/>
    </row>
    <row r="219" spans="104:105" x14ac:dyDescent="0.2">
      <c r="CZ219" s="12"/>
      <c r="DA219" s="12"/>
    </row>
    <row r="220" spans="104:105" x14ac:dyDescent="0.2">
      <c r="CZ220" s="12"/>
      <c r="DA220" s="12"/>
    </row>
    <row r="221" spans="104:105" x14ac:dyDescent="0.2">
      <c r="CZ221" s="12"/>
      <c r="DA221" s="12"/>
    </row>
    <row r="222" spans="104:105" x14ac:dyDescent="0.2">
      <c r="CZ222" s="12"/>
      <c r="DA222" s="12"/>
    </row>
    <row r="223" spans="104:105" x14ac:dyDescent="0.2">
      <c r="CZ223" s="12"/>
      <c r="DA223" s="12"/>
    </row>
    <row r="224" spans="104:105" x14ac:dyDescent="0.2">
      <c r="CZ224" s="12"/>
      <c r="DA224" s="12"/>
    </row>
    <row r="225" spans="104:105" x14ac:dyDescent="0.2">
      <c r="CZ225" s="12"/>
      <c r="DA225" s="12"/>
    </row>
    <row r="226" spans="104:105" x14ac:dyDescent="0.2">
      <c r="CZ226" s="12"/>
      <c r="DA226" s="12"/>
    </row>
    <row r="227" spans="104:105" x14ac:dyDescent="0.2">
      <c r="CZ227" s="12"/>
      <c r="DA227" s="12"/>
    </row>
    <row r="228" spans="104:105" x14ac:dyDescent="0.2">
      <c r="CZ228" s="12"/>
      <c r="DA228" s="12"/>
    </row>
    <row r="229" spans="104:105" x14ac:dyDescent="0.2">
      <c r="CZ229" s="12"/>
      <c r="DA229" s="12"/>
    </row>
    <row r="230" spans="104:105" x14ac:dyDescent="0.2">
      <c r="CZ230" s="12"/>
      <c r="DA230" s="12"/>
    </row>
    <row r="231" spans="104:105" x14ac:dyDescent="0.2">
      <c r="CZ231" s="12"/>
      <c r="DA231" s="12"/>
    </row>
    <row r="232" spans="104:105" x14ac:dyDescent="0.2">
      <c r="CZ232" s="12"/>
      <c r="DA232" s="12"/>
    </row>
    <row r="233" spans="104:105" x14ac:dyDescent="0.2">
      <c r="CZ233" s="12"/>
      <c r="DA233" s="12"/>
    </row>
    <row r="234" spans="104:105" x14ac:dyDescent="0.2">
      <c r="CZ234" s="12"/>
      <c r="DA234" s="12"/>
    </row>
    <row r="235" spans="104:105" x14ac:dyDescent="0.2">
      <c r="CZ235" s="12"/>
      <c r="DA235" s="12"/>
    </row>
    <row r="236" spans="104:105" x14ac:dyDescent="0.2">
      <c r="CZ236" s="12"/>
      <c r="DA236" s="12"/>
    </row>
    <row r="237" spans="104:105" x14ac:dyDescent="0.2">
      <c r="CZ237" s="12"/>
      <c r="DA237" s="12"/>
    </row>
    <row r="238" spans="104:105" x14ac:dyDescent="0.2">
      <c r="CZ238" s="12"/>
      <c r="DA238" s="12"/>
    </row>
    <row r="239" spans="104:105" x14ac:dyDescent="0.2">
      <c r="CZ239" s="12"/>
      <c r="DA239" s="12"/>
    </row>
    <row r="240" spans="104:105" x14ac:dyDescent="0.2">
      <c r="CZ240" s="12"/>
      <c r="DA240" s="12"/>
    </row>
    <row r="241" spans="104:105" x14ac:dyDescent="0.2">
      <c r="CZ241" s="12"/>
      <c r="DA241" s="12"/>
    </row>
    <row r="242" spans="104:105" x14ac:dyDescent="0.2">
      <c r="CZ242" s="12"/>
      <c r="DA242" s="12"/>
    </row>
    <row r="243" spans="104:105" x14ac:dyDescent="0.2">
      <c r="CZ243" s="12"/>
      <c r="DA243" s="12"/>
    </row>
    <row r="244" spans="104:105" x14ac:dyDescent="0.2">
      <c r="CZ244" s="12"/>
      <c r="DA244" s="12"/>
    </row>
    <row r="245" spans="104:105" x14ac:dyDescent="0.2">
      <c r="CZ245" s="12"/>
      <c r="DA245" s="12"/>
    </row>
    <row r="246" spans="104:105" x14ac:dyDescent="0.2">
      <c r="CZ246" s="12"/>
      <c r="DA246" s="12"/>
    </row>
    <row r="247" spans="104:105" x14ac:dyDescent="0.2">
      <c r="CZ247" s="12"/>
      <c r="DA247" s="12"/>
    </row>
    <row r="248" spans="104:105" x14ac:dyDescent="0.2">
      <c r="CZ248" s="12"/>
      <c r="DA248" s="12"/>
    </row>
    <row r="249" spans="104:105" x14ac:dyDescent="0.2">
      <c r="CZ249" s="12"/>
      <c r="DA249" s="12"/>
    </row>
    <row r="250" spans="104:105" x14ac:dyDescent="0.2">
      <c r="CZ250" s="12"/>
      <c r="DA250" s="12"/>
    </row>
    <row r="251" spans="104:105" x14ac:dyDescent="0.2">
      <c r="CZ251" s="12"/>
      <c r="DA251" s="12"/>
    </row>
    <row r="252" spans="104:105" x14ac:dyDescent="0.2">
      <c r="CZ252" s="12"/>
      <c r="DA252" s="12"/>
    </row>
    <row r="253" spans="104:105" x14ac:dyDescent="0.2">
      <c r="CZ253" s="12"/>
      <c r="DA253" s="12"/>
    </row>
    <row r="254" spans="104:105" x14ac:dyDescent="0.2">
      <c r="CZ254" s="12"/>
      <c r="DA254" s="12"/>
    </row>
    <row r="255" spans="104:105" x14ac:dyDescent="0.2">
      <c r="CZ255" s="12"/>
      <c r="DA255" s="12"/>
    </row>
    <row r="256" spans="104:105" x14ac:dyDescent="0.2">
      <c r="CZ256" s="12"/>
      <c r="DA256" s="12"/>
    </row>
    <row r="257" spans="104:105" x14ac:dyDescent="0.2">
      <c r="CZ257" s="12"/>
      <c r="DA257" s="12"/>
    </row>
    <row r="258" spans="104:105" x14ac:dyDescent="0.2">
      <c r="CZ258" s="12"/>
      <c r="DA258" s="12"/>
    </row>
    <row r="259" spans="104:105" x14ac:dyDescent="0.2">
      <c r="CZ259" s="12"/>
      <c r="DA259" s="12"/>
    </row>
    <row r="260" spans="104:105" x14ac:dyDescent="0.2">
      <c r="CZ260" s="12"/>
      <c r="DA260" s="12"/>
    </row>
    <row r="261" spans="104:105" x14ac:dyDescent="0.2">
      <c r="CZ261" s="12"/>
      <c r="DA261" s="12"/>
    </row>
    <row r="262" spans="104:105" x14ac:dyDescent="0.2">
      <c r="CZ262" s="12"/>
      <c r="DA262" s="12"/>
    </row>
    <row r="263" spans="104:105" x14ac:dyDescent="0.2">
      <c r="CZ263" s="12"/>
      <c r="DA263" s="12"/>
    </row>
    <row r="264" spans="104:105" x14ac:dyDescent="0.2">
      <c r="CZ264" s="12"/>
      <c r="DA264" s="12"/>
    </row>
    <row r="265" spans="104:105" x14ac:dyDescent="0.2">
      <c r="CZ265" s="12"/>
      <c r="DA265" s="12"/>
    </row>
    <row r="266" spans="104:105" x14ac:dyDescent="0.2">
      <c r="CZ266" s="12"/>
      <c r="DA266" s="12"/>
    </row>
    <row r="267" spans="104:105" x14ac:dyDescent="0.2">
      <c r="CZ267" s="12"/>
      <c r="DA267" s="12"/>
    </row>
    <row r="268" spans="104:105" x14ac:dyDescent="0.2">
      <c r="CZ268" s="12"/>
      <c r="DA268" s="12"/>
    </row>
    <row r="269" spans="104:105" x14ac:dyDescent="0.2">
      <c r="CZ269" s="12"/>
      <c r="DA269" s="12"/>
    </row>
    <row r="270" spans="104:105" x14ac:dyDescent="0.2">
      <c r="CZ270" s="12"/>
      <c r="DA270" s="12"/>
    </row>
    <row r="271" spans="104:105" x14ac:dyDescent="0.2">
      <c r="CZ271" s="12"/>
      <c r="DA271" s="12"/>
    </row>
    <row r="272" spans="104:105" x14ac:dyDescent="0.2">
      <c r="CZ272" s="12"/>
      <c r="DA272" s="12"/>
    </row>
    <row r="273" spans="104:105" x14ac:dyDescent="0.2">
      <c r="CZ273" s="12"/>
      <c r="DA273" s="12"/>
    </row>
    <row r="274" spans="104:105" x14ac:dyDescent="0.2">
      <c r="CZ274" s="12"/>
      <c r="DA274" s="12"/>
    </row>
    <row r="275" spans="104:105" x14ac:dyDescent="0.2">
      <c r="CZ275" s="12"/>
      <c r="DA275" s="12"/>
    </row>
    <row r="276" spans="104:105" x14ac:dyDescent="0.2">
      <c r="CZ276" s="12"/>
      <c r="DA276" s="12"/>
    </row>
    <row r="277" spans="104:105" x14ac:dyDescent="0.2">
      <c r="CZ277" s="12"/>
      <c r="DA277" s="12"/>
    </row>
    <row r="278" spans="104:105" x14ac:dyDescent="0.2">
      <c r="CZ278" s="12"/>
      <c r="DA278" s="12"/>
    </row>
    <row r="279" spans="104:105" x14ac:dyDescent="0.2">
      <c r="CZ279" s="12"/>
      <c r="DA279" s="12"/>
    </row>
    <row r="280" spans="104:105" x14ac:dyDescent="0.2">
      <c r="CZ280" s="12"/>
      <c r="DA280" s="12"/>
    </row>
    <row r="281" spans="104:105" x14ac:dyDescent="0.2">
      <c r="CZ281" s="12"/>
      <c r="DA281" s="12"/>
    </row>
    <row r="282" spans="104:105" x14ac:dyDescent="0.2">
      <c r="CZ282" s="12"/>
      <c r="DA282" s="12"/>
    </row>
    <row r="283" spans="104:105" x14ac:dyDescent="0.2">
      <c r="CZ283" s="12"/>
      <c r="DA283" s="12"/>
    </row>
    <row r="284" spans="104:105" x14ac:dyDescent="0.2">
      <c r="CZ284" s="12"/>
      <c r="DA284" s="12"/>
    </row>
    <row r="285" spans="104:105" x14ac:dyDescent="0.2">
      <c r="CZ285" s="12"/>
      <c r="DA285" s="12"/>
    </row>
    <row r="286" spans="104:105" x14ac:dyDescent="0.2">
      <c r="CZ286" s="12"/>
      <c r="DA286" s="12"/>
    </row>
    <row r="287" spans="104:105" x14ac:dyDescent="0.2">
      <c r="CZ287" s="12"/>
      <c r="DA287" s="12"/>
    </row>
    <row r="288" spans="104:105" x14ac:dyDescent="0.2">
      <c r="CZ288" s="12"/>
      <c r="DA288" s="12"/>
    </row>
    <row r="289" spans="104:105" x14ac:dyDescent="0.2">
      <c r="CZ289" s="12"/>
      <c r="DA289" s="12"/>
    </row>
    <row r="290" spans="104:105" x14ac:dyDescent="0.2">
      <c r="CZ290" s="12"/>
      <c r="DA290" s="12"/>
    </row>
    <row r="291" spans="104:105" x14ac:dyDescent="0.2">
      <c r="CZ291" s="12"/>
      <c r="DA291" s="12"/>
    </row>
    <row r="292" spans="104:105" x14ac:dyDescent="0.2">
      <c r="CZ292" s="12"/>
      <c r="DA292" s="12"/>
    </row>
    <row r="293" spans="104:105" x14ac:dyDescent="0.2">
      <c r="CZ293" s="12"/>
      <c r="DA293" s="12"/>
    </row>
    <row r="294" spans="104:105" x14ac:dyDescent="0.2">
      <c r="CZ294" s="12"/>
      <c r="DA294" s="12"/>
    </row>
    <row r="295" spans="104:105" x14ac:dyDescent="0.2">
      <c r="CZ295" s="12"/>
      <c r="DA295" s="12"/>
    </row>
    <row r="296" spans="104:105" x14ac:dyDescent="0.2">
      <c r="CZ296" s="12"/>
      <c r="DA296" s="12"/>
    </row>
    <row r="297" spans="104:105" x14ac:dyDescent="0.2">
      <c r="CZ297" s="12"/>
      <c r="DA297" s="12"/>
    </row>
    <row r="298" spans="104:105" x14ac:dyDescent="0.2">
      <c r="CZ298" s="12"/>
      <c r="DA298" s="12"/>
    </row>
    <row r="299" spans="104:105" x14ac:dyDescent="0.2">
      <c r="CZ299" s="12"/>
      <c r="DA299" s="12"/>
    </row>
    <row r="300" spans="104:105" x14ac:dyDescent="0.2">
      <c r="CZ300" s="12"/>
      <c r="DA300" s="12"/>
    </row>
    <row r="301" spans="104:105" x14ac:dyDescent="0.2">
      <c r="CZ301" s="12"/>
      <c r="DA301" s="12"/>
    </row>
    <row r="302" spans="104:105" x14ac:dyDescent="0.2">
      <c r="CZ302" s="12"/>
      <c r="DA302" s="12"/>
    </row>
    <row r="303" spans="104:105" x14ac:dyDescent="0.2">
      <c r="CZ303" s="12"/>
      <c r="DA303" s="12"/>
    </row>
    <row r="304" spans="104:105" x14ac:dyDescent="0.2">
      <c r="CZ304" s="12"/>
      <c r="DA304" s="12"/>
    </row>
    <row r="305" spans="104:105" x14ac:dyDescent="0.2">
      <c r="CZ305" s="12"/>
      <c r="DA305" s="12"/>
    </row>
    <row r="306" spans="104:105" x14ac:dyDescent="0.2">
      <c r="CZ306" s="12"/>
      <c r="DA306" s="12"/>
    </row>
    <row r="307" spans="104:105" x14ac:dyDescent="0.2">
      <c r="CZ307" s="12"/>
      <c r="DA307" s="12"/>
    </row>
    <row r="308" spans="104:105" x14ac:dyDescent="0.2">
      <c r="CZ308" s="12"/>
      <c r="DA308" s="12"/>
    </row>
    <row r="309" spans="104:105" x14ac:dyDescent="0.2">
      <c r="CZ309" s="12"/>
      <c r="DA309" s="12"/>
    </row>
    <row r="310" spans="104:105" x14ac:dyDescent="0.2">
      <c r="CZ310" s="12"/>
      <c r="DA310" s="12"/>
    </row>
    <row r="311" spans="104:105" x14ac:dyDescent="0.2">
      <c r="CZ311" s="12"/>
      <c r="DA311" s="12"/>
    </row>
    <row r="312" spans="104:105" x14ac:dyDescent="0.2">
      <c r="CZ312" s="12"/>
      <c r="DA312" s="12"/>
    </row>
    <row r="313" spans="104:105" x14ac:dyDescent="0.2">
      <c r="CZ313" s="12"/>
      <c r="DA313" s="12"/>
    </row>
    <row r="314" spans="104:105" x14ac:dyDescent="0.2">
      <c r="CZ314" s="12"/>
      <c r="DA314" s="12"/>
    </row>
    <row r="315" spans="104:105" x14ac:dyDescent="0.2">
      <c r="CZ315" s="12"/>
      <c r="DA315" s="12"/>
    </row>
    <row r="316" spans="104:105" x14ac:dyDescent="0.2">
      <c r="CZ316" s="12"/>
      <c r="DA316" s="12"/>
    </row>
    <row r="317" spans="104:105" x14ac:dyDescent="0.2">
      <c r="CZ317" s="12"/>
      <c r="DA317" s="12"/>
    </row>
    <row r="318" spans="104:105" x14ac:dyDescent="0.2">
      <c r="CZ318" s="12"/>
      <c r="DA318" s="12"/>
    </row>
    <row r="319" spans="104:105" x14ac:dyDescent="0.2">
      <c r="CZ319" s="12"/>
      <c r="DA319" s="12"/>
    </row>
    <row r="320" spans="104:105" x14ac:dyDescent="0.2">
      <c r="CZ320" s="12"/>
      <c r="DA320" s="12"/>
    </row>
    <row r="321" spans="104:105" x14ac:dyDescent="0.2">
      <c r="CZ321" s="12"/>
      <c r="DA321" s="12"/>
    </row>
    <row r="322" spans="104:105" x14ac:dyDescent="0.2">
      <c r="CZ322" s="12"/>
      <c r="DA322" s="12"/>
    </row>
    <row r="323" spans="104:105" x14ac:dyDescent="0.2">
      <c r="CZ323" s="12"/>
      <c r="DA323" s="12"/>
    </row>
    <row r="324" spans="104:105" x14ac:dyDescent="0.2">
      <c r="CZ324" s="12"/>
      <c r="DA324" s="12"/>
    </row>
    <row r="325" spans="104:105" x14ac:dyDescent="0.2">
      <c r="CZ325" s="12"/>
      <c r="DA325" s="12"/>
    </row>
    <row r="326" spans="104:105" x14ac:dyDescent="0.2">
      <c r="CZ326" s="12"/>
      <c r="DA326" s="12"/>
    </row>
    <row r="327" spans="104:105" x14ac:dyDescent="0.2">
      <c r="CZ327" s="12"/>
      <c r="DA327" s="12"/>
    </row>
    <row r="328" spans="104:105" x14ac:dyDescent="0.2">
      <c r="CZ328" s="12"/>
      <c r="DA328" s="12"/>
    </row>
    <row r="329" spans="104:105" x14ac:dyDescent="0.2">
      <c r="CZ329" s="12"/>
      <c r="DA329" s="12"/>
    </row>
    <row r="330" spans="104:105" x14ac:dyDescent="0.2">
      <c r="CZ330" s="12"/>
      <c r="DA330" s="12"/>
    </row>
    <row r="331" spans="104:105" x14ac:dyDescent="0.2">
      <c r="CZ331" s="12"/>
      <c r="DA331" s="12"/>
    </row>
    <row r="332" spans="104:105" x14ac:dyDescent="0.2">
      <c r="CZ332" s="12"/>
      <c r="DA332" s="12"/>
    </row>
    <row r="333" spans="104:105" x14ac:dyDescent="0.2">
      <c r="CZ333" s="12"/>
      <c r="DA333" s="12"/>
    </row>
    <row r="334" spans="104:105" x14ac:dyDescent="0.2">
      <c r="CZ334" s="12"/>
      <c r="DA334" s="12"/>
    </row>
    <row r="335" spans="104:105" x14ac:dyDescent="0.2">
      <c r="CZ335" s="12"/>
      <c r="DA335" s="12"/>
    </row>
    <row r="336" spans="104:105" x14ac:dyDescent="0.2">
      <c r="CZ336" s="12"/>
      <c r="DA336" s="12"/>
    </row>
    <row r="337" spans="104:105" x14ac:dyDescent="0.2">
      <c r="CZ337" s="12"/>
      <c r="DA337" s="12"/>
    </row>
    <row r="338" spans="104:105" x14ac:dyDescent="0.2">
      <c r="CZ338" s="12"/>
      <c r="DA338" s="12"/>
    </row>
    <row r="339" spans="104:105" x14ac:dyDescent="0.2">
      <c r="CZ339" s="12"/>
      <c r="DA339" s="12"/>
    </row>
    <row r="340" spans="104:105" x14ac:dyDescent="0.2">
      <c r="CZ340" s="12"/>
      <c r="DA340" s="12"/>
    </row>
    <row r="341" spans="104:105" x14ac:dyDescent="0.2">
      <c r="CZ341" s="12"/>
      <c r="DA341" s="12"/>
    </row>
    <row r="342" spans="104:105" x14ac:dyDescent="0.2">
      <c r="CZ342" s="12"/>
      <c r="DA342" s="12"/>
    </row>
    <row r="343" spans="104:105" x14ac:dyDescent="0.2">
      <c r="CZ343" s="12"/>
      <c r="DA343" s="12"/>
    </row>
    <row r="344" spans="104:105" x14ac:dyDescent="0.2">
      <c r="CZ344" s="12"/>
      <c r="DA344" s="12"/>
    </row>
    <row r="345" spans="104:105" x14ac:dyDescent="0.2">
      <c r="CZ345" s="12"/>
      <c r="DA345" s="12"/>
    </row>
    <row r="346" spans="104:105" x14ac:dyDescent="0.2">
      <c r="CZ346" s="12"/>
      <c r="DA346" s="12"/>
    </row>
    <row r="347" spans="104:105" x14ac:dyDescent="0.2">
      <c r="CZ347" s="12"/>
      <c r="DA347" s="12"/>
    </row>
    <row r="348" spans="104:105" x14ac:dyDescent="0.2">
      <c r="CZ348" s="12"/>
      <c r="DA348" s="12"/>
    </row>
    <row r="349" spans="104:105" x14ac:dyDescent="0.2">
      <c r="CZ349" s="12"/>
      <c r="DA349" s="12"/>
    </row>
    <row r="350" spans="104:105" x14ac:dyDescent="0.2">
      <c r="CZ350" s="12"/>
      <c r="DA350" s="12"/>
    </row>
    <row r="351" spans="104:105" x14ac:dyDescent="0.2">
      <c r="CZ351" s="12"/>
      <c r="DA351" s="12"/>
    </row>
    <row r="352" spans="104:105" x14ac:dyDescent="0.2">
      <c r="CZ352" s="12"/>
      <c r="DA352" s="12"/>
    </row>
    <row r="353" spans="104:105" x14ac:dyDescent="0.2">
      <c r="CZ353" s="12"/>
      <c r="DA353" s="12"/>
    </row>
    <row r="354" spans="104:105" x14ac:dyDescent="0.2">
      <c r="CZ354" s="12"/>
      <c r="DA354" s="12"/>
    </row>
    <row r="355" spans="104:105" x14ac:dyDescent="0.2">
      <c r="CZ355" s="12"/>
      <c r="DA355" s="12"/>
    </row>
    <row r="356" spans="104:105" x14ac:dyDescent="0.2">
      <c r="CZ356" s="12"/>
      <c r="DA356" s="12"/>
    </row>
    <row r="357" spans="104:105" x14ac:dyDescent="0.2">
      <c r="CZ357" s="12"/>
      <c r="DA357" s="12"/>
    </row>
    <row r="358" spans="104:105" x14ac:dyDescent="0.2">
      <c r="CZ358" s="12"/>
      <c r="DA358" s="12"/>
    </row>
    <row r="359" spans="104:105" x14ac:dyDescent="0.2">
      <c r="CZ359" s="12"/>
      <c r="DA359" s="12"/>
    </row>
    <row r="360" spans="104:105" x14ac:dyDescent="0.2">
      <c r="CZ360" s="12"/>
      <c r="DA360" s="12"/>
    </row>
    <row r="361" spans="104:105" x14ac:dyDescent="0.2">
      <c r="CZ361" s="12"/>
      <c r="DA361" s="12"/>
    </row>
    <row r="362" spans="104:105" x14ac:dyDescent="0.2">
      <c r="CZ362" s="12"/>
      <c r="DA362" s="12"/>
    </row>
    <row r="363" spans="104:105" x14ac:dyDescent="0.2">
      <c r="CZ363" s="12"/>
      <c r="DA363" s="12"/>
    </row>
    <row r="364" spans="104:105" x14ac:dyDescent="0.2">
      <c r="CZ364" s="12"/>
      <c r="DA364" s="12"/>
    </row>
    <row r="365" spans="104:105" x14ac:dyDescent="0.2">
      <c r="CZ365" s="12"/>
      <c r="DA365" s="12"/>
    </row>
    <row r="366" spans="104:105" x14ac:dyDescent="0.2">
      <c r="CZ366" s="12"/>
      <c r="DA366" s="12"/>
    </row>
    <row r="367" spans="104:105" x14ac:dyDescent="0.2">
      <c r="CZ367" s="12"/>
      <c r="DA367" s="12"/>
    </row>
    <row r="368" spans="104:105" x14ac:dyDescent="0.2">
      <c r="CZ368" s="12"/>
      <c r="DA368" s="12"/>
    </row>
    <row r="369" spans="104:105" x14ac:dyDescent="0.2">
      <c r="CZ369" s="12"/>
      <c r="DA369" s="12"/>
    </row>
    <row r="370" spans="104:105" x14ac:dyDescent="0.2">
      <c r="CZ370" s="12"/>
      <c r="DA370" s="12"/>
    </row>
    <row r="371" spans="104:105" x14ac:dyDescent="0.2">
      <c r="CZ371" s="12"/>
      <c r="DA371" s="12"/>
    </row>
    <row r="372" spans="104:105" x14ac:dyDescent="0.2">
      <c r="CZ372" s="12"/>
      <c r="DA372" s="12"/>
    </row>
    <row r="373" spans="104:105" x14ac:dyDescent="0.2">
      <c r="CZ373" s="12"/>
      <c r="DA373" s="12"/>
    </row>
    <row r="374" spans="104:105" x14ac:dyDescent="0.2">
      <c r="CZ374" s="12"/>
      <c r="DA374" s="12"/>
    </row>
    <row r="375" spans="104:105" x14ac:dyDescent="0.2">
      <c r="CZ375" s="12"/>
      <c r="DA375" s="12"/>
    </row>
    <row r="376" spans="104:105" x14ac:dyDescent="0.2">
      <c r="CZ376" s="12"/>
      <c r="DA376" s="12"/>
    </row>
    <row r="377" spans="104:105" x14ac:dyDescent="0.2">
      <c r="CZ377" s="12"/>
      <c r="DA377" s="12"/>
    </row>
    <row r="378" spans="104:105" x14ac:dyDescent="0.2">
      <c r="CZ378" s="12"/>
      <c r="DA378" s="12"/>
    </row>
    <row r="379" spans="104:105" x14ac:dyDescent="0.2">
      <c r="CZ379" s="12"/>
      <c r="DA379" s="12"/>
    </row>
    <row r="380" spans="104:105" x14ac:dyDescent="0.2">
      <c r="CZ380" s="12"/>
      <c r="DA380" s="12"/>
    </row>
    <row r="381" spans="104:105" x14ac:dyDescent="0.2">
      <c r="CZ381" s="12"/>
      <c r="DA381" s="12"/>
    </row>
    <row r="382" spans="104:105" x14ac:dyDescent="0.2">
      <c r="CZ382" s="12"/>
      <c r="DA382" s="12"/>
    </row>
    <row r="383" spans="104:105" x14ac:dyDescent="0.2">
      <c r="CZ383" s="12"/>
      <c r="DA383" s="12"/>
    </row>
    <row r="384" spans="104:105" x14ac:dyDescent="0.2">
      <c r="CZ384" s="12"/>
      <c r="DA384" s="12"/>
    </row>
    <row r="385" spans="104:105" x14ac:dyDescent="0.2">
      <c r="CZ385" s="12"/>
      <c r="DA385" s="12"/>
    </row>
    <row r="386" spans="104:105" x14ac:dyDescent="0.2">
      <c r="CZ386" s="12"/>
      <c r="DA386" s="12"/>
    </row>
    <row r="387" spans="104:105" x14ac:dyDescent="0.2">
      <c r="CZ387" s="12"/>
      <c r="DA387" s="12"/>
    </row>
    <row r="388" spans="104:105" x14ac:dyDescent="0.2">
      <c r="CZ388" s="12"/>
      <c r="DA388" s="12"/>
    </row>
    <row r="389" spans="104:105" x14ac:dyDescent="0.2">
      <c r="CZ389" s="12"/>
      <c r="DA389" s="12"/>
    </row>
    <row r="390" spans="104:105" x14ac:dyDescent="0.2">
      <c r="CZ390" s="12"/>
      <c r="DA390" s="12"/>
    </row>
    <row r="391" spans="104:105" x14ac:dyDescent="0.2">
      <c r="CZ391" s="12"/>
      <c r="DA391" s="12"/>
    </row>
    <row r="392" spans="104:105" x14ac:dyDescent="0.2">
      <c r="CZ392" s="12"/>
      <c r="DA392" s="12"/>
    </row>
    <row r="393" spans="104:105" x14ac:dyDescent="0.2">
      <c r="CZ393" s="12"/>
      <c r="DA393" s="12"/>
    </row>
    <row r="394" spans="104:105" x14ac:dyDescent="0.2">
      <c r="CZ394" s="12"/>
      <c r="DA394" s="12"/>
    </row>
    <row r="395" spans="104:105" x14ac:dyDescent="0.2">
      <c r="CZ395" s="12"/>
      <c r="DA395" s="12"/>
    </row>
    <row r="396" spans="104:105" x14ac:dyDescent="0.2">
      <c r="CZ396" s="12"/>
      <c r="DA396" s="12"/>
    </row>
    <row r="397" spans="104:105" x14ac:dyDescent="0.2">
      <c r="CZ397" s="12"/>
      <c r="DA397" s="12"/>
    </row>
    <row r="398" spans="104:105" x14ac:dyDescent="0.2">
      <c r="CZ398" s="12"/>
      <c r="DA398" s="12"/>
    </row>
    <row r="399" spans="104:105" x14ac:dyDescent="0.2">
      <c r="CZ399" s="12"/>
      <c r="DA399" s="12"/>
    </row>
    <row r="400" spans="104:105" x14ac:dyDescent="0.2">
      <c r="CZ400" s="12"/>
      <c r="DA400" s="12"/>
    </row>
    <row r="401" spans="104:105" x14ac:dyDescent="0.2">
      <c r="CZ401" s="12"/>
      <c r="DA401" s="12"/>
    </row>
    <row r="402" spans="104:105" x14ac:dyDescent="0.2">
      <c r="CZ402" s="12"/>
      <c r="DA402" s="12"/>
    </row>
    <row r="403" spans="104:105" x14ac:dyDescent="0.2">
      <c r="CZ403" s="12"/>
      <c r="DA403" s="12"/>
    </row>
    <row r="404" spans="104:105" x14ac:dyDescent="0.2">
      <c r="CZ404" s="12"/>
      <c r="DA404" s="12"/>
    </row>
    <row r="405" spans="104:105" x14ac:dyDescent="0.2">
      <c r="CZ405" s="12"/>
      <c r="DA405" s="12"/>
    </row>
    <row r="406" spans="104:105" x14ac:dyDescent="0.2">
      <c r="CZ406" s="12"/>
      <c r="DA406" s="12"/>
    </row>
    <row r="407" spans="104:105" x14ac:dyDescent="0.2">
      <c r="CZ407" s="12"/>
      <c r="DA407" s="12"/>
    </row>
    <row r="408" spans="104:105" x14ac:dyDescent="0.2">
      <c r="CZ408" s="12"/>
      <c r="DA408" s="12"/>
    </row>
    <row r="409" spans="104:105" x14ac:dyDescent="0.2">
      <c r="CZ409" s="12"/>
      <c r="DA409" s="12"/>
    </row>
    <row r="410" spans="104:105" x14ac:dyDescent="0.2">
      <c r="CZ410" s="12"/>
      <c r="DA410" s="12"/>
    </row>
    <row r="411" spans="104:105" x14ac:dyDescent="0.2">
      <c r="CZ411" s="12"/>
      <c r="DA411" s="12"/>
    </row>
    <row r="412" spans="104:105" x14ac:dyDescent="0.2">
      <c r="CZ412" s="12"/>
      <c r="DA412" s="12"/>
    </row>
    <row r="413" spans="104:105" x14ac:dyDescent="0.2">
      <c r="CZ413" s="12"/>
      <c r="DA413" s="12"/>
    </row>
    <row r="414" spans="104:105" x14ac:dyDescent="0.2">
      <c r="CZ414" s="12"/>
      <c r="DA414" s="12"/>
    </row>
    <row r="415" spans="104:105" x14ac:dyDescent="0.2">
      <c r="CZ415" s="12"/>
      <c r="DA415" s="12"/>
    </row>
    <row r="416" spans="104:105" x14ac:dyDescent="0.2">
      <c r="CZ416" s="12"/>
      <c r="DA416" s="12"/>
    </row>
    <row r="417" spans="104:105" x14ac:dyDescent="0.2">
      <c r="CZ417" s="12"/>
      <c r="DA417" s="12"/>
    </row>
    <row r="418" spans="104:105" x14ac:dyDescent="0.2">
      <c r="CZ418" s="12"/>
      <c r="DA418" s="12"/>
    </row>
    <row r="419" spans="104:105" x14ac:dyDescent="0.2">
      <c r="CZ419" s="12"/>
      <c r="DA419" s="12"/>
    </row>
    <row r="420" spans="104:105" x14ac:dyDescent="0.2">
      <c r="CZ420" s="12"/>
      <c r="DA420" s="12"/>
    </row>
    <row r="421" spans="104:105" x14ac:dyDescent="0.2">
      <c r="CZ421" s="12"/>
      <c r="DA421" s="12"/>
    </row>
    <row r="422" spans="104:105" x14ac:dyDescent="0.2">
      <c r="CZ422" s="12"/>
      <c r="DA422" s="12"/>
    </row>
    <row r="423" spans="104:105" x14ac:dyDescent="0.2">
      <c r="CZ423" s="12"/>
      <c r="DA423" s="12"/>
    </row>
    <row r="424" spans="104:105" x14ac:dyDescent="0.2">
      <c r="CZ424" s="12"/>
      <c r="DA424" s="12"/>
    </row>
    <row r="425" spans="104:105" x14ac:dyDescent="0.2">
      <c r="CZ425" s="12"/>
      <c r="DA425" s="12"/>
    </row>
    <row r="426" spans="104:105" x14ac:dyDescent="0.2">
      <c r="CZ426" s="12"/>
      <c r="DA426" s="12"/>
    </row>
    <row r="427" spans="104:105" x14ac:dyDescent="0.2">
      <c r="CZ427" s="12"/>
      <c r="DA427" s="12"/>
    </row>
    <row r="428" spans="104:105" x14ac:dyDescent="0.2">
      <c r="CZ428" s="12"/>
      <c r="DA428" s="12"/>
    </row>
    <row r="429" spans="104:105" x14ac:dyDescent="0.2">
      <c r="CZ429" s="12"/>
      <c r="DA429" s="12"/>
    </row>
    <row r="430" spans="104:105" x14ac:dyDescent="0.2">
      <c r="CZ430" s="12"/>
      <c r="DA430" s="12"/>
    </row>
    <row r="431" spans="104:105" x14ac:dyDescent="0.2">
      <c r="CZ431" s="12"/>
      <c r="DA431" s="12"/>
    </row>
    <row r="432" spans="104:105" x14ac:dyDescent="0.2">
      <c r="CZ432" s="12"/>
      <c r="DA432" s="12"/>
    </row>
    <row r="433" spans="104:105" x14ac:dyDescent="0.2">
      <c r="CZ433" s="12"/>
      <c r="DA433" s="12"/>
    </row>
    <row r="434" spans="104:105" x14ac:dyDescent="0.2">
      <c r="CZ434" s="12"/>
      <c r="DA434" s="12"/>
    </row>
    <row r="435" spans="104:105" x14ac:dyDescent="0.2">
      <c r="CZ435" s="12"/>
      <c r="DA435" s="12"/>
    </row>
    <row r="436" spans="104:105" x14ac:dyDescent="0.2">
      <c r="CZ436" s="12"/>
      <c r="DA436" s="12"/>
    </row>
    <row r="437" spans="104:105" x14ac:dyDescent="0.2">
      <c r="CZ437" s="12"/>
      <c r="DA437" s="12"/>
    </row>
    <row r="438" spans="104:105" x14ac:dyDescent="0.2">
      <c r="CZ438" s="12"/>
      <c r="DA438" s="12"/>
    </row>
    <row r="439" spans="104:105" x14ac:dyDescent="0.2">
      <c r="CZ439" s="12"/>
      <c r="DA439" s="12"/>
    </row>
    <row r="440" spans="104:105" x14ac:dyDescent="0.2">
      <c r="CZ440" s="12"/>
      <c r="DA440" s="12"/>
    </row>
    <row r="441" spans="104:105" x14ac:dyDescent="0.2">
      <c r="CZ441" s="12"/>
      <c r="DA441" s="12"/>
    </row>
    <row r="442" spans="104:105" x14ac:dyDescent="0.2">
      <c r="CZ442" s="12"/>
      <c r="DA442" s="12"/>
    </row>
    <row r="443" spans="104:105" x14ac:dyDescent="0.2">
      <c r="CZ443" s="12"/>
      <c r="DA443" s="12"/>
    </row>
    <row r="444" spans="104:105" x14ac:dyDescent="0.2">
      <c r="CZ444" s="12"/>
      <c r="DA444" s="12"/>
    </row>
    <row r="445" spans="104:105" x14ac:dyDescent="0.2">
      <c r="CZ445" s="12"/>
      <c r="DA445" s="12"/>
    </row>
    <row r="446" spans="104:105" x14ac:dyDescent="0.2">
      <c r="CZ446" s="12"/>
      <c r="DA446" s="12"/>
    </row>
    <row r="447" spans="104:105" x14ac:dyDescent="0.2">
      <c r="CZ447" s="12"/>
      <c r="DA447" s="12"/>
    </row>
    <row r="448" spans="104:105" x14ac:dyDescent="0.2">
      <c r="CZ448" s="12"/>
      <c r="DA448" s="12"/>
    </row>
    <row r="449" spans="104:105" x14ac:dyDescent="0.2">
      <c r="CZ449" s="12"/>
      <c r="DA449" s="12"/>
    </row>
    <row r="450" spans="104:105" x14ac:dyDescent="0.2">
      <c r="CZ450" s="12"/>
      <c r="DA450" s="12"/>
    </row>
    <row r="451" spans="104:105" x14ac:dyDescent="0.2">
      <c r="CZ451" s="12"/>
      <c r="DA451" s="12"/>
    </row>
    <row r="452" spans="104:105" x14ac:dyDescent="0.2">
      <c r="CZ452" s="12"/>
      <c r="DA452" s="12"/>
    </row>
    <row r="453" spans="104:105" x14ac:dyDescent="0.2">
      <c r="CZ453" s="12"/>
      <c r="DA453" s="12"/>
    </row>
    <row r="454" spans="104:105" x14ac:dyDescent="0.2">
      <c r="CZ454" s="12"/>
      <c r="DA454" s="12"/>
    </row>
    <row r="455" spans="104:105" x14ac:dyDescent="0.2">
      <c r="CZ455" s="12"/>
      <c r="DA455" s="12"/>
    </row>
    <row r="456" spans="104:105" x14ac:dyDescent="0.2">
      <c r="CZ456" s="12"/>
      <c r="DA456" s="12"/>
    </row>
    <row r="457" spans="104:105" x14ac:dyDescent="0.2">
      <c r="CZ457" s="12"/>
      <c r="DA457" s="12"/>
    </row>
    <row r="458" spans="104:105" x14ac:dyDescent="0.2">
      <c r="CZ458" s="12"/>
      <c r="DA458" s="12"/>
    </row>
    <row r="459" spans="104:105" x14ac:dyDescent="0.2">
      <c r="CZ459" s="12"/>
      <c r="DA459" s="12"/>
    </row>
    <row r="460" spans="104:105" x14ac:dyDescent="0.2">
      <c r="CZ460" s="12"/>
      <c r="DA460" s="12"/>
    </row>
    <row r="461" spans="104:105" x14ac:dyDescent="0.2">
      <c r="CZ461" s="12"/>
      <c r="DA461" s="12"/>
    </row>
    <row r="462" spans="104:105" x14ac:dyDescent="0.2">
      <c r="CZ462" s="12"/>
      <c r="DA462" s="12"/>
    </row>
    <row r="463" spans="104:105" x14ac:dyDescent="0.2">
      <c r="CZ463" s="12"/>
      <c r="DA463" s="12"/>
    </row>
    <row r="464" spans="104:105" x14ac:dyDescent="0.2">
      <c r="CZ464" s="12"/>
      <c r="DA464" s="12"/>
    </row>
    <row r="465" spans="104:105" x14ac:dyDescent="0.2">
      <c r="CZ465" s="12"/>
      <c r="DA465" s="12"/>
    </row>
    <row r="466" spans="104:105" x14ac:dyDescent="0.2">
      <c r="CZ466" s="12"/>
      <c r="DA466" s="12"/>
    </row>
    <row r="467" spans="104:105" x14ac:dyDescent="0.2">
      <c r="CZ467" s="12"/>
      <c r="DA467" s="12"/>
    </row>
    <row r="468" spans="104:105" x14ac:dyDescent="0.2">
      <c r="CZ468" s="12"/>
      <c r="DA468" s="12"/>
    </row>
    <row r="469" spans="104:105" x14ac:dyDescent="0.2">
      <c r="CZ469" s="12"/>
      <c r="DA469" s="12"/>
    </row>
    <row r="470" spans="104:105" x14ac:dyDescent="0.2">
      <c r="CZ470" s="12"/>
      <c r="DA470" s="12"/>
    </row>
    <row r="471" spans="104:105" x14ac:dyDescent="0.2">
      <c r="CZ471" s="12"/>
      <c r="DA471" s="12"/>
    </row>
    <row r="472" spans="104:105" x14ac:dyDescent="0.2">
      <c r="CZ472" s="12"/>
      <c r="DA472" s="12"/>
    </row>
    <row r="473" spans="104:105" x14ac:dyDescent="0.2">
      <c r="CZ473" s="12"/>
      <c r="DA473" s="12"/>
    </row>
    <row r="474" spans="104:105" x14ac:dyDescent="0.2">
      <c r="CZ474" s="12"/>
      <c r="DA474" s="12"/>
    </row>
    <row r="475" spans="104:105" x14ac:dyDescent="0.2">
      <c r="CZ475" s="12"/>
      <c r="DA475" s="12"/>
    </row>
    <row r="476" spans="104:105" x14ac:dyDescent="0.2">
      <c r="CZ476" s="12"/>
      <c r="DA476" s="12"/>
    </row>
    <row r="477" spans="104:105" x14ac:dyDescent="0.2">
      <c r="CZ477" s="12"/>
      <c r="DA477" s="12"/>
    </row>
    <row r="478" spans="104:105" x14ac:dyDescent="0.2">
      <c r="CZ478" s="12"/>
      <c r="DA478" s="12"/>
    </row>
    <row r="479" spans="104:105" x14ac:dyDescent="0.2">
      <c r="CZ479" s="12"/>
      <c r="DA479" s="12"/>
    </row>
    <row r="480" spans="104:105" x14ac:dyDescent="0.2">
      <c r="CZ480" s="12"/>
      <c r="DA480" s="12"/>
    </row>
    <row r="481" spans="104:105" x14ac:dyDescent="0.2">
      <c r="CZ481" s="12"/>
      <c r="DA481" s="12"/>
    </row>
    <row r="482" spans="104:105" x14ac:dyDescent="0.2">
      <c r="CZ482" s="12"/>
      <c r="DA482" s="12"/>
    </row>
    <row r="483" spans="104:105" x14ac:dyDescent="0.2">
      <c r="CZ483" s="12"/>
      <c r="DA483" s="12"/>
    </row>
    <row r="484" spans="104:105" x14ac:dyDescent="0.2">
      <c r="CZ484" s="12"/>
      <c r="DA484" s="12"/>
    </row>
    <row r="485" spans="104:105" x14ac:dyDescent="0.2">
      <c r="CZ485" s="12"/>
      <c r="DA485" s="12"/>
    </row>
    <row r="486" spans="104:105" x14ac:dyDescent="0.2">
      <c r="CZ486" s="12"/>
      <c r="DA486" s="12"/>
    </row>
    <row r="487" spans="104:105" x14ac:dyDescent="0.2">
      <c r="CZ487" s="12"/>
      <c r="DA487" s="12"/>
    </row>
    <row r="488" spans="104:105" x14ac:dyDescent="0.2">
      <c r="CZ488" s="12"/>
      <c r="DA488" s="12"/>
    </row>
    <row r="489" spans="104:105" x14ac:dyDescent="0.2">
      <c r="CZ489" s="12"/>
      <c r="DA489" s="12"/>
    </row>
    <row r="490" spans="104:105" x14ac:dyDescent="0.2">
      <c r="CZ490" s="12"/>
      <c r="DA490" s="12"/>
    </row>
    <row r="491" spans="104:105" x14ac:dyDescent="0.2">
      <c r="CZ491" s="12"/>
      <c r="DA491" s="12"/>
    </row>
    <row r="492" spans="104:105" x14ac:dyDescent="0.2">
      <c r="CZ492" s="12"/>
      <c r="DA492" s="12"/>
    </row>
    <row r="493" spans="104:105" x14ac:dyDescent="0.2">
      <c r="CZ493" s="12"/>
      <c r="DA493" s="12"/>
    </row>
    <row r="494" spans="104:105" x14ac:dyDescent="0.2">
      <c r="CZ494" s="12"/>
      <c r="DA494" s="12"/>
    </row>
    <row r="495" spans="104:105" x14ac:dyDescent="0.2">
      <c r="CZ495" s="12"/>
      <c r="DA495" s="12"/>
    </row>
    <row r="496" spans="104:105" x14ac:dyDescent="0.2">
      <c r="CZ496" s="12"/>
      <c r="DA496" s="12"/>
    </row>
    <row r="497" spans="104:105" x14ac:dyDescent="0.2">
      <c r="CZ497" s="12"/>
      <c r="DA497" s="12"/>
    </row>
    <row r="498" spans="104:105" x14ac:dyDescent="0.2">
      <c r="CZ498" s="12"/>
      <c r="DA498" s="12"/>
    </row>
    <row r="499" spans="104:105" x14ac:dyDescent="0.2">
      <c r="CZ499" s="12"/>
      <c r="DA499" s="12"/>
    </row>
    <row r="500" spans="104:105" x14ac:dyDescent="0.2">
      <c r="CZ500" s="12"/>
      <c r="DA500" s="12"/>
    </row>
    <row r="501" spans="104:105" x14ac:dyDescent="0.2">
      <c r="CZ501" s="12"/>
      <c r="DA501" s="12"/>
    </row>
    <row r="502" spans="104:105" x14ac:dyDescent="0.2">
      <c r="CZ502" s="12"/>
      <c r="DA502" s="12"/>
    </row>
    <row r="503" spans="104:105" x14ac:dyDescent="0.2">
      <c r="CZ503" s="12"/>
      <c r="DA503" s="12"/>
    </row>
    <row r="504" spans="104:105" x14ac:dyDescent="0.2">
      <c r="CZ504" s="12"/>
      <c r="DA504" s="12"/>
    </row>
    <row r="505" spans="104:105" x14ac:dyDescent="0.2">
      <c r="CZ505" s="12"/>
      <c r="DA505" s="12"/>
    </row>
    <row r="506" spans="104:105" x14ac:dyDescent="0.2">
      <c r="CZ506" s="12"/>
      <c r="DA506" s="12"/>
    </row>
    <row r="507" spans="104:105" x14ac:dyDescent="0.2">
      <c r="CZ507" s="12"/>
      <c r="DA507" s="12"/>
    </row>
    <row r="508" spans="104:105" x14ac:dyDescent="0.2">
      <c r="CZ508" s="12"/>
      <c r="DA508" s="12"/>
    </row>
    <row r="509" spans="104:105" x14ac:dyDescent="0.2">
      <c r="CZ509" s="12"/>
      <c r="DA509" s="12"/>
    </row>
    <row r="510" spans="104:105" x14ac:dyDescent="0.2">
      <c r="CZ510" s="12"/>
      <c r="DA510" s="12"/>
    </row>
    <row r="511" spans="104:105" x14ac:dyDescent="0.2">
      <c r="CZ511" s="12"/>
      <c r="DA511" s="12"/>
    </row>
    <row r="512" spans="104:105" x14ac:dyDescent="0.2">
      <c r="CZ512" s="12"/>
      <c r="DA512" s="12"/>
    </row>
    <row r="513" spans="104:105" x14ac:dyDescent="0.2">
      <c r="CZ513" s="12"/>
      <c r="DA513" s="12"/>
    </row>
    <row r="514" spans="104:105" x14ac:dyDescent="0.2">
      <c r="CZ514" s="12"/>
      <c r="DA514" s="12"/>
    </row>
    <row r="515" spans="104:105" x14ac:dyDescent="0.2">
      <c r="CZ515" s="12"/>
      <c r="DA515" s="12"/>
    </row>
    <row r="516" spans="104:105" x14ac:dyDescent="0.2">
      <c r="CZ516" s="12"/>
      <c r="DA516" s="12"/>
    </row>
    <row r="517" spans="104:105" x14ac:dyDescent="0.2">
      <c r="CZ517" s="12"/>
      <c r="DA517" s="12"/>
    </row>
    <row r="518" spans="104:105" x14ac:dyDescent="0.2">
      <c r="CZ518" s="12"/>
      <c r="DA518" s="12"/>
    </row>
    <row r="519" spans="104:105" x14ac:dyDescent="0.2">
      <c r="CZ519" s="12"/>
      <c r="DA519" s="12"/>
    </row>
    <row r="520" spans="104:105" x14ac:dyDescent="0.2">
      <c r="CZ520" s="12"/>
      <c r="DA520" s="12"/>
    </row>
    <row r="521" spans="104:105" x14ac:dyDescent="0.2">
      <c r="CZ521" s="12"/>
      <c r="DA521" s="12"/>
    </row>
    <row r="522" spans="104:105" x14ac:dyDescent="0.2">
      <c r="CZ522" s="12"/>
      <c r="DA522" s="12"/>
    </row>
    <row r="523" spans="104:105" x14ac:dyDescent="0.2">
      <c r="CZ523" s="12"/>
      <c r="DA523" s="12"/>
    </row>
    <row r="524" spans="104:105" x14ac:dyDescent="0.2">
      <c r="CZ524" s="12"/>
      <c r="DA524" s="12"/>
    </row>
    <row r="525" spans="104:105" x14ac:dyDescent="0.2">
      <c r="CZ525" s="12"/>
      <c r="DA525" s="12"/>
    </row>
    <row r="526" spans="104:105" x14ac:dyDescent="0.2">
      <c r="CZ526" s="12"/>
      <c r="DA526" s="12"/>
    </row>
    <row r="527" spans="104:105" x14ac:dyDescent="0.2">
      <c r="CZ527" s="12"/>
      <c r="DA527" s="12"/>
    </row>
    <row r="528" spans="104:105" x14ac:dyDescent="0.2">
      <c r="CZ528" s="12"/>
      <c r="DA528" s="12"/>
    </row>
    <row r="529" spans="104:105" x14ac:dyDescent="0.2">
      <c r="CZ529" s="12"/>
      <c r="DA529" s="12"/>
    </row>
    <row r="530" spans="104:105" x14ac:dyDescent="0.2">
      <c r="CZ530" s="12"/>
      <c r="DA530" s="12"/>
    </row>
    <row r="531" spans="104:105" x14ac:dyDescent="0.2">
      <c r="CZ531" s="12"/>
      <c r="DA531" s="12"/>
    </row>
    <row r="532" spans="104:105" x14ac:dyDescent="0.2">
      <c r="CZ532" s="12"/>
      <c r="DA532" s="12"/>
    </row>
    <row r="533" spans="104:105" x14ac:dyDescent="0.2">
      <c r="CZ533" s="12"/>
      <c r="DA533" s="12"/>
    </row>
    <row r="534" spans="104:105" x14ac:dyDescent="0.2">
      <c r="CZ534" s="12"/>
      <c r="DA534" s="12"/>
    </row>
    <row r="535" spans="104:105" x14ac:dyDescent="0.2">
      <c r="CZ535" s="12"/>
      <c r="DA535" s="12"/>
    </row>
    <row r="536" spans="104:105" x14ac:dyDescent="0.2">
      <c r="CZ536" s="12"/>
      <c r="DA536" s="12"/>
    </row>
    <row r="537" spans="104:105" x14ac:dyDescent="0.2">
      <c r="CZ537" s="12"/>
      <c r="DA537" s="12"/>
    </row>
    <row r="538" spans="104:105" x14ac:dyDescent="0.2">
      <c r="CZ538" s="12"/>
      <c r="DA538" s="12"/>
    </row>
    <row r="539" spans="104:105" x14ac:dyDescent="0.2">
      <c r="CZ539" s="12"/>
      <c r="DA539" s="12"/>
    </row>
    <row r="540" spans="104:105" x14ac:dyDescent="0.2">
      <c r="CZ540" s="12"/>
      <c r="DA540" s="12"/>
    </row>
    <row r="541" spans="104:105" x14ac:dyDescent="0.2">
      <c r="CZ541" s="12"/>
      <c r="DA541" s="12"/>
    </row>
    <row r="542" spans="104:105" x14ac:dyDescent="0.2">
      <c r="CZ542" s="12"/>
      <c r="DA542" s="12"/>
    </row>
    <row r="543" spans="104:105" x14ac:dyDescent="0.2">
      <c r="CZ543" s="12"/>
      <c r="DA543" s="12"/>
    </row>
    <row r="544" spans="104:105" x14ac:dyDescent="0.2">
      <c r="CZ544" s="12"/>
      <c r="DA544" s="12"/>
    </row>
    <row r="545" spans="104:105" x14ac:dyDescent="0.2">
      <c r="CZ545" s="12"/>
      <c r="DA545" s="12"/>
    </row>
    <row r="546" spans="104:105" x14ac:dyDescent="0.2">
      <c r="CZ546" s="12"/>
      <c r="DA546" s="12"/>
    </row>
    <row r="547" spans="104:105" x14ac:dyDescent="0.2">
      <c r="CZ547" s="12"/>
      <c r="DA547" s="12"/>
    </row>
    <row r="548" spans="104:105" x14ac:dyDescent="0.2">
      <c r="CZ548" s="12"/>
      <c r="DA548" s="12"/>
    </row>
    <row r="549" spans="104:105" x14ac:dyDescent="0.2">
      <c r="CZ549" s="12"/>
      <c r="DA549" s="12"/>
    </row>
    <row r="550" spans="104:105" x14ac:dyDescent="0.2">
      <c r="CZ550" s="12"/>
      <c r="DA550" s="12"/>
    </row>
    <row r="551" spans="104:105" x14ac:dyDescent="0.2">
      <c r="CZ551" s="12"/>
      <c r="DA551" s="12"/>
    </row>
    <row r="552" spans="104:105" x14ac:dyDescent="0.2">
      <c r="CZ552" s="12"/>
      <c r="DA552" s="12"/>
    </row>
    <row r="553" spans="104:105" x14ac:dyDescent="0.2">
      <c r="CZ553" s="12"/>
      <c r="DA553" s="12"/>
    </row>
    <row r="554" spans="104:105" x14ac:dyDescent="0.2">
      <c r="CZ554" s="12"/>
      <c r="DA554" s="12"/>
    </row>
    <row r="555" spans="104:105" x14ac:dyDescent="0.2">
      <c r="CZ555" s="12"/>
      <c r="DA555" s="12"/>
    </row>
    <row r="556" spans="104:105" x14ac:dyDescent="0.2">
      <c r="CZ556" s="12"/>
      <c r="DA556" s="12"/>
    </row>
    <row r="557" spans="104:105" x14ac:dyDescent="0.2">
      <c r="CZ557" s="12"/>
      <c r="DA557" s="12"/>
    </row>
    <row r="558" spans="104:105" x14ac:dyDescent="0.2">
      <c r="CZ558" s="12"/>
      <c r="DA558" s="12"/>
    </row>
    <row r="559" spans="104:105" x14ac:dyDescent="0.2">
      <c r="CZ559" s="12"/>
      <c r="DA559" s="12"/>
    </row>
    <row r="560" spans="104:105" x14ac:dyDescent="0.2">
      <c r="CZ560" s="12"/>
      <c r="DA560" s="12"/>
    </row>
    <row r="561" spans="104:105" x14ac:dyDescent="0.2">
      <c r="CZ561" s="12"/>
      <c r="DA561" s="12"/>
    </row>
    <row r="562" spans="104:105" x14ac:dyDescent="0.2">
      <c r="CZ562" s="12"/>
      <c r="DA562" s="12"/>
    </row>
    <row r="563" spans="104:105" x14ac:dyDescent="0.2">
      <c r="CZ563" s="12"/>
      <c r="DA563" s="12"/>
    </row>
    <row r="564" spans="104:105" x14ac:dyDescent="0.2">
      <c r="CZ564" s="12"/>
      <c r="DA564" s="12"/>
    </row>
    <row r="565" spans="104:105" x14ac:dyDescent="0.2">
      <c r="CZ565" s="12"/>
      <c r="DA565" s="12"/>
    </row>
    <row r="566" spans="104:105" x14ac:dyDescent="0.2">
      <c r="CZ566" s="12"/>
      <c r="DA566" s="12"/>
    </row>
    <row r="567" spans="104:105" x14ac:dyDescent="0.2">
      <c r="CZ567" s="12"/>
      <c r="DA567" s="12"/>
    </row>
    <row r="568" spans="104:105" x14ac:dyDescent="0.2">
      <c r="CZ568" s="12"/>
      <c r="DA568" s="12"/>
    </row>
    <row r="569" spans="104:105" x14ac:dyDescent="0.2">
      <c r="CZ569" s="12"/>
      <c r="DA569" s="12"/>
    </row>
    <row r="570" spans="104:105" x14ac:dyDescent="0.2">
      <c r="CZ570" s="12"/>
      <c r="DA570" s="12"/>
    </row>
    <row r="571" spans="104:105" x14ac:dyDescent="0.2">
      <c r="CZ571" s="12"/>
      <c r="DA571" s="12"/>
    </row>
    <row r="572" spans="104:105" x14ac:dyDescent="0.2">
      <c r="CZ572" s="12"/>
      <c r="DA572" s="12"/>
    </row>
    <row r="573" spans="104:105" x14ac:dyDescent="0.2">
      <c r="CZ573" s="12"/>
      <c r="DA573" s="12"/>
    </row>
    <row r="574" spans="104:105" x14ac:dyDescent="0.2">
      <c r="CZ574" s="12"/>
      <c r="DA574" s="12"/>
    </row>
    <row r="575" spans="104:105" x14ac:dyDescent="0.2">
      <c r="CZ575" s="12"/>
      <c r="DA575" s="12"/>
    </row>
    <row r="576" spans="104:105" x14ac:dyDescent="0.2">
      <c r="CZ576" s="12"/>
      <c r="DA576" s="12"/>
    </row>
    <row r="577" spans="104:105" x14ac:dyDescent="0.2">
      <c r="CZ577" s="12"/>
      <c r="DA577" s="12"/>
    </row>
    <row r="578" spans="104:105" x14ac:dyDescent="0.2">
      <c r="CZ578" s="12"/>
      <c r="DA578" s="12"/>
    </row>
    <row r="579" spans="104:105" x14ac:dyDescent="0.2">
      <c r="CZ579" s="12"/>
      <c r="DA579" s="12"/>
    </row>
    <row r="580" spans="104:105" x14ac:dyDescent="0.2">
      <c r="CZ580" s="12"/>
      <c r="DA580" s="12"/>
    </row>
    <row r="581" spans="104:105" x14ac:dyDescent="0.2">
      <c r="CZ581" s="12"/>
      <c r="DA581" s="12"/>
    </row>
    <row r="582" spans="104:105" x14ac:dyDescent="0.2">
      <c r="CZ582" s="12"/>
      <c r="DA582" s="12"/>
    </row>
    <row r="583" spans="104:105" x14ac:dyDescent="0.2">
      <c r="CZ583" s="12"/>
      <c r="DA583" s="12"/>
    </row>
    <row r="584" spans="104:105" x14ac:dyDescent="0.2">
      <c r="CZ584" s="12"/>
      <c r="DA584" s="12"/>
    </row>
    <row r="585" spans="104:105" x14ac:dyDescent="0.2">
      <c r="CZ585" s="12"/>
      <c r="DA585" s="12"/>
    </row>
    <row r="586" spans="104:105" x14ac:dyDescent="0.2">
      <c r="CZ586" s="12"/>
      <c r="DA586" s="12"/>
    </row>
    <row r="587" spans="104:105" x14ac:dyDescent="0.2">
      <c r="CZ587" s="12"/>
      <c r="DA587" s="12"/>
    </row>
    <row r="588" spans="104:105" x14ac:dyDescent="0.2">
      <c r="CZ588" s="12"/>
      <c r="DA588" s="12"/>
    </row>
    <row r="589" spans="104:105" x14ac:dyDescent="0.2">
      <c r="CZ589" s="12"/>
      <c r="DA589" s="12"/>
    </row>
    <row r="590" spans="104:105" x14ac:dyDescent="0.2">
      <c r="CZ590" s="12"/>
      <c r="DA590" s="12"/>
    </row>
    <row r="591" spans="104:105" x14ac:dyDescent="0.2">
      <c r="CZ591" s="12"/>
      <c r="DA591" s="12"/>
    </row>
    <row r="592" spans="104:105" x14ac:dyDescent="0.2">
      <c r="CZ592" s="12"/>
      <c r="DA592" s="12"/>
    </row>
    <row r="593" spans="104:105" x14ac:dyDescent="0.2">
      <c r="CZ593" s="12"/>
      <c r="DA593" s="12"/>
    </row>
    <row r="594" spans="104:105" x14ac:dyDescent="0.2">
      <c r="CZ594" s="12"/>
      <c r="DA594" s="12"/>
    </row>
    <row r="595" spans="104:105" x14ac:dyDescent="0.2">
      <c r="CZ595" s="12"/>
      <c r="DA595" s="12"/>
    </row>
    <row r="596" spans="104:105" x14ac:dyDescent="0.2">
      <c r="CZ596" s="12"/>
      <c r="DA596" s="12"/>
    </row>
    <row r="597" spans="104:105" x14ac:dyDescent="0.2">
      <c r="CZ597" s="12"/>
      <c r="DA597" s="12"/>
    </row>
    <row r="598" spans="104:105" x14ac:dyDescent="0.2">
      <c r="CZ598" s="12"/>
      <c r="DA598" s="12"/>
    </row>
    <row r="599" spans="104:105" x14ac:dyDescent="0.2">
      <c r="CZ599" s="12"/>
      <c r="DA599" s="12"/>
    </row>
    <row r="600" spans="104:105" x14ac:dyDescent="0.2">
      <c r="CZ600" s="12"/>
      <c r="DA600" s="12"/>
    </row>
    <row r="601" spans="104:105" x14ac:dyDescent="0.2">
      <c r="CZ601" s="12"/>
      <c r="DA601" s="12"/>
    </row>
    <row r="602" spans="104:105" x14ac:dyDescent="0.2">
      <c r="CZ602" s="12"/>
      <c r="DA602" s="12"/>
    </row>
    <row r="603" spans="104:105" x14ac:dyDescent="0.2">
      <c r="CZ603" s="12"/>
      <c r="DA603" s="12"/>
    </row>
    <row r="604" spans="104:105" x14ac:dyDescent="0.2">
      <c r="CZ604" s="12"/>
      <c r="DA604" s="12"/>
    </row>
    <row r="605" spans="104:105" x14ac:dyDescent="0.2">
      <c r="CZ605" s="12"/>
      <c r="DA605" s="12"/>
    </row>
    <row r="606" spans="104:105" x14ac:dyDescent="0.2">
      <c r="CZ606" s="12"/>
      <c r="DA606" s="12"/>
    </row>
    <row r="607" spans="104:105" x14ac:dyDescent="0.2">
      <c r="CZ607" s="12"/>
      <c r="DA607" s="12"/>
    </row>
    <row r="608" spans="104:105" x14ac:dyDescent="0.2">
      <c r="CZ608" s="12"/>
      <c r="DA608" s="12"/>
    </row>
    <row r="609" spans="104:105" x14ac:dyDescent="0.2">
      <c r="CZ609" s="12"/>
      <c r="DA609" s="12"/>
    </row>
    <row r="610" spans="104:105" x14ac:dyDescent="0.2">
      <c r="CZ610" s="12"/>
      <c r="DA610" s="12"/>
    </row>
    <row r="611" spans="104:105" x14ac:dyDescent="0.2">
      <c r="CZ611" s="12"/>
      <c r="DA611" s="12"/>
    </row>
    <row r="612" spans="104:105" x14ac:dyDescent="0.2">
      <c r="CZ612" s="12"/>
      <c r="DA612" s="12"/>
    </row>
    <row r="613" spans="104:105" x14ac:dyDescent="0.2">
      <c r="CZ613" s="12"/>
      <c r="DA613" s="12"/>
    </row>
    <row r="614" spans="104:105" x14ac:dyDescent="0.2">
      <c r="CZ614" s="12"/>
      <c r="DA614" s="12"/>
    </row>
    <row r="615" spans="104:105" x14ac:dyDescent="0.2">
      <c r="CZ615" s="12"/>
      <c r="DA615" s="12"/>
    </row>
    <row r="616" spans="104:105" x14ac:dyDescent="0.2">
      <c r="CZ616" s="12"/>
      <c r="DA616" s="12"/>
    </row>
    <row r="617" spans="104:105" x14ac:dyDescent="0.2">
      <c r="CZ617" s="12"/>
      <c r="DA617" s="12"/>
    </row>
    <row r="618" spans="104:105" x14ac:dyDescent="0.2">
      <c r="CZ618" s="12"/>
      <c r="DA618" s="12"/>
    </row>
    <row r="619" spans="104:105" x14ac:dyDescent="0.2">
      <c r="CZ619" s="12"/>
      <c r="DA619" s="12"/>
    </row>
    <row r="620" spans="104:105" x14ac:dyDescent="0.2">
      <c r="CZ620" s="12"/>
      <c r="DA620" s="12"/>
    </row>
    <row r="621" spans="104:105" x14ac:dyDescent="0.2">
      <c r="CZ621" s="12"/>
      <c r="DA621" s="12"/>
    </row>
    <row r="622" spans="104:105" x14ac:dyDescent="0.2">
      <c r="CZ622" s="12"/>
      <c r="DA622" s="12"/>
    </row>
    <row r="623" spans="104:105" x14ac:dyDescent="0.2">
      <c r="CZ623" s="12"/>
      <c r="DA623" s="12"/>
    </row>
    <row r="624" spans="104:105" x14ac:dyDescent="0.2">
      <c r="CZ624" s="12"/>
      <c r="DA624" s="12"/>
    </row>
    <row r="625" spans="104:105" x14ac:dyDescent="0.2">
      <c r="CZ625" s="12"/>
      <c r="DA625" s="12"/>
    </row>
    <row r="626" spans="104:105" x14ac:dyDescent="0.2">
      <c r="CZ626" s="12"/>
      <c r="DA626" s="12"/>
    </row>
    <row r="627" spans="104:105" x14ac:dyDescent="0.2">
      <c r="CZ627" s="12"/>
      <c r="DA627" s="12"/>
    </row>
    <row r="628" spans="104:105" x14ac:dyDescent="0.2">
      <c r="CZ628" s="12"/>
      <c r="DA628" s="12"/>
    </row>
    <row r="629" spans="104:105" x14ac:dyDescent="0.2">
      <c r="CZ629" s="12"/>
      <c r="DA629" s="12"/>
    </row>
    <row r="630" spans="104:105" x14ac:dyDescent="0.2">
      <c r="CZ630" s="12"/>
      <c r="DA630" s="12"/>
    </row>
    <row r="631" spans="104:105" x14ac:dyDescent="0.2">
      <c r="CZ631" s="12"/>
      <c r="DA631" s="12"/>
    </row>
    <row r="632" spans="104:105" x14ac:dyDescent="0.2">
      <c r="CZ632" s="12"/>
      <c r="DA632" s="12"/>
    </row>
    <row r="633" spans="104:105" x14ac:dyDescent="0.2">
      <c r="CZ633" s="12"/>
      <c r="DA633" s="12"/>
    </row>
    <row r="634" spans="104:105" x14ac:dyDescent="0.2">
      <c r="CZ634" s="12"/>
      <c r="DA634" s="12"/>
    </row>
    <row r="635" spans="104:105" x14ac:dyDescent="0.2">
      <c r="CZ635" s="12"/>
      <c r="DA635" s="12"/>
    </row>
    <row r="636" spans="104:105" x14ac:dyDescent="0.2">
      <c r="CZ636" s="12"/>
      <c r="DA636" s="12"/>
    </row>
    <row r="637" spans="104:105" x14ac:dyDescent="0.2">
      <c r="CZ637" s="12"/>
      <c r="DA637" s="12"/>
    </row>
    <row r="638" spans="104:105" x14ac:dyDescent="0.2">
      <c r="CZ638" s="12"/>
      <c r="DA638" s="12"/>
    </row>
    <row r="639" spans="104:105" x14ac:dyDescent="0.2">
      <c r="CZ639" s="12"/>
      <c r="DA639" s="12"/>
    </row>
    <row r="640" spans="104:105" x14ac:dyDescent="0.2">
      <c r="CZ640" s="12"/>
      <c r="DA640" s="12"/>
    </row>
    <row r="641" spans="104:105" x14ac:dyDescent="0.2">
      <c r="CZ641" s="12"/>
      <c r="DA641" s="12"/>
    </row>
    <row r="642" spans="104:105" x14ac:dyDescent="0.2">
      <c r="CZ642" s="12"/>
      <c r="DA642" s="12"/>
    </row>
    <row r="643" spans="104:105" x14ac:dyDescent="0.2">
      <c r="CZ643" s="12"/>
      <c r="DA643" s="12"/>
    </row>
    <row r="644" spans="104:105" x14ac:dyDescent="0.2">
      <c r="CZ644" s="12"/>
      <c r="DA644" s="12"/>
    </row>
    <row r="645" spans="104:105" x14ac:dyDescent="0.2">
      <c r="CZ645" s="12"/>
      <c r="DA645" s="12"/>
    </row>
    <row r="646" spans="104:105" x14ac:dyDescent="0.2">
      <c r="CZ646" s="12"/>
      <c r="DA646" s="12"/>
    </row>
    <row r="647" spans="104:105" x14ac:dyDescent="0.2">
      <c r="CZ647" s="12"/>
      <c r="DA647" s="12"/>
    </row>
    <row r="648" spans="104:105" x14ac:dyDescent="0.2">
      <c r="CZ648" s="12"/>
      <c r="DA648" s="12"/>
    </row>
    <row r="649" spans="104:105" x14ac:dyDescent="0.2">
      <c r="CZ649" s="12"/>
      <c r="DA649" s="12"/>
    </row>
    <row r="650" spans="104:105" x14ac:dyDescent="0.2">
      <c r="CZ650" s="12"/>
      <c r="DA650" s="12"/>
    </row>
    <row r="651" spans="104:105" x14ac:dyDescent="0.2">
      <c r="CZ651" s="12"/>
      <c r="DA651" s="12"/>
    </row>
    <row r="652" spans="104:105" x14ac:dyDescent="0.2">
      <c r="CZ652" s="12"/>
      <c r="DA652" s="12"/>
    </row>
    <row r="653" spans="104:105" x14ac:dyDescent="0.2">
      <c r="CZ653" s="12"/>
      <c r="DA653" s="12"/>
    </row>
    <row r="654" spans="104:105" x14ac:dyDescent="0.2">
      <c r="CZ654" s="12"/>
      <c r="DA654" s="12"/>
    </row>
    <row r="655" spans="104:105" x14ac:dyDescent="0.2">
      <c r="CZ655" s="12"/>
      <c r="DA655" s="12"/>
    </row>
    <row r="656" spans="104:105" x14ac:dyDescent="0.2">
      <c r="CZ656" s="12"/>
      <c r="DA656" s="12"/>
    </row>
    <row r="657" spans="104:105" x14ac:dyDescent="0.2">
      <c r="CZ657" s="12"/>
      <c r="DA657" s="12"/>
    </row>
    <row r="658" spans="104:105" x14ac:dyDescent="0.2">
      <c r="CZ658" s="12"/>
      <c r="DA658" s="12"/>
    </row>
    <row r="659" spans="104:105" x14ac:dyDescent="0.2">
      <c r="CZ659" s="12"/>
      <c r="DA659" s="12"/>
    </row>
    <row r="660" spans="104:105" x14ac:dyDescent="0.2">
      <c r="CZ660" s="12"/>
      <c r="DA660" s="12"/>
    </row>
    <row r="661" spans="104:105" x14ac:dyDescent="0.2">
      <c r="CZ661" s="12"/>
      <c r="DA661" s="12"/>
    </row>
    <row r="662" spans="104:105" x14ac:dyDescent="0.2">
      <c r="CZ662" s="12"/>
      <c r="DA662" s="12"/>
    </row>
    <row r="663" spans="104:105" x14ac:dyDescent="0.2">
      <c r="CZ663" s="12"/>
      <c r="DA663" s="12"/>
    </row>
    <row r="664" spans="104:105" x14ac:dyDescent="0.2">
      <c r="CZ664" s="12"/>
      <c r="DA664" s="12"/>
    </row>
    <row r="665" spans="104:105" x14ac:dyDescent="0.2">
      <c r="CZ665" s="12"/>
      <c r="DA665" s="12"/>
    </row>
    <row r="666" spans="104:105" x14ac:dyDescent="0.2">
      <c r="CZ666" s="12"/>
      <c r="DA666" s="12"/>
    </row>
    <row r="667" spans="104:105" x14ac:dyDescent="0.2">
      <c r="CZ667" s="12"/>
      <c r="DA667" s="12"/>
    </row>
    <row r="668" spans="104:105" x14ac:dyDescent="0.2">
      <c r="CZ668" s="12"/>
      <c r="DA668" s="12"/>
    </row>
    <row r="669" spans="104:105" x14ac:dyDescent="0.2">
      <c r="CZ669" s="12"/>
      <c r="DA669" s="12"/>
    </row>
    <row r="670" spans="104:105" x14ac:dyDescent="0.2">
      <c r="CZ670" s="12"/>
      <c r="DA670" s="12"/>
    </row>
    <row r="671" spans="104:105" x14ac:dyDescent="0.2">
      <c r="CZ671" s="12"/>
      <c r="DA671" s="12"/>
    </row>
    <row r="672" spans="104:105" x14ac:dyDescent="0.2">
      <c r="CZ672" s="12"/>
      <c r="DA672" s="12"/>
    </row>
    <row r="673" spans="104:105" x14ac:dyDescent="0.2">
      <c r="CZ673" s="12"/>
      <c r="DA673" s="12"/>
    </row>
    <row r="674" spans="104:105" x14ac:dyDescent="0.2">
      <c r="CZ674" s="12"/>
      <c r="DA674" s="12"/>
    </row>
    <row r="675" spans="104:105" x14ac:dyDescent="0.2">
      <c r="CZ675" s="12"/>
      <c r="DA675" s="12"/>
    </row>
    <row r="676" spans="104:105" x14ac:dyDescent="0.2">
      <c r="CZ676" s="12"/>
      <c r="DA676" s="12"/>
    </row>
    <row r="677" spans="104:105" x14ac:dyDescent="0.2">
      <c r="CZ677" s="12"/>
      <c r="DA677" s="12"/>
    </row>
    <row r="678" spans="104:105" x14ac:dyDescent="0.2">
      <c r="CZ678" s="12"/>
      <c r="DA678" s="12"/>
    </row>
    <row r="679" spans="104:105" x14ac:dyDescent="0.2">
      <c r="CZ679" s="12"/>
      <c r="DA679" s="12"/>
    </row>
    <row r="680" spans="104:105" x14ac:dyDescent="0.2">
      <c r="CZ680" s="12"/>
      <c r="DA680" s="12"/>
    </row>
    <row r="681" spans="104:105" x14ac:dyDescent="0.2">
      <c r="CZ681" s="12"/>
      <c r="DA681" s="12"/>
    </row>
    <row r="682" spans="104:105" x14ac:dyDescent="0.2">
      <c r="CZ682" s="12"/>
      <c r="DA682" s="12"/>
    </row>
    <row r="683" spans="104:105" x14ac:dyDescent="0.2">
      <c r="CZ683" s="12"/>
      <c r="DA683" s="12"/>
    </row>
    <row r="684" spans="104:105" x14ac:dyDescent="0.2">
      <c r="CZ684" s="12"/>
      <c r="DA684" s="12"/>
    </row>
    <row r="685" spans="104:105" x14ac:dyDescent="0.2">
      <c r="CZ685" s="12"/>
      <c r="DA685" s="12"/>
    </row>
    <row r="686" spans="104:105" x14ac:dyDescent="0.2">
      <c r="CZ686" s="12"/>
      <c r="DA686" s="12"/>
    </row>
    <row r="687" spans="104:105" x14ac:dyDescent="0.2">
      <c r="CZ687" s="12"/>
      <c r="DA687" s="12"/>
    </row>
    <row r="688" spans="104:105" x14ac:dyDescent="0.2">
      <c r="CZ688" s="12"/>
      <c r="DA688" s="12"/>
    </row>
    <row r="689" spans="104:105" x14ac:dyDescent="0.2">
      <c r="CZ689" s="12"/>
      <c r="DA689" s="12"/>
    </row>
    <row r="690" spans="104:105" x14ac:dyDescent="0.2">
      <c r="CZ690" s="12"/>
      <c r="DA690" s="12"/>
    </row>
    <row r="691" spans="104:105" x14ac:dyDescent="0.2">
      <c r="CZ691" s="12"/>
      <c r="DA691" s="12"/>
    </row>
    <row r="692" spans="104:105" x14ac:dyDescent="0.2">
      <c r="CZ692" s="12"/>
      <c r="DA692" s="12"/>
    </row>
    <row r="693" spans="104:105" x14ac:dyDescent="0.2">
      <c r="CZ693" s="12"/>
      <c r="DA693" s="12"/>
    </row>
    <row r="694" spans="104:105" x14ac:dyDescent="0.2">
      <c r="CZ694" s="12"/>
      <c r="DA694" s="12"/>
    </row>
    <row r="695" spans="104:105" x14ac:dyDescent="0.2">
      <c r="CZ695" s="12"/>
      <c r="DA695" s="12"/>
    </row>
    <row r="696" spans="104:105" x14ac:dyDescent="0.2">
      <c r="CZ696" s="12"/>
      <c r="DA696" s="12"/>
    </row>
    <row r="697" spans="104:105" x14ac:dyDescent="0.2">
      <c r="CZ697" s="12"/>
      <c r="DA697" s="12"/>
    </row>
    <row r="698" spans="104:105" x14ac:dyDescent="0.2">
      <c r="CZ698" s="12"/>
      <c r="DA698" s="12"/>
    </row>
    <row r="699" spans="104:105" x14ac:dyDescent="0.2">
      <c r="CZ699" s="12"/>
      <c r="DA699" s="12"/>
    </row>
    <row r="700" spans="104:105" x14ac:dyDescent="0.2">
      <c r="CZ700" s="12"/>
      <c r="DA700" s="12"/>
    </row>
    <row r="701" spans="104:105" x14ac:dyDescent="0.2">
      <c r="CZ701" s="12"/>
      <c r="DA701" s="12"/>
    </row>
    <row r="702" spans="104:105" x14ac:dyDescent="0.2">
      <c r="CZ702" s="12"/>
      <c r="DA702" s="12"/>
    </row>
    <row r="703" spans="104:105" x14ac:dyDescent="0.2">
      <c r="CZ703" s="12"/>
      <c r="DA703" s="12"/>
    </row>
    <row r="704" spans="104:105" x14ac:dyDescent="0.2">
      <c r="CZ704" s="12"/>
      <c r="DA704" s="12"/>
    </row>
    <row r="705" spans="104:105" x14ac:dyDescent="0.2">
      <c r="CZ705" s="12"/>
      <c r="DA705" s="12"/>
    </row>
    <row r="706" spans="104:105" x14ac:dyDescent="0.2">
      <c r="CZ706" s="12"/>
      <c r="DA706" s="12"/>
    </row>
    <row r="707" spans="104:105" x14ac:dyDescent="0.2">
      <c r="CZ707" s="12"/>
      <c r="DA707" s="12"/>
    </row>
    <row r="708" spans="104:105" x14ac:dyDescent="0.2">
      <c r="CZ708" s="12"/>
      <c r="DA708" s="12"/>
    </row>
    <row r="709" spans="104:105" x14ac:dyDescent="0.2">
      <c r="CZ709" s="12"/>
      <c r="DA709" s="12"/>
    </row>
    <row r="710" spans="104:105" x14ac:dyDescent="0.2">
      <c r="CZ710" s="12"/>
      <c r="DA710" s="12"/>
    </row>
    <row r="711" spans="104:105" x14ac:dyDescent="0.2">
      <c r="CZ711" s="12"/>
      <c r="DA711" s="12"/>
    </row>
    <row r="712" spans="104:105" x14ac:dyDescent="0.2">
      <c r="CZ712" s="12"/>
      <c r="DA712" s="12"/>
    </row>
    <row r="713" spans="104:105" x14ac:dyDescent="0.2">
      <c r="CZ713" s="12"/>
      <c r="DA713" s="12"/>
    </row>
    <row r="714" spans="104:105" x14ac:dyDescent="0.2">
      <c r="CZ714" s="12"/>
      <c r="DA714" s="12"/>
    </row>
    <row r="715" spans="104:105" x14ac:dyDescent="0.2">
      <c r="CZ715" s="12"/>
      <c r="DA715" s="12"/>
    </row>
    <row r="716" spans="104:105" x14ac:dyDescent="0.2">
      <c r="CZ716" s="12"/>
      <c r="DA716" s="12"/>
    </row>
    <row r="717" spans="104:105" x14ac:dyDescent="0.2">
      <c r="CZ717" s="12"/>
      <c r="DA717" s="12"/>
    </row>
    <row r="718" spans="104:105" x14ac:dyDescent="0.2">
      <c r="CZ718" s="12"/>
      <c r="DA718" s="12"/>
    </row>
    <row r="719" spans="104:105" x14ac:dyDescent="0.2">
      <c r="CZ719" s="12"/>
      <c r="DA719" s="12"/>
    </row>
    <row r="720" spans="104:105" x14ac:dyDescent="0.2">
      <c r="CZ720" s="12"/>
      <c r="DA720" s="12"/>
    </row>
    <row r="721" spans="104:105" x14ac:dyDescent="0.2">
      <c r="CZ721" s="12"/>
      <c r="DA721" s="12"/>
    </row>
    <row r="722" spans="104:105" x14ac:dyDescent="0.2">
      <c r="CZ722" s="12"/>
      <c r="DA722" s="12"/>
    </row>
    <row r="723" spans="104:105" x14ac:dyDescent="0.2">
      <c r="CZ723" s="12"/>
      <c r="DA723" s="12"/>
    </row>
    <row r="724" spans="104:105" x14ac:dyDescent="0.2">
      <c r="CZ724" s="12"/>
      <c r="DA724" s="12"/>
    </row>
    <row r="725" spans="104:105" x14ac:dyDescent="0.2">
      <c r="CZ725" s="12"/>
      <c r="DA725" s="12"/>
    </row>
    <row r="726" spans="104:105" x14ac:dyDescent="0.2">
      <c r="CZ726" s="12"/>
      <c r="DA726" s="12"/>
    </row>
    <row r="727" spans="104:105" x14ac:dyDescent="0.2">
      <c r="CZ727" s="12"/>
      <c r="DA727" s="12"/>
    </row>
    <row r="728" spans="104:105" x14ac:dyDescent="0.2">
      <c r="CZ728" s="12"/>
      <c r="DA728" s="12"/>
    </row>
    <row r="729" spans="104:105" x14ac:dyDescent="0.2">
      <c r="CZ729" s="12"/>
      <c r="DA729" s="12"/>
    </row>
    <row r="730" spans="104:105" x14ac:dyDescent="0.2">
      <c r="CZ730" s="12"/>
      <c r="DA730" s="12"/>
    </row>
    <row r="731" spans="104:105" x14ac:dyDescent="0.2">
      <c r="CZ731" s="12"/>
      <c r="DA731" s="12"/>
    </row>
    <row r="732" spans="104:105" x14ac:dyDescent="0.2">
      <c r="CZ732" s="12"/>
      <c r="DA732" s="12"/>
    </row>
    <row r="733" spans="104:105" x14ac:dyDescent="0.2">
      <c r="CZ733" s="12"/>
      <c r="DA733" s="12"/>
    </row>
    <row r="734" spans="104:105" x14ac:dyDescent="0.2">
      <c r="CZ734" s="12"/>
      <c r="DA734" s="12"/>
    </row>
    <row r="735" spans="104:105" x14ac:dyDescent="0.2">
      <c r="CZ735" s="12"/>
      <c r="DA735" s="12"/>
    </row>
    <row r="736" spans="104:105" x14ac:dyDescent="0.2">
      <c r="CZ736" s="12"/>
      <c r="DA736" s="12"/>
    </row>
    <row r="737" spans="104:105" x14ac:dyDescent="0.2">
      <c r="CZ737" s="12"/>
      <c r="DA737" s="12"/>
    </row>
    <row r="738" spans="104:105" x14ac:dyDescent="0.2">
      <c r="CZ738" s="12"/>
      <c r="DA738" s="12"/>
    </row>
    <row r="739" spans="104:105" x14ac:dyDescent="0.2">
      <c r="CZ739" s="12"/>
      <c r="DA739" s="12"/>
    </row>
    <row r="740" spans="104:105" x14ac:dyDescent="0.2">
      <c r="CZ740" s="12"/>
      <c r="DA740" s="12"/>
    </row>
    <row r="741" spans="104:105" x14ac:dyDescent="0.2">
      <c r="CZ741" s="12"/>
      <c r="DA741" s="12"/>
    </row>
    <row r="742" spans="104:105" x14ac:dyDescent="0.2">
      <c r="CZ742" s="12"/>
      <c r="DA742" s="12"/>
    </row>
    <row r="743" spans="104:105" x14ac:dyDescent="0.2">
      <c r="CZ743" s="12"/>
      <c r="DA743" s="12"/>
    </row>
    <row r="744" spans="104:105" x14ac:dyDescent="0.2">
      <c r="CZ744" s="12"/>
      <c r="DA744" s="12"/>
    </row>
    <row r="745" spans="104:105" x14ac:dyDescent="0.2">
      <c r="CZ745" s="12"/>
      <c r="DA745" s="12"/>
    </row>
    <row r="746" spans="104:105" x14ac:dyDescent="0.2">
      <c r="CZ746" s="12"/>
      <c r="DA746" s="12"/>
    </row>
    <row r="747" spans="104:105" x14ac:dyDescent="0.2">
      <c r="CZ747" s="12"/>
      <c r="DA747" s="12"/>
    </row>
    <row r="748" spans="104:105" x14ac:dyDescent="0.2">
      <c r="CZ748" s="12"/>
      <c r="DA748" s="12"/>
    </row>
    <row r="749" spans="104:105" x14ac:dyDescent="0.2">
      <c r="CZ749" s="12"/>
      <c r="DA749" s="12"/>
    </row>
    <row r="750" spans="104:105" x14ac:dyDescent="0.2">
      <c r="CZ750" s="12"/>
      <c r="DA750" s="12"/>
    </row>
    <row r="751" spans="104:105" x14ac:dyDescent="0.2">
      <c r="CZ751" s="12"/>
      <c r="DA751" s="12"/>
    </row>
    <row r="752" spans="104:105" x14ac:dyDescent="0.2">
      <c r="CZ752" s="12"/>
      <c r="DA752" s="12"/>
    </row>
    <row r="753" spans="104:105" x14ac:dyDescent="0.2">
      <c r="CZ753" s="12"/>
      <c r="DA753" s="12"/>
    </row>
    <row r="754" spans="104:105" x14ac:dyDescent="0.2">
      <c r="CZ754" s="12"/>
      <c r="DA754" s="12"/>
    </row>
    <row r="755" spans="104:105" x14ac:dyDescent="0.2">
      <c r="CZ755" s="12"/>
      <c r="DA755" s="12"/>
    </row>
    <row r="756" spans="104:105" x14ac:dyDescent="0.2">
      <c r="CZ756" s="12"/>
      <c r="DA756" s="12"/>
    </row>
    <row r="757" spans="104:105" x14ac:dyDescent="0.2">
      <c r="CZ757" s="12"/>
      <c r="DA757" s="12"/>
    </row>
    <row r="758" spans="104:105" x14ac:dyDescent="0.2">
      <c r="CZ758" s="12"/>
      <c r="DA758" s="12"/>
    </row>
    <row r="759" spans="104:105" x14ac:dyDescent="0.2">
      <c r="CZ759" s="12"/>
      <c r="DA759" s="12"/>
    </row>
    <row r="760" spans="104:105" x14ac:dyDescent="0.2">
      <c r="CZ760" s="12"/>
      <c r="DA760" s="12"/>
    </row>
    <row r="761" spans="104:105" x14ac:dyDescent="0.2">
      <c r="CZ761" s="12"/>
      <c r="DA761" s="12"/>
    </row>
    <row r="762" spans="104:105" x14ac:dyDescent="0.2">
      <c r="CZ762" s="12"/>
      <c r="DA762" s="12"/>
    </row>
    <row r="763" spans="104:105" x14ac:dyDescent="0.2">
      <c r="CZ763" s="12"/>
      <c r="DA763" s="12"/>
    </row>
    <row r="764" spans="104:105" x14ac:dyDescent="0.2">
      <c r="CZ764" s="12"/>
      <c r="DA764" s="12"/>
    </row>
    <row r="765" spans="104:105" x14ac:dyDescent="0.2">
      <c r="CZ765" s="12"/>
      <c r="DA765" s="12"/>
    </row>
    <row r="766" spans="104:105" x14ac:dyDescent="0.2">
      <c r="CZ766" s="12"/>
      <c r="DA766" s="12"/>
    </row>
    <row r="767" spans="104:105" x14ac:dyDescent="0.2">
      <c r="CZ767" s="12"/>
      <c r="DA767" s="12"/>
    </row>
    <row r="768" spans="104:105" x14ac:dyDescent="0.2">
      <c r="CZ768" s="12"/>
      <c r="DA768" s="12"/>
    </row>
    <row r="769" spans="104:105" x14ac:dyDescent="0.2">
      <c r="CZ769" s="12"/>
      <c r="DA769" s="12"/>
    </row>
    <row r="770" spans="104:105" x14ac:dyDescent="0.2">
      <c r="CZ770" s="12"/>
      <c r="DA770" s="12"/>
    </row>
    <row r="771" spans="104:105" x14ac:dyDescent="0.2">
      <c r="CZ771" s="12"/>
      <c r="DA771" s="12"/>
    </row>
    <row r="772" spans="104:105" x14ac:dyDescent="0.2">
      <c r="CZ772" s="12"/>
      <c r="DA772" s="12"/>
    </row>
    <row r="773" spans="104:105" x14ac:dyDescent="0.2">
      <c r="CZ773" s="12"/>
      <c r="DA773" s="12"/>
    </row>
    <row r="774" spans="104:105" x14ac:dyDescent="0.2">
      <c r="CZ774" s="12"/>
      <c r="DA774" s="12"/>
    </row>
    <row r="775" spans="104:105" x14ac:dyDescent="0.2">
      <c r="CZ775" s="12"/>
      <c r="DA775" s="12"/>
    </row>
    <row r="776" spans="104:105" x14ac:dyDescent="0.2">
      <c r="CZ776" s="12"/>
      <c r="DA776" s="12"/>
    </row>
    <row r="777" spans="104:105" x14ac:dyDescent="0.2">
      <c r="CZ777" s="12"/>
      <c r="DA777" s="12"/>
    </row>
    <row r="778" spans="104:105" x14ac:dyDescent="0.2">
      <c r="CZ778" s="12"/>
      <c r="DA778" s="12"/>
    </row>
    <row r="779" spans="104:105" x14ac:dyDescent="0.2">
      <c r="CZ779" s="12"/>
      <c r="DA779" s="12"/>
    </row>
    <row r="780" spans="104:105" x14ac:dyDescent="0.2">
      <c r="CZ780" s="12"/>
      <c r="DA780" s="12"/>
    </row>
    <row r="781" spans="104:105" x14ac:dyDescent="0.2">
      <c r="CZ781" s="12"/>
      <c r="DA781" s="12"/>
    </row>
    <row r="782" spans="104:105" x14ac:dyDescent="0.2">
      <c r="CZ782" s="12"/>
      <c r="DA782" s="12"/>
    </row>
    <row r="783" spans="104:105" x14ac:dyDescent="0.2">
      <c r="CZ783" s="12"/>
      <c r="DA783" s="12"/>
    </row>
    <row r="784" spans="104:105" x14ac:dyDescent="0.2">
      <c r="CZ784" s="12"/>
      <c r="DA784" s="12"/>
    </row>
    <row r="785" spans="104:105" x14ac:dyDescent="0.2">
      <c r="CZ785" s="12"/>
      <c r="DA785" s="12"/>
    </row>
    <row r="786" spans="104:105" x14ac:dyDescent="0.2">
      <c r="CZ786" s="12"/>
      <c r="DA786" s="12"/>
    </row>
    <row r="787" spans="104:105" x14ac:dyDescent="0.2">
      <c r="CZ787" s="12"/>
      <c r="DA787" s="12"/>
    </row>
    <row r="788" spans="104:105" x14ac:dyDescent="0.2">
      <c r="CZ788" s="12"/>
      <c r="DA788" s="12"/>
    </row>
    <row r="789" spans="104:105" x14ac:dyDescent="0.2">
      <c r="CZ789" s="12"/>
      <c r="DA789" s="12"/>
    </row>
    <row r="790" spans="104:105" x14ac:dyDescent="0.2">
      <c r="CZ790" s="12"/>
      <c r="DA790" s="12"/>
    </row>
    <row r="791" spans="104:105" x14ac:dyDescent="0.2">
      <c r="CZ791" s="12"/>
      <c r="DA791" s="12"/>
    </row>
    <row r="792" spans="104:105" x14ac:dyDescent="0.2">
      <c r="CZ792" s="12"/>
      <c r="DA792" s="12"/>
    </row>
    <row r="793" spans="104:105" x14ac:dyDescent="0.2">
      <c r="CZ793" s="12"/>
      <c r="DA793" s="12"/>
    </row>
    <row r="794" spans="104:105" x14ac:dyDescent="0.2">
      <c r="CZ794" s="12"/>
      <c r="DA794" s="12"/>
    </row>
    <row r="795" spans="104:105" x14ac:dyDescent="0.2">
      <c r="CZ795" s="12"/>
      <c r="DA795" s="12"/>
    </row>
    <row r="796" spans="104:105" x14ac:dyDescent="0.2">
      <c r="CZ796" s="12"/>
      <c r="DA796" s="12"/>
    </row>
    <row r="797" spans="104:105" x14ac:dyDescent="0.2">
      <c r="CZ797" s="12"/>
      <c r="DA797" s="12"/>
    </row>
    <row r="798" spans="104:105" x14ac:dyDescent="0.2">
      <c r="CZ798" s="12"/>
      <c r="DA798" s="12"/>
    </row>
    <row r="799" spans="104:105" x14ac:dyDescent="0.2">
      <c r="CZ799" s="12"/>
      <c r="DA799" s="12"/>
    </row>
    <row r="800" spans="104:105" x14ac:dyDescent="0.2">
      <c r="CZ800" s="12"/>
      <c r="DA800" s="12"/>
    </row>
    <row r="801" spans="104:105" x14ac:dyDescent="0.2">
      <c r="CZ801" s="12"/>
      <c r="DA801" s="12"/>
    </row>
    <row r="802" spans="104:105" x14ac:dyDescent="0.2">
      <c r="CZ802" s="12"/>
      <c r="DA802" s="12"/>
    </row>
    <row r="803" spans="104:105" x14ac:dyDescent="0.2">
      <c r="CZ803" s="12"/>
      <c r="DA803" s="12"/>
    </row>
    <row r="804" spans="104:105" x14ac:dyDescent="0.2">
      <c r="CZ804" s="12"/>
      <c r="DA804" s="12"/>
    </row>
    <row r="805" spans="104:105" x14ac:dyDescent="0.2">
      <c r="CZ805" s="12"/>
      <c r="DA805" s="12"/>
    </row>
    <row r="806" spans="104:105" x14ac:dyDescent="0.2">
      <c r="CZ806" s="12"/>
      <c r="DA806" s="12"/>
    </row>
    <row r="807" spans="104:105" x14ac:dyDescent="0.2">
      <c r="CZ807" s="12"/>
      <c r="DA807" s="12"/>
    </row>
    <row r="808" spans="104:105" x14ac:dyDescent="0.2">
      <c r="CZ808" s="12"/>
      <c r="DA808" s="12"/>
    </row>
    <row r="809" spans="104:105" x14ac:dyDescent="0.2">
      <c r="CZ809" s="12"/>
      <c r="DA809" s="12"/>
    </row>
    <row r="810" spans="104:105" x14ac:dyDescent="0.2">
      <c r="CZ810" s="12"/>
      <c r="DA810" s="12"/>
    </row>
    <row r="811" spans="104:105" x14ac:dyDescent="0.2">
      <c r="CZ811" s="12"/>
      <c r="DA811" s="12"/>
    </row>
    <row r="812" spans="104:105" x14ac:dyDescent="0.2">
      <c r="CZ812" s="12"/>
      <c r="DA812" s="12"/>
    </row>
    <row r="813" spans="104:105" x14ac:dyDescent="0.2">
      <c r="CZ813" s="12"/>
      <c r="DA813" s="12"/>
    </row>
    <row r="814" spans="104:105" x14ac:dyDescent="0.2">
      <c r="CZ814" s="12"/>
      <c r="DA814" s="12"/>
    </row>
    <row r="815" spans="104:105" x14ac:dyDescent="0.2">
      <c r="CZ815" s="12"/>
      <c r="DA815" s="12"/>
    </row>
    <row r="816" spans="104:105" x14ac:dyDescent="0.2">
      <c r="CZ816" s="12"/>
      <c r="DA816" s="12"/>
    </row>
    <row r="817" spans="104:105" x14ac:dyDescent="0.2">
      <c r="CZ817" s="12"/>
      <c r="DA817" s="12"/>
    </row>
    <row r="818" spans="104:105" x14ac:dyDescent="0.2">
      <c r="CZ818" s="12"/>
      <c r="DA818" s="12"/>
    </row>
    <row r="819" spans="104:105" x14ac:dyDescent="0.2">
      <c r="CZ819" s="12"/>
      <c r="DA819" s="12"/>
    </row>
    <row r="820" spans="104:105" x14ac:dyDescent="0.2">
      <c r="CZ820" s="12"/>
      <c r="DA820" s="12"/>
    </row>
    <row r="821" spans="104:105" x14ac:dyDescent="0.2">
      <c r="CZ821" s="12"/>
      <c r="DA821" s="12"/>
    </row>
    <row r="822" spans="104:105" x14ac:dyDescent="0.2">
      <c r="CZ822" s="12"/>
      <c r="DA822" s="12"/>
    </row>
    <row r="823" spans="104:105" x14ac:dyDescent="0.2">
      <c r="CZ823" s="12"/>
      <c r="DA823" s="12"/>
    </row>
    <row r="824" spans="104:105" x14ac:dyDescent="0.2">
      <c r="CZ824" s="12"/>
      <c r="DA824" s="12"/>
    </row>
    <row r="825" spans="104:105" x14ac:dyDescent="0.2">
      <c r="CZ825" s="12"/>
      <c r="DA825" s="12"/>
    </row>
    <row r="826" spans="104:105" x14ac:dyDescent="0.2">
      <c r="CZ826" s="12"/>
      <c r="DA826" s="12"/>
    </row>
    <row r="827" spans="104:105" x14ac:dyDescent="0.2">
      <c r="CZ827" s="12"/>
      <c r="DA827" s="12"/>
    </row>
    <row r="828" spans="104:105" x14ac:dyDescent="0.2">
      <c r="CZ828" s="12"/>
      <c r="DA828" s="12"/>
    </row>
    <row r="829" spans="104:105" x14ac:dyDescent="0.2">
      <c r="CZ829" s="12"/>
      <c r="DA829" s="12"/>
    </row>
    <row r="830" spans="104:105" x14ac:dyDescent="0.2">
      <c r="CZ830" s="12"/>
      <c r="DA830" s="12"/>
    </row>
    <row r="831" spans="104:105" x14ac:dyDescent="0.2">
      <c r="CZ831" s="12"/>
      <c r="DA831" s="12"/>
    </row>
    <row r="832" spans="104:105" x14ac:dyDescent="0.2">
      <c r="CZ832" s="12"/>
      <c r="DA832" s="12"/>
    </row>
    <row r="833" spans="104:105" x14ac:dyDescent="0.2">
      <c r="CZ833" s="12"/>
      <c r="DA833" s="12"/>
    </row>
    <row r="834" spans="104:105" x14ac:dyDescent="0.2">
      <c r="CZ834" s="12"/>
      <c r="DA834" s="12"/>
    </row>
    <row r="835" spans="104:105" x14ac:dyDescent="0.2">
      <c r="CZ835" s="12"/>
      <c r="DA835" s="12"/>
    </row>
    <row r="836" spans="104:105" x14ac:dyDescent="0.2">
      <c r="CZ836" s="12"/>
      <c r="DA836" s="12"/>
    </row>
    <row r="837" spans="104:105" x14ac:dyDescent="0.2">
      <c r="CZ837" s="12"/>
      <c r="DA837" s="12"/>
    </row>
    <row r="838" spans="104:105" x14ac:dyDescent="0.2">
      <c r="CZ838" s="12"/>
      <c r="DA838" s="12"/>
    </row>
    <row r="839" spans="104:105" x14ac:dyDescent="0.2">
      <c r="CZ839" s="12"/>
      <c r="DA839" s="12"/>
    </row>
    <row r="840" spans="104:105" x14ac:dyDescent="0.2">
      <c r="CZ840" s="12"/>
      <c r="DA840" s="12"/>
    </row>
    <row r="841" spans="104:105" x14ac:dyDescent="0.2">
      <c r="CZ841" s="12"/>
      <c r="DA841" s="12"/>
    </row>
    <row r="842" spans="104:105" x14ac:dyDescent="0.2">
      <c r="CZ842" s="12"/>
      <c r="DA842" s="12"/>
    </row>
    <row r="843" spans="104:105" x14ac:dyDescent="0.2">
      <c r="CZ843" s="12"/>
      <c r="DA843" s="12"/>
    </row>
    <row r="844" spans="104:105" x14ac:dyDescent="0.2">
      <c r="CZ844" s="12"/>
      <c r="DA844" s="12"/>
    </row>
    <row r="845" spans="104:105" x14ac:dyDescent="0.2">
      <c r="CZ845" s="12"/>
      <c r="DA845" s="12"/>
    </row>
    <row r="846" spans="104:105" x14ac:dyDescent="0.2">
      <c r="CZ846" s="12"/>
      <c r="DA846" s="12"/>
    </row>
    <row r="847" spans="104:105" x14ac:dyDescent="0.2">
      <c r="CZ847" s="12"/>
      <c r="DA847" s="12"/>
    </row>
    <row r="848" spans="104:105" x14ac:dyDescent="0.2">
      <c r="CZ848" s="12"/>
      <c r="DA848" s="12"/>
    </row>
    <row r="849" spans="104:105" x14ac:dyDescent="0.2">
      <c r="CZ849" s="12"/>
      <c r="DA849" s="12"/>
    </row>
    <row r="850" spans="104:105" x14ac:dyDescent="0.2">
      <c r="CZ850" s="12"/>
      <c r="DA850" s="12"/>
    </row>
    <row r="851" spans="104:105" x14ac:dyDescent="0.2">
      <c r="CZ851" s="12"/>
      <c r="DA851" s="12"/>
    </row>
    <row r="852" spans="104:105" x14ac:dyDescent="0.2">
      <c r="CZ852" s="12"/>
      <c r="DA852" s="12"/>
    </row>
    <row r="853" spans="104:105" x14ac:dyDescent="0.2">
      <c r="CZ853" s="12"/>
      <c r="DA853" s="12"/>
    </row>
    <row r="854" spans="104:105" x14ac:dyDescent="0.2">
      <c r="CZ854" s="12"/>
      <c r="DA854" s="12"/>
    </row>
    <row r="855" spans="104:105" x14ac:dyDescent="0.2">
      <c r="CZ855" s="12"/>
      <c r="DA855" s="12"/>
    </row>
    <row r="856" spans="104:105" x14ac:dyDescent="0.2">
      <c r="CZ856" s="12"/>
      <c r="DA856" s="12"/>
    </row>
    <row r="857" spans="104:105" x14ac:dyDescent="0.2">
      <c r="CZ857" s="12"/>
      <c r="DA857" s="12"/>
    </row>
    <row r="858" spans="104:105" x14ac:dyDescent="0.2">
      <c r="CZ858" s="12"/>
      <c r="DA858" s="12"/>
    </row>
    <row r="859" spans="104:105" x14ac:dyDescent="0.2">
      <c r="CZ859" s="12"/>
      <c r="DA859" s="12"/>
    </row>
    <row r="860" spans="104:105" x14ac:dyDescent="0.2">
      <c r="CZ860" s="12"/>
      <c r="DA860" s="12"/>
    </row>
    <row r="861" spans="104:105" x14ac:dyDescent="0.2">
      <c r="CZ861" s="12"/>
      <c r="DA861" s="12"/>
    </row>
    <row r="862" spans="104:105" x14ac:dyDescent="0.2">
      <c r="CZ862" s="12"/>
      <c r="DA862" s="12"/>
    </row>
    <row r="863" spans="104:105" x14ac:dyDescent="0.2">
      <c r="CZ863" s="12"/>
      <c r="DA863" s="12"/>
    </row>
    <row r="864" spans="104:105" x14ac:dyDescent="0.2">
      <c r="CZ864" s="12"/>
      <c r="DA864" s="12"/>
    </row>
    <row r="865" spans="104:105" x14ac:dyDescent="0.2">
      <c r="CZ865" s="12"/>
      <c r="DA865" s="12"/>
    </row>
    <row r="866" spans="104:105" x14ac:dyDescent="0.2">
      <c r="CZ866" s="12"/>
      <c r="DA866" s="12"/>
    </row>
    <row r="867" spans="104:105" x14ac:dyDescent="0.2">
      <c r="CZ867" s="12"/>
      <c r="DA867" s="12"/>
    </row>
    <row r="868" spans="104:105" x14ac:dyDescent="0.2">
      <c r="CZ868" s="12"/>
      <c r="DA868" s="12"/>
    </row>
    <row r="869" spans="104:105" x14ac:dyDescent="0.2">
      <c r="CZ869" s="12"/>
      <c r="DA869" s="12"/>
    </row>
    <row r="870" spans="104:105" x14ac:dyDescent="0.2">
      <c r="CZ870" s="12"/>
      <c r="DA870" s="12"/>
    </row>
    <row r="871" spans="104:105" x14ac:dyDescent="0.2">
      <c r="CZ871" s="12"/>
      <c r="DA871" s="12"/>
    </row>
    <row r="872" spans="104:105" x14ac:dyDescent="0.2">
      <c r="CZ872" s="12"/>
      <c r="DA872" s="12"/>
    </row>
    <row r="873" spans="104:105" x14ac:dyDescent="0.2">
      <c r="CZ873" s="12"/>
      <c r="DA873" s="12"/>
    </row>
    <row r="874" spans="104:105" x14ac:dyDescent="0.2">
      <c r="CZ874" s="12"/>
      <c r="DA874" s="12"/>
    </row>
    <row r="875" spans="104:105" x14ac:dyDescent="0.2">
      <c r="CZ875" s="12"/>
      <c r="DA875" s="12"/>
    </row>
    <row r="876" spans="104:105" x14ac:dyDescent="0.2">
      <c r="CZ876" s="12"/>
      <c r="DA876" s="12"/>
    </row>
    <row r="877" spans="104:105" x14ac:dyDescent="0.2">
      <c r="CZ877" s="12"/>
      <c r="DA877" s="12"/>
    </row>
    <row r="878" spans="104:105" x14ac:dyDescent="0.2">
      <c r="CZ878" s="12"/>
      <c r="DA878" s="12"/>
    </row>
    <row r="879" spans="104:105" x14ac:dyDescent="0.2">
      <c r="CZ879" s="12"/>
      <c r="DA879" s="12"/>
    </row>
    <row r="880" spans="104:105" x14ac:dyDescent="0.2">
      <c r="CZ880" s="12"/>
      <c r="DA880" s="12"/>
    </row>
    <row r="881" spans="104:105" x14ac:dyDescent="0.2">
      <c r="CZ881" s="12"/>
      <c r="DA881" s="12"/>
    </row>
    <row r="882" spans="104:105" x14ac:dyDescent="0.2">
      <c r="CZ882" s="12"/>
      <c r="DA882" s="12"/>
    </row>
    <row r="883" spans="104:105" x14ac:dyDescent="0.2">
      <c r="CZ883" s="12"/>
      <c r="DA883" s="12"/>
    </row>
    <row r="884" spans="104:105" x14ac:dyDescent="0.2">
      <c r="CZ884" s="12"/>
      <c r="DA884" s="12"/>
    </row>
    <row r="885" spans="104:105" x14ac:dyDescent="0.2">
      <c r="CZ885" s="12"/>
      <c r="DA885" s="12"/>
    </row>
    <row r="886" spans="104:105" x14ac:dyDescent="0.2">
      <c r="CZ886" s="12"/>
      <c r="DA886" s="12"/>
    </row>
    <row r="887" spans="104:105" x14ac:dyDescent="0.2">
      <c r="CZ887" s="12"/>
      <c r="DA887" s="12"/>
    </row>
    <row r="888" spans="104:105" x14ac:dyDescent="0.2">
      <c r="CZ888" s="12"/>
      <c r="DA888" s="12"/>
    </row>
    <row r="889" spans="104:105" x14ac:dyDescent="0.2">
      <c r="CZ889" s="12"/>
      <c r="DA889" s="12"/>
    </row>
    <row r="890" spans="104:105" x14ac:dyDescent="0.2">
      <c r="CZ890" s="12"/>
      <c r="DA890" s="12"/>
    </row>
    <row r="891" spans="104:105" x14ac:dyDescent="0.2">
      <c r="CZ891" s="12"/>
      <c r="DA891" s="12"/>
    </row>
    <row r="892" spans="104:105" x14ac:dyDescent="0.2">
      <c r="CZ892" s="12"/>
      <c r="DA892" s="12"/>
    </row>
    <row r="893" spans="104:105" x14ac:dyDescent="0.2">
      <c r="CZ893" s="12"/>
      <c r="DA893" s="12"/>
    </row>
    <row r="894" spans="104:105" x14ac:dyDescent="0.2">
      <c r="CZ894" s="12"/>
      <c r="DA894" s="12"/>
    </row>
    <row r="895" spans="104:105" x14ac:dyDescent="0.2">
      <c r="CZ895" s="12"/>
      <c r="DA895" s="12"/>
    </row>
    <row r="896" spans="104:105" x14ac:dyDescent="0.2">
      <c r="CZ896" s="12"/>
      <c r="DA896" s="12"/>
    </row>
    <row r="897" spans="104:105" x14ac:dyDescent="0.2">
      <c r="CZ897" s="12"/>
      <c r="DA897" s="12"/>
    </row>
    <row r="898" spans="104:105" x14ac:dyDescent="0.2">
      <c r="CZ898" s="12"/>
      <c r="DA898" s="12"/>
    </row>
    <row r="899" spans="104:105" x14ac:dyDescent="0.2">
      <c r="CZ899" s="12"/>
      <c r="DA899" s="12"/>
    </row>
    <row r="900" spans="104:105" x14ac:dyDescent="0.2">
      <c r="CZ900" s="12"/>
      <c r="DA900" s="12"/>
    </row>
    <row r="901" spans="104:105" x14ac:dyDescent="0.2">
      <c r="CZ901" s="12"/>
      <c r="DA901" s="12"/>
    </row>
    <row r="902" spans="104:105" x14ac:dyDescent="0.2">
      <c r="CZ902" s="12"/>
      <c r="DA902" s="12"/>
    </row>
    <row r="903" spans="104:105" x14ac:dyDescent="0.2">
      <c r="CZ903" s="12"/>
      <c r="DA903" s="12"/>
    </row>
    <row r="904" spans="104:105" x14ac:dyDescent="0.2">
      <c r="CZ904" s="12"/>
      <c r="DA904" s="12"/>
    </row>
    <row r="905" spans="104:105" x14ac:dyDescent="0.2">
      <c r="CZ905" s="12"/>
      <c r="DA905" s="12"/>
    </row>
    <row r="906" spans="104:105" x14ac:dyDescent="0.2">
      <c r="CZ906" s="12"/>
      <c r="DA906" s="12"/>
    </row>
    <row r="907" spans="104:105" x14ac:dyDescent="0.2">
      <c r="CZ907" s="12"/>
      <c r="DA907" s="12"/>
    </row>
    <row r="908" spans="104:105" x14ac:dyDescent="0.2">
      <c r="CZ908" s="12"/>
      <c r="DA908" s="12"/>
    </row>
    <row r="909" spans="104:105" x14ac:dyDescent="0.2">
      <c r="CZ909" s="12"/>
      <c r="DA909" s="12"/>
    </row>
    <row r="910" spans="104:105" x14ac:dyDescent="0.2">
      <c r="CZ910" s="12"/>
      <c r="DA910" s="12"/>
    </row>
    <row r="911" spans="104:105" x14ac:dyDescent="0.2">
      <c r="CZ911" s="12"/>
      <c r="DA911" s="12"/>
    </row>
    <row r="912" spans="104:105" x14ac:dyDescent="0.2">
      <c r="CZ912" s="12"/>
      <c r="DA912" s="12"/>
    </row>
    <row r="913" spans="104:105" x14ac:dyDescent="0.2">
      <c r="CZ913" s="12"/>
      <c r="DA913" s="12"/>
    </row>
    <row r="914" spans="104:105" x14ac:dyDescent="0.2">
      <c r="CZ914" s="12"/>
      <c r="DA914" s="12"/>
    </row>
    <row r="915" spans="104:105" x14ac:dyDescent="0.2">
      <c r="CZ915" s="12"/>
      <c r="DA915" s="12"/>
    </row>
    <row r="916" spans="104:105" x14ac:dyDescent="0.2">
      <c r="CZ916" s="12"/>
      <c r="DA916" s="12"/>
    </row>
    <row r="917" spans="104:105" x14ac:dyDescent="0.2">
      <c r="CZ917" s="12"/>
      <c r="DA917" s="12"/>
    </row>
    <row r="918" spans="104:105" x14ac:dyDescent="0.2">
      <c r="CZ918" s="12"/>
      <c r="DA918" s="12"/>
    </row>
    <row r="919" spans="104:105" x14ac:dyDescent="0.2">
      <c r="CZ919" s="12"/>
      <c r="DA919" s="12"/>
    </row>
    <row r="920" spans="104:105" x14ac:dyDescent="0.2">
      <c r="CZ920" s="12"/>
      <c r="DA920" s="12"/>
    </row>
    <row r="921" spans="104:105" x14ac:dyDescent="0.2">
      <c r="CZ921" s="12"/>
      <c r="DA921" s="12"/>
    </row>
    <row r="922" spans="104:105" x14ac:dyDescent="0.2">
      <c r="CZ922" s="12"/>
      <c r="DA922" s="12"/>
    </row>
    <row r="923" spans="104:105" x14ac:dyDescent="0.2">
      <c r="CZ923" s="12"/>
      <c r="DA923" s="12"/>
    </row>
    <row r="924" spans="104:105" x14ac:dyDescent="0.2">
      <c r="CZ924" s="12"/>
      <c r="DA924" s="12"/>
    </row>
    <row r="925" spans="104:105" x14ac:dyDescent="0.2">
      <c r="CZ925" s="12"/>
      <c r="DA925" s="12"/>
    </row>
    <row r="926" spans="104:105" x14ac:dyDescent="0.2">
      <c r="CZ926" s="12"/>
      <c r="DA926" s="12"/>
    </row>
    <row r="927" spans="104:105" x14ac:dyDescent="0.2">
      <c r="CZ927" s="12"/>
      <c r="DA927" s="12"/>
    </row>
    <row r="928" spans="104:105" x14ac:dyDescent="0.2">
      <c r="CZ928" s="12"/>
      <c r="DA928" s="12"/>
    </row>
    <row r="929" spans="104:105" x14ac:dyDescent="0.2">
      <c r="CZ929" s="12"/>
      <c r="DA929" s="12"/>
    </row>
    <row r="930" spans="104:105" x14ac:dyDescent="0.2">
      <c r="CZ930" s="12"/>
      <c r="DA930" s="12"/>
    </row>
    <row r="931" spans="104:105" x14ac:dyDescent="0.2">
      <c r="CZ931" s="12"/>
      <c r="DA931" s="12"/>
    </row>
    <row r="932" spans="104:105" x14ac:dyDescent="0.2">
      <c r="CZ932" s="12"/>
      <c r="DA932" s="12"/>
    </row>
    <row r="933" spans="104:105" x14ac:dyDescent="0.2">
      <c r="CZ933" s="12"/>
      <c r="DA933" s="12"/>
    </row>
    <row r="934" spans="104:105" x14ac:dyDescent="0.2">
      <c r="CZ934" s="12"/>
      <c r="DA934" s="12"/>
    </row>
    <row r="935" spans="104:105" x14ac:dyDescent="0.2">
      <c r="CZ935" s="12"/>
      <c r="DA935" s="12"/>
    </row>
    <row r="936" spans="104:105" x14ac:dyDescent="0.2">
      <c r="CZ936" s="12"/>
      <c r="DA936" s="12"/>
    </row>
    <row r="937" spans="104:105" x14ac:dyDescent="0.2">
      <c r="CZ937" s="12"/>
      <c r="DA937" s="12"/>
    </row>
    <row r="938" spans="104:105" x14ac:dyDescent="0.2">
      <c r="CZ938" s="12"/>
      <c r="DA938" s="12"/>
    </row>
    <row r="939" spans="104:105" x14ac:dyDescent="0.2">
      <c r="CZ939" s="12"/>
      <c r="DA939" s="12"/>
    </row>
    <row r="940" spans="104:105" x14ac:dyDescent="0.2">
      <c r="CZ940" s="12"/>
      <c r="DA940" s="12"/>
    </row>
    <row r="941" spans="104:105" x14ac:dyDescent="0.2">
      <c r="CZ941" s="12"/>
      <c r="DA941" s="12"/>
    </row>
    <row r="942" spans="104:105" x14ac:dyDescent="0.2">
      <c r="CZ942" s="12"/>
      <c r="DA942" s="12"/>
    </row>
    <row r="943" spans="104:105" x14ac:dyDescent="0.2">
      <c r="CZ943" s="12"/>
      <c r="DA943" s="12"/>
    </row>
    <row r="944" spans="104:105" x14ac:dyDescent="0.2">
      <c r="CZ944" s="12"/>
      <c r="DA944" s="12"/>
    </row>
    <row r="945" spans="104:105" x14ac:dyDescent="0.2">
      <c r="CZ945" s="12"/>
      <c r="DA945" s="12"/>
    </row>
    <row r="946" spans="104:105" x14ac:dyDescent="0.2">
      <c r="CZ946" s="12"/>
      <c r="DA946" s="12"/>
    </row>
    <row r="947" spans="104:105" x14ac:dyDescent="0.2">
      <c r="CZ947" s="12"/>
      <c r="DA947" s="12"/>
    </row>
    <row r="948" spans="104:105" x14ac:dyDescent="0.2">
      <c r="CZ948" s="12"/>
      <c r="DA948" s="12"/>
    </row>
    <row r="949" spans="104:105" x14ac:dyDescent="0.2">
      <c r="CZ949" s="12"/>
      <c r="DA949" s="12"/>
    </row>
    <row r="950" spans="104:105" x14ac:dyDescent="0.2">
      <c r="CZ950" s="12"/>
      <c r="DA950" s="12"/>
    </row>
    <row r="951" spans="104:105" x14ac:dyDescent="0.2">
      <c r="CZ951" s="12"/>
      <c r="DA951" s="12"/>
    </row>
    <row r="952" spans="104:105" x14ac:dyDescent="0.2">
      <c r="CZ952" s="12"/>
      <c r="DA952" s="12"/>
    </row>
    <row r="953" spans="104:105" x14ac:dyDescent="0.2">
      <c r="CZ953" s="12"/>
      <c r="DA953" s="12"/>
    </row>
    <row r="954" spans="104:105" x14ac:dyDescent="0.2">
      <c r="CZ954" s="12"/>
      <c r="DA954" s="12"/>
    </row>
    <row r="955" spans="104:105" x14ac:dyDescent="0.2">
      <c r="CZ955" s="12"/>
      <c r="DA955" s="12"/>
    </row>
    <row r="956" spans="104:105" x14ac:dyDescent="0.2">
      <c r="CZ956" s="12"/>
      <c r="DA956" s="12"/>
    </row>
    <row r="957" spans="104:105" x14ac:dyDescent="0.2">
      <c r="CZ957" s="12"/>
      <c r="DA957" s="12"/>
    </row>
    <row r="958" spans="104:105" x14ac:dyDescent="0.2">
      <c r="CZ958" s="12"/>
      <c r="DA958" s="12"/>
    </row>
    <row r="959" spans="104:105" x14ac:dyDescent="0.2">
      <c r="CZ959" s="12"/>
      <c r="DA959" s="12"/>
    </row>
    <row r="960" spans="104:105" x14ac:dyDescent="0.2">
      <c r="CZ960" s="12"/>
      <c r="DA960" s="12"/>
    </row>
    <row r="961" spans="104:105" x14ac:dyDescent="0.2">
      <c r="CZ961" s="12"/>
      <c r="DA961" s="12"/>
    </row>
    <row r="962" spans="104:105" x14ac:dyDescent="0.2">
      <c r="CZ962" s="12"/>
      <c r="DA962" s="12"/>
    </row>
    <row r="963" spans="104:105" x14ac:dyDescent="0.2">
      <c r="CZ963" s="12"/>
      <c r="DA963" s="12"/>
    </row>
    <row r="964" spans="104:105" x14ac:dyDescent="0.2">
      <c r="CZ964" s="12"/>
      <c r="DA964" s="12"/>
    </row>
    <row r="965" spans="104:105" x14ac:dyDescent="0.2">
      <c r="CZ965" s="12"/>
      <c r="DA965" s="12"/>
    </row>
    <row r="966" spans="104:105" x14ac:dyDescent="0.2">
      <c r="CZ966" s="12"/>
      <c r="DA966" s="12"/>
    </row>
    <row r="967" spans="104:105" x14ac:dyDescent="0.2">
      <c r="CZ967" s="12"/>
      <c r="DA967" s="12"/>
    </row>
    <row r="968" spans="104:105" x14ac:dyDescent="0.2">
      <c r="CZ968" s="12"/>
      <c r="DA968" s="12"/>
    </row>
    <row r="969" spans="104:105" x14ac:dyDescent="0.2">
      <c r="CZ969" s="12"/>
      <c r="DA969" s="12"/>
    </row>
    <row r="970" spans="104:105" x14ac:dyDescent="0.2">
      <c r="CZ970" s="12"/>
      <c r="DA970" s="12"/>
    </row>
    <row r="971" spans="104:105" x14ac:dyDescent="0.2">
      <c r="CZ971" s="12"/>
      <c r="DA971" s="12"/>
    </row>
    <row r="972" spans="104:105" x14ac:dyDescent="0.2">
      <c r="CZ972" s="12"/>
      <c r="DA972" s="12"/>
    </row>
    <row r="973" spans="104:105" x14ac:dyDescent="0.2">
      <c r="CZ973" s="12"/>
      <c r="DA973" s="12"/>
    </row>
    <row r="974" spans="104:105" x14ac:dyDescent="0.2">
      <c r="CZ974" s="12"/>
      <c r="DA974" s="12"/>
    </row>
    <row r="975" spans="104:105" x14ac:dyDescent="0.2">
      <c r="CZ975" s="12"/>
      <c r="DA975" s="12"/>
    </row>
    <row r="976" spans="104:105" x14ac:dyDescent="0.2">
      <c r="CZ976" s="12"/>
      <c r="DA976" s="12"/>
    </row>
    <row r="977" spans="104:105" x14ac:dyDescent="0.2">
      <c r="CZ977" s="12"/>
      <c r="DA977" s="12"/>
    </row>
    <row r="978" spans="104:105" x14ac:dyDescent="0.2">
      <c r="CZ978" s="12"/>
      <c r="DA978" s="12"/>
    </row>
    <row r="979" spans="104:105" x14ac:dyDescent="0.2">
      <c r="CZ979" s="12"/>
      <c r="DA979" s="12"/>
    </row>
    <row r="980" spans="104:105" x14ac:dyDescent="0.2">
      <c r="CZ980" s="12"/>
      <c r="DA980" s="12"/>
    </row>
    <row r="981" spans="104:105" x14ac:dyDescent="0.2">
      <c r="CZ981" s="12"/>
      <c r="DA981" s="12"/>
    </row>
    <row r="982" spans="104:105" x14ac:dyDescent="0.2">
      <c r="CZ982" s="12"/>
      <c r="DA982" s="12"/>
    </row>
    <row r="983" spans="104:105" x14ac:dyDescent="0.2">
      <c r="CZ983" s="12"/>
      <c r="DA983" s="12"/>
    </row>
    <row r="984" spans="104:105" x14ac:dyDescent="0.2">
      <c r="CZ984" s="12"/>
      <c r="DA984" s="12"/>
    </row>
    <row r="985" spans="104:105" x14ac:dyDescent="0.2">
      <c r="CZ985" s="12"/>
      <c r="DA985" s="12"/>
    </row>
    <row r="986" spans="104:105" x14ac:dyDescent="0.2">
      <c r="CZ986" s="12"/>
      <c r="DA986" s="12"/>
    </row>
    <row r="987" spans="104:105" x14ac:dyDescent="0.2">
      <c r="CZ987" s="12"/>
      <c r="DA987" s="12"/>
    </row>
    <row r="988" spans="104:105" x14ac:dyDescent="0.2">
      <c r="CZ988" s="12"/>
      <c r="DA988" s="12"/>
    </row>
    <row r="989" spans="104:105" x14ac:dyDescent="0.2">
      <c r="CZ989" s="12"/>
      <c r="DA989" s="12"/>
    </row>
    <row r="990" spans="104:105" x14ac:dyDescent="0.2">
      <c r="CZ990" s="12"/>
      <c r="DA990" s="12"/>
    </row>
    <row r="991" spans="104:105" x14ac:dyDescent="0.2">
      <c r="CZ991" s="12"/>
      <c r="DA991" s="12"/>
    </row>
    <row r="992" spans="104:105" x14ac:dyDescent="0.2">
      <c r="CZ992" s="12"/>
      <c r="DA992" s="12"/>
    </row>
    <row r="993" spans="104:105" x14ac:dyDescent="0.2">
      <c r="CZ993" s="12"/>
      <c r="DA993" s="12"/>
    </row>
    <row r="994" spans="104:105" x14ac:dyDescent="0.2">
      <c r="CZ994" s="12"/>
      <c r="DA994" s="12"/>
    </row>
    <row r="995" spans="104:105" x14ac:dyDescent="0.2">
      <c r="CZ995" s="12"/>
      <c r="DA995" s="12"/>
    </row>
    <row r="996" spans="104:105" x14ac:dyDescent="0.2">
      <c r="CZ996" s="12"/>
      <c r="DA996" s="12"/>
    </row>
    <row r="997" spans="104:105" x14ac:dyDescent="0.2">
      <c r="CZ997" s="12"/>
      <c r="DA997" s="12"/>
    </row>
    <row r="998" spans="104:105" x14ac:dyDescent="0.2">
      <c r="CZ998" s="12"/>
      <c r="DA998" s="12"/>
    </row>
    <row r="999" spans="104:105" x14ac:dyDescent="0.2">
      <c r="CZ999" s="12"/>
      <c r="DA999" s="12"/>
    </row>
    <row r="1000" spans="104:105" x14ac:dyDescent="0.2">
      <c r="CZ1000" s="12"/>
      <c r="DA1000" s="12"/>
    </row>
    <row r="1001" spans="104:105" x14ac:dyDescent="0.2">
      <c r="CZ1001" s="12"/>
      <c r="DA1001" s="12"/>
    </row>
    <row r="1002" spans="104:105" x14ac:dyDescent="0.2">
      <c r="CZ1002" s="12"/>
      <c r="DA1002" s="12"/>
    </row>
    <row r="1003" spans="104:105" x14ac:dyDescent="0.2">
      <c r="CZ1003" s="12"/>
      <c r="DA1003" s="12"/>
    </row>
    <row r="1004" spans="104:105" x14ac:dyDescent="0.2">
      <c r="CZ1004" s="12"/>
      <c r="DA1004" s="12"/>
    </row>
    <row r="1005" spans="104:105" x14ac:dyDescent="0.2">
      <c r="CZ1005" s="12"/>
      <c r="DA1005" s="12"/>
    </row>
    <row r="1006" spans="104:105" x14ac:dyDescent="0.2">
      <c r="CZ1006" s="12"/>
      <c r="DA1006" s="12"/>
    </row>
    <row r="1007" spans="104:105" x14ac:dyDescent="0.2">
      <c r="CZ1007" s="12"/>
      <c r="DA1007" s="12"/>
    </row>
    <row r="1008" spans="104:105" x14ac:dyDescent="0.2">
      <c r="CZ1008" s="12"/>
      <c r="DA1008" s="12"/>
    </row>
    <row r="1009" spans="104:105" x14ac:dyDescent="0.2">
      <c r="CZ1009" s="12"/>
      <c r="DA1009" s="12"/>
    </row>
    <row r="1010" spans="104:105" x14ac:dyDescent="0.2">
      <c r="CZ1010" s="12"/>
      <c r="DA1010" s="12"/>
    </row>
    <row r="1011" spans="104:105" x14ac:dyDescent="0.2">
      <c r="CZ1011" s="12"/>
      <c r="DA1011" s="12"/>
    </row>
    <row r="1012" spans="104:105" x14ac:dyDescent="0.2">
      <c r="CZ1012" s="12"/>
      <c r="DA1012" s="12"/>
    </row>
    <row r="1013" spans="104:105" x14ac:dyDescent="0.2">
      <c r="CZ1013" s="12"/>
      <c r="DA1013" s="12"/>
    </row>
    <row r="1014" spans="104:105" x14ac:dyDescent="0.2">
      <c r="CZ1014" s="12"/>
      <c r="DA1014" s="12"/>
    </row>
    <row r="1015" spans="104:105" x14ac:dyDescent="0.2">
      <c r="CZ1015" s="12"/>
      <c r="DA1015" s="12"/>
    </row>
    <row r="1016" spans="104:105" x14ac:dyDescent="0.2">
      <c r="CZ1016" s="12"/>
      <c r="DA1016" s="12"/>
    </row>
    <row r="1017" spans="104:105" x14ac:dyDescent="0.2">
      <c r="CZ1017" s="12"/>
      <c r="DA1017" s="12"/>
    </row>
    <row r="1018" spans="104:105" x14ac:dyDescent="0.2">
      <c r="CZ1018" s="12"/>
      <c r="DA1018" s="12"/>
    </row>
    <row r="1019" spans="104:105" x14ac:dyDescent="0.2">
      <c r="CZ1019" s="12"/>
      <c r="DA1019" s="12"/>
    </row>
    <row r="1020" spans="104:105" x14ac:dyDescent="0.2">
      <c r="CZ1020" s="12"/>
      <c r="DA1020" s="12"/>
    </row>
    <row r="1021" spans="104:105" x14ac:dyDescent="0.2">
      <c r="CZ1021" s="12"/>
      <c r="DA1021" s="12"/>
    </row>
    <row r="1022" spans="104:105" x14ac:dyDescent="0.2">
      <c r="CZ1022" s="12"/>
      <c r="DA1022" s="12"/>
    </row>
    <row r="1023" spans="104:105" x14ac:dyDescent="0.2">
      <c r="CZ1023" s="12"/>
      <c r="DA1023" s="12"/>
    </row>
    <row r="1024" spans="104:105" x14ac:dyDescent="0.2">
      <c r="CZ1024" s="12"/>
      <c r="DA1024" s="12"/>
    </row>
    <row r="1025" spans="104:105" x14ac:dyDescent="0.2">
      <c r="CZ1025" s="12"/>
      <c r="DA1025" s="12"/>
    </row>
    <row r="1026" spans="104:105" x14ac:dyDescent="0.2">
      <c r="CZ1026" s="12"/>
      <c r="DA1026" s="12"/>
    </row>
    <row r="1027" spans="104:105" x14ac:dyDescent="0.2">
      <c r="CZ1027" s="12"/>
      <c r="DA1027" s="12"/>
    </row>
    <row r="1028" spans="104:105" x14ac:dyDescent="0.2">
      <c r="CZ1028" s="12"/>
      <c r="DA1028" s="12"/>
    </row>
    <row r="1029" spans="104:105" x14ac:dyDescent="0.2">
      <c r="CZ1029" s="12"/>
      <c r="DA1029" s="12"/>
    </row>
    <row r="1030" spans="104:105" x14ac:dyDescent="0.2">
      <c r="CZ1030" s="12"/>
      <c r="DA1030" s="12"/>
    </row>
    <row r="1031" spans="104:105" x14ac:dyDescent="0.2">
      <c r="CZ1031" s="12"/>
      <c r="DA1031" s="12"/>
    </row>
    <row r="1032" spans="104:105" x14ac:dyDescent="0.2">
      <c r="CZ1032" s="12"/>
      <c r="DA1032" s="12"/>
    </row>
    <row r="1033" spans="104:105" x14ac:dyDescent="0.2">
      <c r="CZ1033" s="12"/>
      <c r="DA1033" s="12"/>
    </row>
    <row r="1034" spans="104:105" x14ac:dyDescent="0.2">
      <c r="CZ1034" s="12"/>
      <c r="DA1034" s="12"/>
    </row>
    <row r="1035" spans="104:105" x14ac:dyDescent="0.2">
      <c r="CZ1035" s="12"/>
      <c r="DA1035" s="12"/>
    </row>
    <row r="1036" spans="104:105" x14ac:dyDescent="0.2">
      <c r="CZ1036" s="12"/>
      <c r="DA1036" s="12"/>
    </row>
    <row r="1037" spans="104:105" x14ac:dyDescent="0.2">
      <c r="CZ1037" s="12"/>
      <c r="DA1037" s="12"/>
    </row>
    <row r="1038" spans="104:105" x14ac:dyDescent="0.2">
      <c r="CZ1038" s="12"/>
      <c r="DA1038" s="12"/>
    </row>
    <row r="1039" spans="104:105" x14ac:dyDescent="0.2">
      <c r="CZ1039" s="12"/>
      <c r="DA1039" s="12"/>
    </row>
    <row r="1040" spans="104:105" x14ac:dyDescent="0.2">
      <c r="CZ1040" s="12"/>
      <c r="DA1040" s="12"/>
    </row>
    <row r="1041" spans="104:105" x14ac:dyDescent="0.2">
      <c r="CZ1041" s="12"/>
      <c r="DA1041" s="12"/>
    </row>
    <row r="1042" spans="104:105" x14ac:dyDescent="0.2">
      <c r="CZ1042" s="12"/>
      <c r="DA1042" s="12"/>
    </row>
    <row r="1043" spans="104:105" x14ac:dyDescent="0.2">
      <c r="CZ1043" s="12"/>
      <c r="DA1043" s="12"/>
    </row>
    <row r="1044" spans="104:105" x14ac:dyDescent="0.2">
      <c r="CZ1044" s="12"/>
      <c r="DA1044" s="12"/>
    </row>
    <row r="1045" spans="104:105" x14ac:dyDescent="0.2">
      <c r="CZ1045" s="12"/>
      <c r="DA1045" s="12"/>
    </row>
    <row r="1046" spans="104:105" x14ac:dyDescent="0.2">
      <c r="CZ1046" s="12"/>
      <c r="DA1046" s="12"/>
    </row>
    <row r="1047" spans="104:105" x14ac:dyDescent="0.2">
      <c r="CZ1047" s="12"/>
      <c r="DA1047" s="12"/>
    </row>
    <row r="1048" spans="104:105" x14ac:dyDescent="0.2">
      <c r="CZ1048" s="12"/>
      <c r="DA1048" s="12"/>
    </row>
    <row r="1049" spans="104:105" x14ac:dyDescent="0.2">
      <c r="CZ1049" s="12"/>
      <c r="DA1049" s="12"/>
    </row>
    <row r="1050" spans="104:105" x14ac:dyDescent="0.2">
      <c r="CZ1050" s="12"/>
      <c r="DA1050" s="12"/>
    </row>
    <row r="1051" spans="104:105" x14ac:dyDescent="0.2">
      <c r="CZ1051" s="12"/>
      <c r="DA1051" s="12"/>
    </row>
    <row r="1052" spans="104:105" x14ac:dyDescent="0.2">
      <c r="CZ1052" s="12"/>
      <c r="DA1052" s="12"/>
    </row>
    <row r="1053" spans="104:105" x14ac:dyDescent="0.2">
      <c r="CZ1053" s="12"/>
      <c r="DA1053" s="12"/>
    </row>
    <row r="1054" spans="104:105" x14ac:dyDescent="0.2">
      <c r="CZ1054" s="12"/>
      <c r="DA1054" s="12"/>
    </row>
    <row r="1055" spans="104:105" x14ac:dyDescent="0.2">
      <c r="CZ1055" s="12"/>
      <c r="DA1055" s="12"/>
    </row>
    <row r="1056" spans="104:105" x14ac:dyDescent="0.2">
      <c r="CZ1056" s="12"/>
      <c r="DA1056" s="12"/>
    </row>
    <row r="1057" spans="104:105" x14ac:dyDescent="0.2">
      <c r="CZ1057" s="12"/>
      <c r="DA1057" s="12"/>
    </row>
    <row r="1058" spans="104:105" x14ac:dyDescent="0.2">
      <c r="CZ1058" s="12"/>
      <c r="DA1058" s="12"/>
    </row>
    <row r="1059" spans="104:105" x14ac:dyDescent="0.2">
      <c r="CZ1059" s="12"/>
      <c r="DA1059" s="12"/>
    </row>
    <row r="1060" spans="104:105" x14ac:dyDescent="0.2">
      <c r="CZ1060" s="12"/>
      <c r="DA1060" s="12"/>
    </row>
    <row r="1061" spans="104:105" x14ac:dyDescent="0.2">
      <c r="CZ1061" s="12"/>
      <c r="DA1061" s="12"/>
    </row>
    <row r="1062" spans="104:105" x14ac:dyDescent="0.2">
      <c r="CZ1062" s="12"/>
      <c r="DA1062" s="12"/>
    </row>
    <row r="1063" spans="104:105" x14ac:dyDescent="0.2">
      <c r="CZ1063" s="12"/>
      <c r="DA1063" s="12"/>
    </row>
    <row r="1064" spans="104:105" x14ac:dyDescent="0.2">
      <c r="CZ1064" s="12"/>
      <c r="DA1064" s="12"/>
    </row>
    <row r="1065" spans="104:105" x14ac:dyDescent="0.2">
      <c r="CZ1065" s="12"/>
      <c r="DA1065" s="12"/>
    </row>
    <row r="1066" spans="104:105" x14ac:dyDescent="0.2">
      <c r="CZ1066" s="12"/>
      <c r="DA1066" s="12"/>
    </row>
    <row r="1067" spans="104:105" x14ac:dyDescent="0.2">
      <c r="CZ1067" s="12"/>
      <c r="DA1067" s="12"/>
    </row>
    <row r="1068" spans="104:105" x14ac:dyDescent="0.2">
      <c r="CZ1068" s="12"/>
      <c r="DA1068" s="12"/>
    </row>
    <row r="1069" spans="104:105" x14ac:dyDescent="0.2">
      <c r="CZ1069" s="12"/>
      <c r="DA1069" s="12"/>
    </row>
    <row r="1070" spans="104:105" x14ac:dyDescent="0.2">
      <c r="CZ1070" s="12"/>
      <c r="DA1070" s="12"/>
    </row>
    <row r="1071" spans="104:105" x14ac:dyDescent="0.2">
      <c r="CZ1071" s="12"/>
      <c r="DA1071" s="12"/>
    </row>
    <row r="1072" spans="104:105" x14ac:dyDescent="0.2">
      <c r="CZ1072" s="12"/>
      <c r="DA1072" s="12"/>
    </row>
    <row r="1073" spans="104:105" x14ac:dyDescent="0.2">
      <c r="CZ1073" s="12"/>
      <c r="DA1073" s="12"/>
    </row>
    <row r="1074" spans="104:105" x14ac:dyDescent="0.2">
      <c r="CZ1074" s="12"/>
      <c r="DA1074" s="12"/>
    </row>
    <row r="1075" spans="104:105" x14ac:dyDescent="0.2">
      <c r="CZ1075" s="12"/>
      <c r="DA1075" s="12"/>
    </row>
    <row r="1076" spans="104:105" x14ac:dyDescent="0.2">
      <c r="CZ1076" s="12"/>
      <c r="DA1076" s="12"/>
    </row>
    <row r="1077" spans="104:105" x14ac:dyDescent="0.2">
      <c r="CZ1077" s="12"/>
      <c r="DA1077" s="12"/>
    </row>
    <row r="1078" spans="104:105" x14ac:dyDescent="0.2">
      <c r="CZ1078" s="12"/>
      <c r="DA1078" s="12"/>
    </row>
    <row r="1079" spans="104:105" x14ac:dyDescent="0.2">
      <c r="CZ1079" s="12"/>
      <c r="DA1079" s="12"/>
    </row>
    <row r="1080" spans="104:105" x14ac:dyDescent="0.2">
      <c r="CZ1080" s="12"/>
      <c r="DA1080" s="12"/>
    </row>
    <row r="1081" spans="104:105" x14ac:dyDescent="0.2">
      <c r="CZ1081" s="12"/>
      <c r="DA1081" s="12"/>
    </row>
    <row r="1082" spans="104:105" x14ac:dyDescent="0.2">
      <c r="CZ1082" s="12"/>
      <c r="DA1082" s="12"/>
    </row>
    <row r="1083" spans="104:105" x14ac:dyDescent="0.2">
      <c r="CZ1083" s="12"/>
      <c r="DA1083" s="12"/>
    </row>
    <row r="1084" spans="104:105" x14ac:dyDescent="0.2">
      <c r="CZ1084" s="12"/>
      <c r="DA1084" s="12"/>
    </row>
    <row r="1085" spans="104:105" x14ac:dyDescent="0.2">
      <c r="CZ1085" s="12"/>
      <c r="DA1085" s="12"/>
    </row>
    <row r="1086" spans="104:105" x14ac:dyDescent="0.2">
      <c r="CZ1086" s="12"/>
      <c r="DA1086" s="12"/>
    </row>
    <row r="1087" spans="104:105" x14ac:dyDescent="0.2">
      <c r="CZ1087" s="12"/>
      <c r="DA1087" s="12"/>
    </row>
    <row r="1088" spans="104:105" x14ac:dyDescent="0.2">
      <c r="CZ1088" s="12"/>
      <c r="DA1088" s="12"/>
    </row>
    <row r="1089" spans="104:105" x14ac:dyDescent="0.2">
      <c r="CZ1089" s="12"/>
      <c r="DA1089" s="12"/>
    </row>
    <row r="1090" spans="104:105" x14ac:dyDescent="0.2">
      <c r="CZ1090" s="12"/>
      <c r="DA1090" s="12"/>
    </row>
    <row r="1091" spans="104:105" x14ac:dyDescent="0.2">
      <c r="CZ1091" s="12"/>
      <c r="DA1091" s="12"/>
    </row>
    <row r="1092" spans="104:105" x14ac:dyDescent="0.2">
      <c r="CZ1092" s="12"/>
      <c r="DA1092" s="12"/>
    </row>
    <row r="1093" spans="104:105" x14ac:dyDescent="0.2">
      <c r="CZ1093" s="12"/>
      <c r="DA1093" s="12"/>
    </row>
    <row r="1094" spans="104:105" x14ac:dyDescent="0.2">
      <c r="CZ1094" s="12"/>
      <c r="DA1094" s="12"/>
    </row>
    <row r="1095" spans="104:105" x14ac:dyDescent="0.2">
      <c r="CZ1095" s="12"/>
      <c r="DA1095" s="12"/>
    </row>
    <row r="1096" spans="104:105" x14ac:dyDescent="0.2">
      <c r="CZ1096" s="12"/>
      <c r="DA1096" s="12"/>
    </row>
    <row r="1097" spans="104:105" x14ac:dyDescent="0.2">
      <c r="CZ1097" s="12"/>
      <c r="DA1097" s="12"/>
    </row>
    <row r="1098" spans="104:105" x14ac:dyDescent="0.2">
      <c r="CZ1098" s="12"/>
      <c r="DA1098" s="12"/>
    </row>
    <row r="1099" spans="104:105" x14ac:dyDescent="0.2">
      <c r="CZ1099" s="12"/>
      <c r="DA1099" s="12"/>
    </row>
    <row r="1100" spans="104:105" x14ac:dyDescent="0.2">
      <c r="CZ1100" s="12"/>
      <c r="DA1100" s="12"/>
    </row>
    <row r="1101" spans="104:105" x14ac:dyDescent="0.2">
      <c r="CZ1101" s="12"/>
      <c r="DA1101" s="12"/>
    </row>
    <row r="1102" spans="104:105" x14ac:dyDescent="0.2">
      <c r="CZ1102" s="12"/>
      <c r="DA1102" s="12"/>
    </row>
    <row r="1103" spans="104:105" x14ac:dyDescent="0.2">
      <c r="CZ1103" s="12"/>
      <c r="DA1103" s="12"/>
    </row>
    <row r="1104" spans="104:105" x14ac:dyDescent="0.2">
      <c r="CZ1104" s="12"/>
      <c r="DA1104" s="12"/>
    </row>
    <row r="1105" spans="104:105" x14ac:dyDescent="0.2">
      <c r="CZ1105" s="12"/>
      <c r="DA1105" s="12"/>
    </row>
    <row r="1106" spans="104:105" x14ac:dyDescent="0.2">
      <c r="CZ1106" s="12"/>
      <c r="DA1106" s="12"/>
    </row>
    <row r="1107" spans="104:105" x14ac:dyDescent="0.2">
      <c r="CZ1107" s="12"/>
      <c r="DA1107" s="12"/>
    </row>
    <row r="1108" spans="104:105" x14ac:dyDescent="0.2">
      <c r="CZ1108" s="12"/>
      <c r="DA1108" s="12"/>
    </row>
    <row r="1109" spans="104:105" x14ac:dyDescent="0.2">
      <c r="CZ1109" s="12"/>
      <c r="DA1109" s="12"/>
    </row>
    <row r="1110" spans="104:105" x14ac:dyDescent="0.2">
      <c r="CZ1110" s="12"/>
      <c r="DA1110" s="12"/>
    </row>
    <row r="1111" spans="104:105" x14ac:dyDescent="0.2">
      <c r="CZ1111" s="12"/>
      <c r="DA1111" s="12"/>
    </row>
    <row r="1112" spans="104:105" x14ac:dyDescent="0.2">
      <c r="CZ1112" s="12"/>
      <c r="DA1112" s="12"/>
    </row>
    <row r="1113" spans="104:105" x14ac:dyDescent="0.2">
      <c r="CZ1113" s="12"/>
      <c r="DA1113" s="12"/>
    </row>
    <row r="1114" spans="104:105" x14ac:dyDescent="0.2">
      <c r="CZ1114" s="12"/>
      <c r="DA1114" s="12"/>
    </row>
    <row r="1115" spans="104:105" x14ac:dyDescent="0.2">
      <c r="CZ1115" s="12"/>
      <c r="DA1115" s="12"/>
    </row>
    <row r="1116" spans="104:105" x14ac:dyDescent="0.2">
      <c r="CZ1116" s="12"/>
      <c r="DA1116" s="12"/>
    </row>
    <row r="1117" spans="104:105" x14ac:dyDescent="0.2">
      <c r="CZ1117" s="12"/>
      <c r="DA1117" s="12"/>
    </row>
    <row r="1118" spans="104:105" x14ac:dyDescent="0.2">
      <c r="CZ1118" s="12"/>
      <c r="DA1118" s="12"/>
    </row>
    <row r="1119" spans="104:105" x14ac:dyDescent="0.2">
      <c r="CZ1119" s="12"/>
      <c r="DA1119" s="12"/>
    </row>
    <row r="1120" spans="104:105" x14ac:dyDescent="0.2">
      <c r="CZ1120" s="12"/>
      <c r="DA1120" s="12"/>
    </row>
    <row r="1121" spans="104:105" x14ac:dyDescent="0.2">
      <c r="CZ1121" s="12"/>
      <c r="DA1121" s="12"/>
    </row>
    <row r="1122" spans="104:105" x14ac:dyDescent="0.2">
      <c r="CZ1122" s="12"/>
      <c r="DA1122" s="12"/>
    </row>
    <row r="1123" spans="104:105" x14ac:dyDescent="0.2">
      <c r="CZ1123" s="12"/>
      <c r="DA1123" s="12"/>
    </row>
    <row r="1124" spans="104:105" x14ac:dyDescent="0.2">
      <c r="CZ1124" s="12"/>
      <c r="DA1124" s="12"/>
    </row>
    <row r="1125" spans="104:105" x14ac:dyDescent="0.2">
      <c r="CZ1125" s="12"/>
      <c r="DA1125" s="12"/>
    </row>
    <row r="1126" spans="104:105" x14ac:dyDescent="0.2">
      <c r="CZ1126" s="12"/>
      <c r="DA1126" s="12"/>
    </row>
    <row r="1127" spans="104:105" x14ac:dyDescent="0.2">
      <c r="CZ1127" s="12"/>
      <c r="DA1127" s="12"/>
    </row>
    <row r="1128" spans="104:105" x14ac:dyDescent="0.2">
      <c r="CZ1128" s="12"/>
      <c r="DA1128" s="12"/>
    </row>
    <row r="1129" spans="104:105" x14ac:dyDescent="0.2">
      <c r="CZ1129" s="12"/>
      <c r="DA1129" s="12"/>
    </row>
    <row r="1130" spans="104:105" x14ac:dyDescent="0.2">
      <c r="CZ1130" s="12"/>
      <c r="DA1130" s="12"/>
    </row>
    <row r="1131" spans="104:105" x14ac:dyDescent="0.2">
      <c r="CZ1131" s="12"/>
      <c r="DA1131" s="12"/>
    </row>
    <row r="1132" spans="104:105" x14ac:dyDescent="0.2">
      <c r="CZ1132" s="12"/>
      <c r="DA1132" s="12"/>
    </row>
    <row r="1133" spans="104:105" x14ac:dyDescent="0.2">
      <c r="CZ1133" s="12"/>
      <c r="DA1133" s="12"/>
    </row>
    <row r="1134" spans="104:105" x14ac:dyDescent="0.2">
      <c r="CZ1134" s="12"/>
      <c r="DA1134" s="12"/>
    </row>
    <row r="1135" spans="104:105" x14ac:dyDescent="0.2">
      <c r="CZ1135" s="12"/>
      <c r="DA1135" s="12"/>
    </row>
    <row r="1136" spans="104:105" x14ac:dyDescent="0.2">
      <c r="CZ1136" s="12"/>
      <c r="DA1136" s="12"/>
    </row>
    <row r="1137" spans="104:105" x14ac:dyDescent="0.2">
      <c r="CZ1137" s="12"/>
      <c r="DA1137" s="12"/>
    </row>
    <row r="1138" spans="104:105" x14ac:dyDescent="0.2">
      <c r="CZ1138" s="12"/>
      <c r="DA1138" s="12"/>
    </row>
    <row r="1139" spans="104:105" x14ac:dyDescent="0.2">
      <c r="CZ1139" s="12"/>
      <c r="DA1139" s="12"/>
    </row>
    <row r="1140" spans="104:105" x14ac:dyDescent="0.2">
      <c r="CZ1140" s="12"/>
      <c r="DA1140" s="12"/>
    </row>
    <row r="1141" spans="104:105" x14ac:dyDescent="0.2">
      <c r="CZ1141" s="12"/>
      <c r="DA1141" s="12"/>
    </row>
    <row r="1142" spans="104:105" x14ac:dyDescent="0.2">
      <c r="CZ1142" s="12"/>
      <c r="DA1142" s="12"/>
    </row>
    <row r="1143" spans="104:105" x14ac:dyDescent="0.2">
      <c r="CZ1143" s="12"/>
      <c r="DA1143" s="12"/>
    </row>
    <row r="1144" spans="104:105" x14ac:dyDescent="0.2">
      <c r="CZ1144" s="12"/>
      <c r="DA1144" s="12"/>
    </row>
    <row r="1145" spans="104:105" x14ac:dyDescent="0.2">
      <c r="CZ1145" s="12"/>
      <c r="DA1145" s="12"/>
    </row>
    <row r="1146" spans="104:105" x14ac:dyDescent="0.2">
      <c r="CZ1146" s="12"/>
      <c r="DA1146" s="12"/>
    </row>
    <row r="1147" spans="104:105" x14ac:dyDescent="0.2">
      <c r="CZ1147" s="12"/>
      <c r="DA1147" s="12"/>
    </row>
    <row r="1148" spans="104:105" x14ac:dyDescent="0.2">
      <c r="CZ1148" s="12"/>
      <c r="DA1148" s="12"/>
    </row>
    <row r="1149" spans="104:105" x14ac:dyDescent="0.2">
      <c r="CZ1149" s="12"/>
      <c r="DA1149" s="12"/>
    </row>
    <row r="1150" spans="104:105" x14ac:dyDescent="0.2">
      <c r="CZ1150" s="12"/>
      <c r="DA1150" s="12"/>
    </row>
    <row r="1151" spans="104:105" x14ac:dyDescent="0.2">
      <c r="CZ1151" s="12"/>
      <c r="DA1151" s="12"/>
    </row>
    <row r="1152" spans="104:105" x14ac:dyDescent="0.2">
      <c r="CZ1152" s="12"/>
      <c r="DA1152" s="12"/>
    </row>
    <row r="1153" spans="104:105" x14ac:dyDescent="0.2">
      <c r="CZ1153" s="12"/>
      <c r="DA1153" s="12"/>
    </row>
    <row r="1154" spans="104:105" x14ac:dyDescent="0.2">
      <c r="CZ1154" s="12"/>
      <c r="DA1154" s="12"/>
    </row>
    <row r="1155" spans="104:105" x14ac:dyDescent="0.2">
      <c r="CZ1155" s="12"/>
      <c r="DA1155" s="12"/>
    </row>
    <row r="1156" spans="104:105" x14ac:dyDescent="0.2">
      <c r="CZ1156" s="12"/>
      <c r="DA1156" s="12"/>
    </row>
    <row r="1157" spans="104:105" x14ac:dyDescent="0.2">
      <c r="CZ1157" s="12"/>
      <c r="DA1157" s="12"/>
    </row>
    <row r="1158" spans="104:105" x14ac:dyDescent="0.2">
      <c r="CZ1158" s="12"/>
      <c r="DA1158" s="12"/>
    </row>
    <row r="1159" spans="104:105" x14ac:dyDescent="0.2">
      <c r="CZ1159" s="12"/>
      <c r="DA1159" s="12"/>
    </row>
    <row r="1160" spans="104:105" x14ac:dyDescent="0.2">
      <c r="CZ1160" s="12"/>
      <c r="DA1160" s="12"/>
    </row>
    <row r="1161" spans="104:105" x14ac:dyDescent="0.2">
      <c r="CZ1161" s="12"/>
      <c r="DA1161" s="12"/>
    </row>
    <row r="1162" spans="104:105" x14ac:dyDescent="0.2">
      <c r="CZ1162" s="12"/>
      <c r="DA1162" s="12"/>
    </row>
    <row r="1163" spans="104:105" x14ac:dyDescent="0.2">
      <c r="CZ1163" s="12"/>
      <c r="DA1163" s="12"/>
    </row>
    <row r="1164" spans="104:105" x14ac:dyDescent="0.2">
      <c r="CZ1164" s="12"/>
      <c r="DA1164" s="12"/>
    </row>
    <row r="1165" spans="104:105" x14ac:dyDescent="0.2">
      <c r="CZ1165" s="12"/>
      <c r="DA1165" s="12"/>
    </row>
    <row r="1166" spans="104:105" x14ac:dyDescent="0.2">
      <c r="CZ1166" s="12"/>
      <c r="DA1166" s="12"/>
    </row>
    <row r="1167" spans="104:105" x14ac:dyDescent="0.2">
      <c r="CZ1167" s="12"/>
      <c r="DA1167" s="12"/>
    </row>
    <row r="1168" spans="104:105" x14ac:dyDescent="0.2">
      <c r="CZ1168" s="12"/>
      <c r="DA1168" s="12"/>
    </row>
    <row r="1169" spans="104:105" x14ac:dyDescent="0.2">
      <c r="CZ1169" s="12"/>
      <c r="DA1169" s="12"/>
    </row>
    <row r="1170" spans="104:105" x14ac:dyDescent="0.2">
      <c r="CZ1170" s="12"/>
      <c r="DA1170" s="12"/>
    </row>
    <row r="1171" spans="104:105" x14ac:dyDescent="0.2">
      <c r="CZ1171" s="12"/>
      <c r="DA1171" s="12"/>
    </row>
    <row r="1172" spans="104:105" x14ac:dyDescent="0.2">
      <c r="CZ1172" s="12"/>
      <c r="DA1172" s="12"/>
    </row>
    <row r="1173" spans="104:105" x14ac:dyDescent="0.2">
      <c r="CZ1173" s="12"/>
      <c r="DA1173" s="12"/>
    </row>
    <row r="1174" spans="104:105" x14ac:dyDescent="0.2">
      <c r="CZ1174" s="12"/>
      <c r="DA1174" s="12"/>
    </row>
    <row r="1175" spans="104:105" x14ac:dyDescent="0.2">
      <c r="CZ1175" s="12"/>
      <c r="DA1175" s="12"/>
    </row>
    <row r="1176" spans="104:105" x14ac:dyDescent="0.2">
      <c r="CZ1176" s="12"/>
      <c r="DA1176" s="12"/>
    </row>
    <row r="1177" spans="104:105" x14ac:dyDescent="0.2">
      <c r="CZ1177" s="12"/>
      <c r="DA1177" s="12"/>
    </row>
    <row r="1178" spans="104:105" x14ac:dyDescent="0.2">
      <c r="CZ1178" s="12"/>
      <c r="DA1178" s="12"/>
    </row>
    <row r="1179" spans="104:105" x14ac:dyDescent="0.2">
      <c r="CZ1179" s="12"/>
      <c r="DA1179" s="12"/>
    </row>
    <row r="1180" spans="104:105" x14ac:dyDescent="0.2">
      <c r="CZ1180" s="12"/>
      <c r="DA1180" s="12"/>
    </row>
    <row r="1181" spans="104:105" x14ac:dyDescent="0.2">
      <c r="CZ1181" s="12"/>
      <c r="DA1181" s="12"/>
    </row>
    <row r="1182" spans="104:105" x14ac:dyDescent="0.2">
      <c r="CZ1182" s="12"/>
      <c r="DA1182" s="12"/>
    </row>
    <row r="1183" spans="104:105" x14ac:dyDescent="0.2">
      <c r="CZ1183" s="12"/>
      <c r="DA1183" s="12"/>
    </row>
    <row r="1184" spans="104:105" x14ac:dyDescent="0.2">
      <c r="CZ1184" s="12"/>
      <c r="DA1184" s="12"/>
    </row>
    <row r="1185" spans="104:105" x14ac:dyDescent="0.2">
      <c r="CZ1185" s="12"/>
      <c r="DA1185" s="12"/>
    </row>
    <row r="1186" spans="104:105" x14ac:dyDescent="0.2">
      <c r="CZ1186" s="12"/>
      <c r="DA1186" s="12"/>
    </row>
    <row r="1187" spans="104:105" x14ac:dyDescent="0.2">
      <c r="CZ1187" s="12"/>
      <c r="DA1187" s="12"/>
    </row>
    <row r="1188" spans="104:105" x14ac:dyDescent="0.2">
      <c r="CZ1188" s="12"/>
      <c r="DA1188" s="12"/>
    </row>
    <row r="1189" spans="104:105" x14ac:dyDescent="0.2">
      <c r="CZ1189" s="12"/>
      <c r="DA1189" s="12"/>
    </row>
    <row r="1190" spans="104:105" x14ac:dyDescent="0.2">
      <c r="CZ1190" s="12"/>
      <c r="DA1190" s="12"/>
    </row>
    <row r="1191" spans="104:105" x14ac:dyDescent="0.2">
      <c r="CZ1191" s="12"/>
      <c r="DA1191" s="12"/>
    </row>
    <row r="1192" spans="104:105" x14ac:dyDescent="0.2">
      <c r="CZ1192" s="12"/>
      <c r="DA1192" s="12"/>
    </row>
    <row r="1193" spans="104:105" x14ac:dyDescent="0.2">
      <c r="CZ1193" s="12"/>
      <c r="DA1193" s="12"/>
    </row>
    <row r="1194" spans="104:105" x14ac:dyDescent="0.2">
      <c r="CZ1194" s="12"/>
      <c r="DA1194" s="12"/>
    </row>
    <row r="1195" spans="104:105" x14ac:dyDescent="0.2">
      <c r="CZ1195" s="12"/>
      <c r="DA1195" s="12"/>
    </row>
    <row r="1196" spans="104:105" x14ac:dyDescent="0.2">
      <c r="CZ1196" s="12"/>
      <c r="DA1196" s="12"/>
    </row>
    <row r="1197" spans="104:105" x14ac:dyDescent="0.2">
      <c r="CZ1197" s="12"/>
      <c r="DA1197" s="12"/>
    </row>
    <row r="1198" spans="104:105" x14ac:dyDescent="0.2">
      <c r="CZ1198" s="12"/>
      <c r="DA1198" s="12"/>
    </row>
    <row r="1199" spans="104:105" x14ac:dyDescent="0.2">
      <c r="CZ1199" s="12"/>
      <c r="DA1199" s="12"/>
    </row>
    <row r="1200" spans="104:105" x14ac:dyDescent="0.2">
      <c r="CZ1200" s="12"/>
      <c r="DA1200" s="12"/>
    </row>
    <row r="1201" spans="104:105" x14ac:dyDescent="0.2">
      <c r="CZ1201" s="12"/>
      <c r="DA1201" s="12"/>
    </row>
    <row r="1202" spans="104:105" x14ac:dyDescent="0.2">
      <c r="CZ1202" s="12"/>
      <c r="DA1202" s="12"/>
    </row>
    <row r="1203" spans="104:105" x14ac:dyDescent="0.2">
      <c r="CZ1203" s="12"/>
      <c r="DA1203" s="12"/>
    </row>
    <row r="1204" spans="104:105" x14ac:dyDescent="0.2">
      <c r="CZ1204" s="12"/>
      <c r="DA1204" s="12"/>
    </row>
    <row r="1205" spans="104:105" x14ac:dyDescent="0.2">
      <c r="CZ1205" s="12"/>
      <c r="DA1205" s="12"/>
    </row>
    <row r="1206" spans="104:105" x14ac:dyDescent="0.2">
      <c r="CZ1206" s="12"/>
      <c r="DA1206" s="12"/>
    </row>
    <row r="1207" spans="104:105" x14ac:dyDescent="0.2">
      <c r="CZ1207" s="12"/>
      <c r="DA1207" s="12"/>
    </row>
    <row r="1208" spans="104:105" x14ac:dyDescent="0.2">
      <c r="CZ1208" s="12"/>
      <c r="DA1208" s="12"/>
    </row>
    <row r="1209" spans="104:105" x14ac:dyDescent="0.2">
      <c r="CZ1209" s="12"/>
      <c r="DA1209" s="12"/>
    </row>
    <row r="1210" spans="104:105" x14ac:dyDescent="0.2">
      <c r="CZ1210" s="12"/>
      <c r="DA1210" s="12"/>
    </row>
    <row r="1211" spans="104:105" x14ac:dyDescent="0.2">
      <c r="CZ1211" s="12"/>
      <c r="DA1211" s="12"/>
    </row>
    <row r="1212" spans="104:105" x14ac:dyDescent="0.2">
      <c r="CZ1212" s="12"/>
      <c r="DA1212" s="12"/>
    </row>
    <row r="1213" spans="104:105" x14ac:dyDescent="0.2">
      <c r="CZ1213" s="12"/>
      <c r="DA1213" s="12"/>
    </row>
    <row r="1214" spans="104:105" x14ac:dyDescent="0.2">
      <c r="CZ1214" s="12"/>
      <c r="DA1214" s="12"/>
    </row>
    <row r="1215" spans="104:105" x14ac:dyDescent="0.2">
      <c r="CZ1215" s="12"/>
      <c r="DA1215" s="12"/>
    </row>
    <row r="1216" spans="104:105" x14ac:dyDescent="0.2">
      <c r="CZ1216" s="12"/>
      <c r="DA1216" s="12"/>
    </row>
    <row r="1217" spans="104:105" x14ac:dyDescent="0.2">
      <c r="CZ1217" s="12"/>
      <c r="DA1217" s="12"/>
    </row>
    <row r="1218" spans="104:105" x14ac:dyDescent="0.2">
      <c r="CZ1218" s="12"/>
      <c r="DA1218" s="12"/>
    </row>
    <row r="1219" spans="104:105" x14ac:dyDescent="0.2">
      <c r="CZ1219" s="12"/>
      <c r="DA1219" s="12"/>
    </row>
    <row r="1220" spans="104:105" x14ac:dyDescent="0.2">
      <c r="CZ1220" s="12"/>
      <c r="DA1220" s="12"/>
    </row>
    <row r="1221" spans="104:105" x14ac:dyDescent="0.2">
      <c r="CZ1221" s="12"/>
      <c r="DA1221" s="12"/>
    </row>
    <row r="1222" spans="104:105" x14ac:dyDescent="0.2">
      <c r="CZ1222" s="12"/>
      <c r="DA1222" s="12"/>
    </row>
    <row r="1223" spans="104:105" x14ac:dyDescent="0.2">
      <c r="CZ1223" s="12"/>
      <c r="DA1223" s="12"/>
    </row>
    <row r="1224" spans="104:105" x14ac:dyDescent="0.2">
      <c r="CZ1224" s="12"/>
      <c r="DA1224" s="12"/>
    </row>
    <row r="1225" spans="104:105" x14ac:dyDescent="0.2">
      <c r="CZ1225" s="12"/>
      <c r="DA1225" s="12"/>
    </row>
    <row r="1226" spans="104:105" x14ac:dyDescent="0.2">
      <c r="CZ1226" s="12"/>
      <c r="DA1226" s="12"/>
    </row>
    <row r="1227" spans="104:105" x14ac:dyDescent="0.2">
      <c r="CZ1227" s="12"/>
      <c r="DA1227" s="12"/>
    </row>
    <row r="1228" spans="104:105" x14ac:dyDescent="0.2">
      <c r="CZ1228" s="12"/>
      <c r="DA1228" s="12"/>
    </row>
    <row r="1229" spans="104:105" x14ac:dyDescent="0.2">
      <c r="CZ1229" s="12"/>
      <c r="DA1229" s="12"/>
    </row>
    <row r="1230" spans="104:105" x14ac:dyDescent="0.2">
      <c r="CZ1230" s="12"/>
      <c r="DA1230" s="12"/>
    </row>
    <row r="1231" spans="104:105" x14ac:dyDescent="0.2">
      <c r="CZ1231" s="12"/>
      <c r="DA1231" s="12"/>
    </row>
    <row r="1232" spans="104:105" x14ac:dyDescent="0.2">
      <c r="CZ1232" s="12"/>
      <c r="DA1232" s="12"/>
    </row>
    <row r="1233" spans="104:105" x14ac:dyDescent="0.2">
      <c r="CZ1233" s="12"/>
      <c r="DA1233" s="12"/>
    </row>
    <row r="1234" spans="104:105" x14ac:dyDescent="0.2">
      <c r="CZ1234" s="12"/>
      <c r="DA1234" s="12"/>
    </row>
    <row r="1235" spans="104:105" x14ac:dyDescent="0.2">
      <c r="CZ1235" s="12"/>
      <c r="DA1235" s="12"/>
    </row>
    <row r="1236" spans="104:105" x14ac:dyDescent="0.2">
      <c r="CZ1236" s="12"/>
      <c r="DA1236" s="12"/>
    </row>
    <row r="1237" spans="104:105" x14ac:dyDescent="0.2">
      <c r="CZ1237" s="12"/>
      <c r="DA1237" s="12"/>
    </row>
    <row r="1238" spans="104:105" x14ac:dyDescent="0.2">
      <c r="CZ1238" s="12"/>
      <c r="DA1238" s="12"/>
    </row>
    <row r="1239" spans="104:105" x14ac:dyDescent="0.2">
      <c r="CZ1239" s="12"/>
      <c r="DA1239" s="12"/>
    </row>
    <row r="1240" spans="104:105" x14ac:dyDescent="0.2">
      <c r="CZ1240" s="12"/>
      <c r="DA1240" s="12"/>
    </row>
    <row r="1241" spans="104:105" x14ac:dyDescent="0.2">
      <c r="CZ1241" s="12"/>
      <c r="DA1241" s="12"/>
    </row>
    <row r="1242" spans="104:105" x14ac:dyDescent="0.2">
      <c r="CZ1242" s="12"/>
      <c r="DA1242" s="12"/>
    </row>
    <row r="1243" spans="104:105" x14ac:dyDescent="0.2">
      <c r="CZ1243" s="12"/>
      <c r="DA1243" s="12"/>
    </row>
    <row r="1244" spans="104:105" x14ac:dyDescent="0.2">
      <c r="CZ1244" s="12"/>
      <c r="DA1244" s="12"/>
    </row>
    <row r="1245" spans="104:105" x14ac:dyDescent="0.2">
      <c r="CZ1245" s="12"/>
      <c r="DA1245" s="12"/>
    </row>
    <row r="1246" spans="104:105" x14ac:dyDescent="0.2">
      <c r="CZ1246" s="12"/>
      <c r="DA1246" s="12"/>
    </row>
    <row r="1247" spans="104:105" x14ac:dyDescent="0.2">
      <c r="CZ1247" s="12"/>
      <c r="DA1247" s="12"/>
    </row>
    <row r="1248" spans="104:105" x14ac:dyDescent="0.2">
      <c r="CZ1248" s="12"/>
      <c r="DA1248" s="12"/>
    </row>
    <row r="1249" spans="104:105" x14ac:dyDescent="0.2">
      <c r="CZ1249" s="12"/>
      <c r="DA1249" s="12"/>
    </row>
    <row r="1250" spans="104:105" x14ac:dyDescent="0.2">
      <c r="CZ1250" s="12"/>
      <c r="DA1250" s="12"/>
    </row>
    <row r="1251" spans="104:105" x14ac:dyDescent="0.2">
      <c r="CZ1251" s="12"/>
      <c r="DA1251" s="12"/>
    </row>
    <row r="1252" spans="104:105" x14ac:dyDescent="0.2">
      <c r="CZ1252" s="12"/>
      <c r="DA1252" s="12"/>
    </row>
    <row r="1253" spans="104:105" x14ac:dyDescent="0.2">
      <c r="CZ1253" s="12"/>
      <c r="DA1253" s="12"/>
    </row>
    <row r="1254" spans="104:105" x14ac:dyDescent="0.2">
      <c r="CZ1254" s="12"/>
      <c r="DA1254" s="12"/>
    </row>
    <row r="1255" spans="104:105" x14ac:dyDescent="0.2">
      <c r="CZ1255" s="12"/>
      <c r="DA1255" s="12"/>
    </row>
    <row r="1256" spans="104:105" x14ac:dyDescent="0.2">
      <c r="CZ1256" s="12"/>
      <c r="DA1256" s="12"/>
    </row>
    <row r="1257" spans="104:105" x14ac:dyDescent="0.2">
      <c r="CZ1257" s="12"/>
      <c r="DA1257" s="12"/>
    </row>
    <row r="1258" spans="104:105" x14ac:dyDescent="0.2">
      <c r="CZ1258" s="12"/>
      <c r="DA1258" s="12"/>
    </row>
    <row r="1259" spans="104:105" x14ac:dyDescent="0.2">
      <c r="CZ1259" s="12"/>
      <c r="DA1259" s="12"/>
    </row>
    <row r="1260" spans="104:105" x14ac:dyDescent="0.2">
      <c r="CZ1260" s="12"/>
      <c r="DA1260" s="12"/>
    </row>
    <row r="1261" spans="104:105" x14ac:dyDescent="0.2">
      <c r="CZ1261" s="12"/>
      <c r="DA1261" s="12"/>
    </row>
    <row r="1262" spans="104:105" x14ac:dyDescent="0.2">
      <c r="CZ1262" s="12"/>
      <c r="DA1262" s="12"/>
    </row>
    <row r="1263" spans="104:105" x14ac:dyDescent="0.2">
      <c r="CZ1263" s="12"/>
      <c r="DA1263" s="12"/>
    </row>
    <row r="1264" spans="104:105" x14ac:dyDescent="0.2">
      <c r="CZ1264" s="12"/>
      <c r="DA1264" s="12"/>
    </row>
    <row r="1265" spans="104:105" x14ac:dyDescent="0.2">
      <c r="CZ1265" s="12"/>
      <c r="DA1265" s="12"/>
    </row>
    <row r="1266" spans="104:105" x14ac:dyDescent="0.2">
      <c r="CZ1266" s="12"/>
      <c r="DA1266" s="12"/>
    </row>
    <row r="1267" spans="104:105" x14ac:dyDescent="0.2">
      <c r="CZ1267" s="12"/>
      <c r="DA1267" s="12"/>
    </row>
    <row r="1268" spans="104:105" x14ac:dyDescent="0.2">
      <c r="CZ1268" s="12"/>
      <c r="DA1268" s="12"/>
    </row>
    <row r="1269" spans="104:105" x14ac:dyDescent="0.2">
      <c r="CZ1269" s="12"/>
      <c r="DA1269" s="12"/>
    </row>
    <row r="1270" spans="104:105" x14ac:dyDescent="0.2">
      <c r="CZ1270" s="12"/>
      <c r="DA1270" s="12"/>
    </row>
    <row r="1271" spans="104:105" x14ac:dyDescent="0.2">
      <c r="CZ1271" s="12"/>
      <c r="DA1271" s="12"/>
    </row>
    <row r="1272" spans="104:105" x14ac:dyDescent="0.2">
      <c r="CZ1272" s="12"/>
      <c r="DA1272" s="12"/>
    </row>
    <row r="1273" spans="104:105" x14ac:dyDescent="0.2">
      <c r="CZ1273" s="12"/>
      <c r="DA1273" s="12"/>
    </row>
    <row r="1274" spans="104:105" x14ac:dyDescent="0.2">
      <c r="CZ1274" s="12"/>
      <c r="DA1274" s="12"/>
    </row>
    <row r="1275" spans="104:105" x14ac:dyDescent="0.2">
      <c r="CZ1275" s="12"/>
      <c r="DA1275" s="12"/>
    </row>
    <row r="1276" spans="104:105" x14ac:dyDescent="0.2">
      <c r="CZ1276" s="12"/>
      <c r="DA1276" s="12"/>
    </row>
    <row r="1277" spans="104:105" x14ac:dyDescent="0.2">
      <c r="CZ1277" s="12"/>
      <c r="DA1277" s="12"/>
    </row>
    <row r="1278" spans="104:105" x14ac:dyDescent="0.2">
      <c r="CZ1278" s="12"/>
      <c r="DA1278" s="12"/>
    </row>
    <row r="1279" spans="104:105" x14ac:dyDescent="0.2">
      <c r="CZ1279" s="12"/>
      <c r="DA1279" s="12"/>
    </row>
    <row r="1280" spans="104:105" x14ac:dyDescent="0.2">
      <c r="CZ1280" s="12"/>
      <c r="DA1280" s="12"/>
    </row>
    <row r="1281" spans="104:105" x14ac:dyDescent="0.2">
      <c r="CZ1281" s="12"/>
      <c r="DA1281" s="12"/>
    </row>
    <row r="1282" spans="104:105" x14ac:dyDescent="0.2">
      <c r="CZ1282" s="12"/>
      <c r="DA1282" s="12"/>
    </row>
    <row r="1283" spans="104:105" x14ac:dyDescent="0.2">
      <c r="CZ1283" s="12"/>
      <c r="DA1283" s="12"/>
    </row>
    <row r="1284" spans="104:105" x14ac:dyDescent="0.2">
      <c r="CZ1284" s="12"/>
      <c r="DA1284" s="12"/>
    </row>
    <row r="1285" spans="104:105" x14ac:dyDescent="0.2">
      <c r="CZ1285" s="12"/>
      <c r="DA1285" s="12"/>
    </row>
    <row r="1286" spans="104:105" x14ac:dyDescent="0.2">
      <c r="CZ1286" s="12"/>
      <c r="DA1286" s="12"/>
    </row>
    <row r="1287" spans="104:105" x14ac:dyDescent="0.2">
      <c r="CZ1287" s="12"/>
      <c r="DA1287" s="12"/>
    </row>
    <row r="1288" spans="104:105" x14ac:dyDescent="0.2">
      <c r="CZ1288" s="12"/>
      <c r="DA1288" s="12"/>
    </row>
    <row r="1289" spans="104:105" x14ac:dyDescent="0.2">
      <c r="CZ1289" s="12"/>
      <c r="DA1289" s="12"/>
    </row>
    <row r="1290" spans="104:105" x14ac:dyDescent="0.2">
      <c r="CZ1290" s="12"/>
      <c r="DA1290" s="12"/>
    </row>
    <row r="1291" spans="104:105" x14ac:dyDescent="0.2">
      <c r="CZ1291" s="12"/>
      <c r="DA1291" s="12"/>
    </row>
    <row r="1292" spans="104:105" x14ac:dyDescent="0.2">
      <c r="CZ1292" s="12"/>
      <c r="DA1292" s="12"/>
    </row>
    <row r="1293" spans="104:105" x14ac:dyDescent="0.2">
      <c r="CZ1293" s="12"/>
      <c r="DA1293" s="12"/>
    </row>
    <row r="1294" spans="104:105" x14ac:dyDescent="0.2">
      <c r="CZ1294" s="12"/>
      <c r="DA1294" s="12"/>
    </row>
    <row r="1295" spans="104:105" x14ac:dyDescent="0.2">
      <c r="CZ1295" s="12"/>
      <c r="DA1295" s="12"/>
    </row>
    <row r="1296" spans="104:105" x14ac:dyDescent="0.2">
      <c r="CZ1296" s="12"/>
      <c r="DA1296" s="12"/>
    </row>
    <row r="1297" spans="104:105" x14ac:dyDescent="0.2">
      <c r="CZ1297" s="12"/>
      <c r="DA1297" s="12"/>
    </row>
    <row r="1298" spans="104:105" x14ac:dyDescent="0.2">
      <c r="CZ1298" s="12"/>
      <c r="DA1298" s="12"/>
    </row>
    <row r="1299" spans="104:105" x14ac:dyDescent="0.2">
      <c r="CZ1299" s="12"/>
      <c r="DA1299" s="12"/>
    </row>
    <row r="1300" spans="104:105" x14ac:dyDescent="0.2">
      <c r="CZ1300" s="12"/>
      <c r="DA1300" s="12"/>
    </row>
    <row r="1301" spans="104:105" x14ac:dyDescent="0.2">
      <c r="CZ1301" s="12"/>
      <c r="DA1301" s="12"/>
    </row>
    <row r="1302" spans="104:105" x14ac:dyDescent="0.2">
      <c r="CZ1302" s="12"/>
      <c r="DA1302" s="12"/>
    </row>
    <row r="1303" spans="104:105" x14ac:dyDescent="0.2">
      <c r="CZ1303" s="12"/>
      <c r="DA1303" s="12"/>
    </row>
    <row r="1304" spans="104:105" x14ac:dyDescent="0.2">
      <c r="CZ1304" s="12"/>
      <c r="DA1304" s="12"/>
    </row>
    <row r="1305" spans="104:105" x14ac:dyDescent="0.2">
      <c r="CZ1305" s="12"/>
      <c r="DA1305" s="12"/>
    </row>
    <row r="1306" spans="104:105" x14ac:dyDescent="0.2">
      <c r="CZ1306" s="12"/>
      <c r="DA1306" s="12"/>
    </row>
    <row r="1307" spans="104:105" x14ac:dyDescent="0.2">
      <c r="CZ1307" s="12"/>
      <c r="DA1307" s="12"/>
    </row>
    <row r="1308" spans="104:105" x14ac:dyDescent="0.2">
      <c r="CZ1308" s="12"/>
      <c r="DA1308" s="12"/>
    </row>
    <row r="1309" spans="104:105" x14ac:dyDescent="0.2">
      <c r="CZ1309" s="12"/>
      <c r="DA1309" s="12"/>
    </row>
    <row r="1310" spans="104:105" x14ac:dyDescent="0.2">
      <c r="CZ1310" s="12"/>
      <c r="DA1310" s="12"/>
    </row>
    <row r="1311" spans="104:105" x14ac:dyDescent="0.2">
      <c r="CZ1311" s="12"/>
      <c r="DA1311" s="12"/>
    </row>
    <row r="1312" spans="104:105" x14ac:dyDescent="0.2">
      <c r="CZ1312" s="12"/>
      <c r="DA1312" s="12"/>
    </row>
    <row r="1313" spans="104:105" x14ac:dyDescent="0.2">
      <c r="CZ1313" s="12"/>
      <c r="DA1313" s="12"/>
    </row>
    <row r="1314" spans="104:105" x14ac:dyDescent="0.2">
      <c r="CZ1314" s="12"/>
      <c r="DA1314" s="12"/>
    </row>
    <row r="1315" spans="104:105" x14ac:dyDescent="0.2">
      <c r="CZ1315" s="12"/>
      <c r="DA1315" s="12"/>
    </row>
    <row r="1316" spans="104:105" x14ac:dyDescent="0.2">
      <c r="CZ1316" s="12"/>
      <c r="DA1316" s="12"/>
    </row>
    <row r="1317" spans="104:105" x14ac:dyDescent="0.2">
      <c r="CZ1317" s="12"/>
      <c r="DA1317" s="12"/>
    </row>
    <row r="1318" spans="104:105" x14ac:dyDescent="0.2">
      <c r="CZ1318" s="12"/>
      <c r="DA1318" s="12"/>
    </row>
    <row r="1319" spans="104:105" x14ac:dyDescent="0.2">
      <c r="CZ1319" s="12"/>
      <c r="DA1319" s="12"/>
    </row>
    <row r="1320" spans="104:105" x14ac:dyDescent="0.2">
      <c r="CZ1320" s="12"/>
      <c r="DA1320" s="12"/>
    </row>
    <row r="1321" spans="104:105" x14ac:dyDescent="0.2">
      <c r="CZ1321" s="12"/>
      <c r="DA1321" s="12"/>
    </row>
    <row r="1322" spans="104:105" x14ac:dyDescent="0.2">
      <c r="CZ1322" s="12"/>
      <c r="DA1322" s="12"/>
    </row>
    <row r="1323" spans="104:105" x14ac:dyDescent="0.2">
      <c r="CZ1323" s="12"/>
      <c r="DA1323" s="12"/>
    </row>
    <row r="1324" spans="104:105" x14ac:dyDescent="0.2">
      <c r="CZ1324" s="12"/>
      <c r="DA1324" s="12"/>
    </row>
    <row r="1325" spans="104:105" x14ac:dyDescent="0.2">
      <c r="CZ1325" s="12"/>
      <c r="DA1325" s="12"/>
    </row>
    <row r="1326" spans="104:105" x14ac:dyDescent="0.2">
      <c r="CZ1326" s="12"/>
      <c r="DA1326" s="12"/>
    </row>
    <row r="1327" spans="104:105" x14ac:dyDescent="0.2">
      <c r="CZ1327" s="12"/>
      <c r="DA1327" s="12"/>
    </row>
    <row r="1328" spans="104:105" x14ac:dyDescent="0.2">
      <c r="CZ1328" s="12"/>
      <c r="DA1328" s="12"/>
    </row>
    <row r="1329" spans="104:105" x14ac:dyDescent="0.2">
      <c r="CZ1329" s="12"/>
      <c r="DA1329" s="12"/>
    </row>
    <row r="1330" spans="104:105" x14ac:dyDescent="0.2">
      <c r="CZ1330" s="12"/>
      <c r="DA1330" s="12"/>
    </row>
    <row r="1331" spans="104:105" x14ac:dyDescent="0.2">
      <c r="CZ1331" s="12"/>
      <c r="DA1331" s="12"/>
    </row>
    <row r="1332" spans="104:105" x14ac:dyDescent="0.2">
      <c r="CZ1332" s="12"/>
      <c r="DA1332" s="12"/>
    </row>
    <row r="1333" spans="104:105" x14ac:dyDescent="0.2">
      <c r="CZ1333" s="12"/>
      <c r="DA1333" s="12"/>
    </row>
    <row r="1334" spans="104:105" x14ac:dyDescent="0.2">
      <c r="CZ1334" s="12"/>
      <c r="DA1334" s="12"/>
    </row>
    <row r="1335" spans="104:105" x14ac:dyDescent="0.2">
      <c r="CZ1335" s="12"/>
      <c r="DA1335" s="12"/>
    </row>
    <row r="1336" spans="104:105" x14ac:dyDescent="0.2">
      <c r="CZ1336" s="12"/>
      <c r="DA1336" s="12"/>
    </row>
    <row r="1337" spans="104:105" x14ac:dyDescent="0.2">
      <c r="CZ1337" s="12"/>
      <c r="DA1337" s="12"/>
    </row>
    <row r="1338" spans="104:105" x14ac:dyDescent="0.2">
      <c r="CZ1338" s="12"/>
      <c r="DA1338" s="12"/>
    </row>
    <row r="1339" spans="104:105" x14ac:dyDescent="0.2">
      <c r="CZ1339" s="12"/>
      <c r="DA1339" s="12"/>
    </row>
    <row r="1340" spans="104:105" x14ac:dyDescent="0.2">
      <c r="CZ1340" s="12"/>
      <c r="DA1340" s="12"/>
    </row>
    <row r="1341" spans="104:105" x14ac:dyDescent="0.2">
      <c r="CZ1341" s="12"/>
      <c r="DA1341" s="12"/>
    </row>
    <row r="1342" spans="104:105" x14ac:dyDescent="0.2">
      <c r="CZ1342" s="12"/>
      <c r="DA1342" s="12"/>
    </row>
    <row r="1343" spans="104:105" x14ac:dyDescent="0.2">
      <c r="CZ1343" s="12"/>
      <c r="DA1343" s="12"/>
    </row>
    <row r="1344" spans="104:105" x14ac:dyDescent="0.2">
      <c r="CZ1344" s="12"/>
      <c r="DA1344" s="12"/>
    </row>
    <row r="1345" spans="104:105" x14ac:dyDescent="0.2">
      <c r="CZ1345" s="12"/>
      <c r="DA1345" s="12"/>
    </row>
    <row r="1346" spans="104:105" x14ac:dyDescent="0.2">
      <c r="CZ1346" s="12"/>
      <c r="DA1346" s="12"/>
    </row>
    <row r="1347" spans="104:105" x14ac:dyDescent="0.2">
      <c r="CZ1347" s="12"/>
      <c r="DA1347" s="12"/>
    </row>
    <row r="1348" spans="104:105" x14ac:dyDescent="0.2">
      <c r="CZ1348" s="12"/>
      <c r="DA1348" s="12"/>
    </row>
    <row r="1349" spans="104:105" x14ac:dyDescent="0.2">
      <c r="CZ1349" s="12"/>
      <c r="DA1349" s="12"/>
    </row>
    <row r="1350" spans="104:105" x14ac:dyDescent="0.2">
      <c r="CZ1350" s="12"/>
      <c r="DA1350" s="12"/>
    </row>
    <row r="1351" spans="104:105" x14ac:dyDescent="0.2">
      <c r="CZ1351" s="12"/>
      <c r="DA1351" s="12"/>
    </row>
    <row r="1352" spans="104:105" x14ac:dyDescent="0.2">
      <c r="CZ1352" s="12"/>
      <c r="DA1352" s="12"/>
    </row>
    <row r="1353" spans="104:105" x14ac:dyDescent="0.2">
      <c r="CZ1353" s="12"/>
      <c r="DA1353" s="12"/>
    </row>
    <row r="1354" spans="104:105" x14ac:dyDescent="0.2">
      <c r="CZ1354" s="12"/>
      <c r="DA1354" s="12"/>
    </row>
    <row r="1355" spans="104:105" x14ac:dyDescent="0.2">
      <c r="CZ1355" s="12"/>
      <c r="DA1355" s="12"/>
    </row>
    <row r="1356" spans="104:105" x14ac:dyDescent="0.2">
      <c r="CZ1356" s="12"/>
      <c r="DA1356" s="12"/>
    </row>
    <row r="1357" spans="104:105" x14ac:dyDescent="0.2">
      <c r="CZ1357" s="12"/>
      <c r="DA1357" s="12"/>
    </row>
    <row r="1358" spans="104:105" x14ac:dyDescent="0.2">
      <c r="CZ1358" s="12"/>
      <c r="DA1358" s="12"/>
    </row>
    <row r="1359" spans="104:105" x14ac:dyDescent="0.2">
      <c r="CZ1359" s="12"/>
      <c r="DA1359" s="12"/>
    </row>
    <row r="1360" spans="104:105" x14ac:dyDescent="0.2">
      <c r="CZ1360" s="12"/>
      <c r="DA1360" s="12"/>
    </row>
    <row r="1361" spans="104:105" x14ac:dyDescent="0.2">
      <c r="CZ1361" s="12"/>
      <c r="DA1361" s="12"/>
    </row>
    <row r="1362" spans="104:105" x14ac:dyDescent="0.2">
      <c r="CZ1362" s="12"/>
      <c r="DA1362" s="12"/>
    </row>
    <row r="1363" spans="104:105" x14ac:dyDescent="0.2">
      <c r="CZ1363" s="12"/>
      <c r="DA1363" s="12"/>
    </row>
    <row r="1364" spans="104:105" x14ac:dyDescent="0.2">
      <c r="CZ1364" s="12"/>
      <c r="DA1364" s="12"/>
    </row>
    <row r="1365" spans="104:105" x14ac:dyDescent="0.2">
      <c r="CZ1365" s="12"/>
      <c r="DA1365" s="12"/>
    </row>
    <row r="1366" spans="104:105" x14ac:dyDescent="0.2">
      <c r="CZ1366" s="12"/>
      <c r="DA1366" s="12"/>
    </row>
    <row r="1367" spans="104:105" x14ac:dyDescent="0.2">
      <c r="CZ1367" s="12"/>
      <c r="DA1367" s="12"/>
    </row>
    <row r="1368" spans="104:105" x14ac:dyDescent="0.2">
      <c r="CZ1368" s="12"/>
      <c r="DA1368" s="12"/>
    </row>
    <row r="1369" spans="104:105" x14ac:dyDescent="0.2">
      <c r="CZ1369" s="12"/>
      <c r="DA1369" s="12"/>
    </row>
    <row r="1370" spans="104:105" x14ac:dyDescent="0.2">
      <c r="CZ1370" s="12"/>
      <c r="DA1370" s="12"/>
    </row>
    <row r="1371" spans="104:105" x14ac:dyDescent="0.2">
      <c r="CZ1371" s="12"/>
      <c r="DA1371" s="12"/>
    </row>
    <row r="1372" spans="104:105" x14ac:dyDescent="0.2">
      <c r="CZ1372" s="12"/>
      <c r="DA1372" s="12"/>
    </row>
    <row r="1373" spans="104:105" x14ac:dyDescent="0.2">
      <c r="CZ1373" s="12"/>
      <c r="DA1373" s="12"/>
    </row>
    <row r="1374" spans="104:105" x14ac:dyDescent="0.2">
      <c r="CZ1374" s="12"/>
      <c r="DA1374" s="12"/>
    </row>
    <row r="1375" spans="104:105" x14ac:dyDescent="0.2">
      <c r="CZ1375" s="12"/>
      <c r="DA1375" s="12"/>
    </row>
    <row r="1376" spans="104:105" x14ac:dyDescent="0.2">
      <c r="CZ1376" s="12"/>
      <c r="DA1376" s="12"/>
    </row>
    <row r="1377" spans="104:105" x14ac:dyDescent="0.2">
      <c r="CZ1377" s="12"/>
      <c r="DA1377" s="12"/>
    </row>
    <row r="1378" spans="104:105" x14ac:dyDescent="0.2">
      <c r="CZ1378" s="12"/>
      <c r="DA1378" s="12"/>
    </row>
    <row r="1379" spans="104:105" x14ac:dyDescent="0.2">
      <c r="CZ1379" s="12"/>
      <c r="DA1379" s="12"/>
    </row>
    <row r="1380" spans="104:105" x14ac:dyDescent="0.2">
      <c r="CZ1380" s="12"/>
      <c r="DA1380" s="12"/>
    </row>
    <row r="1381" spans="104:105" x14ac:dyDescent="0.2">
      <c r="CZ1381" s="12"/>
      <c r="DA1381" s="12"/>
    </row>
    <row r="1382" spans="104:105" x14ac:dyDescent="0.2">
      <c r="CZ1382" s="12"/>
      <c r="DA1382" s="12"/>
    </row>
    <row r="1383" spans="104:105" x14ac:dyDescent="0.2">
      <c r="CZ1383" s="12"/>
      <c r="DA1383" s="12"/>
    </row>
    <row r="1384" spans="104:105" x14ac:dyDescent="0.2">
      <c r="CZ1384" s="12"/>
      <c r="DA1384" s="12"/>
    </row>
    <row r="1385" spans="104:105" x14ac:dyDescent="0.2">
      <c r="CZ1385" s="12"/>
      <c r="DA1385" s="12"/>
    </row>
    <row r="1386" spans="104:105" x14ac:dyDescent="0.2">
      <c r="CZ1386" s="12"/>
      <c r="DA1386" s="12"/>
    </row>
    <row r="1387" spans="104:105" x14ac:dyDescent="0.2">
      <c r="CZ1387" s="12"/>
      <c r="DA1387" s="12"/>
    </row>
    <row r="1388" spans="104:105" x14ac:dyDescent="0.2">
      <c r="CZ1388" s="12"/>
      <c r="DA1388" s="12"/>
    </row>
    <row r="1389" spans="104:105" x14ac:dyDescent="0.2">
      <c r="CZ1389" s="12"/>
      <c r="DA1389" s="12"/>
    </row>
    <row r="1390" spans="104:105" x14ac:dyDescent="0.2">
      <c r="CZ1390" s="12"/>
      <c r="DA1390" s="12"/>
    </row>
    <row r="1391" spans="104:105" x14ac:dyDescent="0.2">
      <c r="CZ1391" s="12"/>
      <c r="DA1391" s="12"/>
    </row>
    <row r="1392" spans="104:105" x14ac:dyDescent="0.2">
      <c r="CZ1392" s="12"/>
      <c r="DA1392" s="12"/>
    </row>
    <row r="1393" spans="104:105" x14ac:dyDescent="0.2">
      <c r="CZ1393" s="12"/>
      <c r="DA1393" s="12"/>
    </row>
    <row r="1394" spans="104:105" x14ac:dyDescent="0.2">
      <c r="CZ1394" s="12"/>
      <c r="DA1394" s="12"/>
    </row>
    <row r="1395" spans="104:105" x14ac:dyDescent="0.2">
      <c r="CZ1395" s="12"/>
      <c r="DA1395" s="12"/>
    </row>
    <row r="1396" spans="104:105" x14ac:dyDescent="0.2">
      <c r="CZ1396" s="12"/>
      <c r="DA1396" s="12"/>
    </row>
    <row r="1397" spans="104:105" x14ac:dyDescent="0.2">
      <c r="CZ1397" s="12"/>
      <c r="DA1397" s="12"/>
    </row>
    <row r="1398" spans="104:105" x14ac:dyDescent="0.2">
      <c r="CZ1398" s="12"/>
      <c r="DA1398" s="12"/>
    </row>
    <row r="1399" spans="104:105" x14ac:dyDescent="0.2">
      <c r="CZ1399" s="12"/>
      <c r="DA1399" s="12"/>
    </row>
    <row r="1400" spans="104:105" x14ac:dyDescent="0.2">
      <c r="CZ1400" s="12"/>
      <c r="DA1400" s="12"/>
    </row>
    <row r="1401" spans="104:105" x14ac:dyDescent="0.2">
      <c r="CZ1401" s="12"/>
      <c r="DA1401" s="12"/>
    </row>
    <row r="1402" spans="104:105" x14ac:dyDescent="0.2">
      <c r="CZ1402" s="12"/>
      <c r="DA1402" s="12"/>
    </row>
    <row r="1403" spans="104:105" x14ac:dyDescent="0.2">
      <c r="CZ1403" s="12"/>
      <c r="DA1403" s="12"/>
    </row>
    <row r="1404" spans="104:105" x14ac:dyDescent="0.2">
      <c r="CZ1404" s="12"/>
      <c r="DA1404" s="12"/>
    </row>
    <row r="1405" spans="104:105" x14ac:dyDescent="0.2">
      <c r="CZ1405" s="12"/>
      <c r="DA1405" s="12"/>
    </row>
    <row r="1406" spans="104:105" x14ac:dyDescent="0.2">
      <c r="CZ1406" s="12"/>
      <c r="DA1406" s="12"/>
    </row>
    <row r="1407" spans="104:105" x14ac:dyDescent="0.2">
      <c r="CZ1407" s="12"/>
      <c r="DA1407" s="12"/>
    </row>
    <row r="1408" spans="104:105" x14ac:dyDescent="0.2">
      <c r="CZ1408" s="12"/>
      <c r="DA1408" s="12"/>
    </row>
    <row r="1409" spans="104:105" x14ac:dyDescent="0.2">
      <c r="CZ1409" s="12"/>
      <c r="DA1409" s="12"/>
    </row>
    <row r="1410" spans="104:105" x14ac:dyDescent="0.2">
      <c r="CZ1410" s="12"/>
      <c r="DA1410" s="12"/>
    </row>
    <row r="1411" spans="104:105" x14ac:dyDescent="0.2">
      <c r="CZ1411" s="12"/>
      <c r="DA1411" s="12"/>
    </row>
    <row r="1412" spans="104:105" x14ac:dyDescent="0.2">
      <c r="CZ1412" s="12"/>
      <c r="DA1412" s="12"/>
    </row>
    <row r="1413" spans="104:105" x14ac:dyDescent="0.2">
      <c r="CZ1413" s="12"/>
      <c r="DA1413" s="12"/>
    </row>
    <row r="1414" spans="104:105" x14ac:dyDescent="0.2">
      <c r="CZ1414" s="12"/>
      <c r="DA1414" s="12"/>
    </row>
    <row r="1415" spans="104:105" x14ac:dyDescent="0.2">
      <c r="CZ1415" s="12"/>
      <c r="DA1415" s="12"/>
    </row>
    <row r="1416" spans="104:105" x14ac:dyDescent="0.2">
      <c r="CZ1416" s="12"/>
      <c r="DA1416" s="12"/>
    </row>
    <row r="1417" spans="104:105" x14ac:dyDescent="0.2">
      <c r="CZ1417" s="12"/>
      <c r="DA1417" s="12"/>
    </row>
    <row r="1418" spans="104:105" x14ac:dyDescent="0.2">
      <c r="CZ1418" s="12"/>
      <c r="DA1418" s="12"/>
    </row>
    <row r="1419" spans="104:105" x14ac:dyDescent="0.2">
      <c r="CZ1419" s="12"/>
      <c r="DA1419" s="12"/>
    </row>
    <row r="1420" spans="104:105" x14ac:dyDescent="0.2">
      <c r="CZ1420" s="12"/>
      <c r="DA1420" s="12"/>
    </row>
    <row r="1421" spans="104:105" x14ac:dyDescent="0.2">
      <c r="CZ1421" s="12"/>
      <c r="DA1421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D20A-62FB-9D40-B88F-1A0A5A49B1C0}">
  <dimension ref="A1:FV1421"/>
  <sheetViews>
    <sheetView workbookViewId="0">
      <pane xSplit="1" ySplit="7" topLeftCell="N8" activePane="bottomRight" state="frozen"/>
      <selection pane="topRight" activeCell="B1" sqref="B1"/>
      <selection pane="bottomLeft" activeCell="A8" sqref="A8"/>
      <selection pane="bottomRight" activeCell="V75" sqref="V75"/>
    </sheetView>
  </sheetViews>
  <sheetFormatPr baseColWidth="10" defaultColWidth="8.83203125" defaultRowHeight="15" x14ac:dyDescent="0.2"/>
  <cols>
    <col min="1" max="1" width="30" customWidth="1"/>
    <col min="2" max="10" width="13.33203125" customWidth="1"/>
    <col min="11" max="14" width="12.33203125" customWidth="1"/>
    <col min="15" max="15" width="19.5" customWidth="1"/>
    <col min="16" max="24" width="11.1640625" customWidth="1"/>
    <col min="25" max="30" width="11.83203125" customWidth="1"/>
    <col min="31" max="31" width="19.5" customWidth="1"/>
    <col min="32" max="40" width="11.1640625" customWidth="1"/>
    <col min="41" max="45" width="11.83203125" customWidth="1"/>
    <col min="46" max="46" width="11.5" customWidth="1"/>
    <col min="47" max="47" width="19.5" customWidth="1"/>
    <col min="48" max="56" width="11.1640625" customWidth="1"/>
    <col min="57" max="62" width="11.83203125" customWidth="1"/>
    <col min="63" max="63" width="19.5" customWidth="1"/>
    <col min="64" max="72" width="11.1640625" customWidth="1"/>
    <col min="73" max="78" width="11.83203125" customWidth="1"/>
    <col min="79" max="79" width="19.5" customWidth="1"/>
    <col min="80" max="88" width="11.1640625" customWidth="1"/>
    <col min="89" max="94" width="11.83203125" customWidth="1"/>
    <col min="95" max="95" width="19.5" customWidth="1"/>
    <col min="96" max="104" width="11.1640625" customWidth="1"/>
    <col min="105" max="111" width="11.83203125" customWidth="1"/>
    <col min="112" max="112" width="17" customWidth="1"/>
    <col min="113" max="125" width="11.83203125" customWidth="1"/>
  </cols>
  <sheetData>
    <row r="1" spans="1:125" x14ac:dyDescent="0.2">
      <c r="A1" s="9"/>
      <c r="B1" s="20">
        <v>0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  <c r="J1" s="20">
        <v>8</v>
      </c>
      <c r="K1" s="9"/>
      <c r="L1" s="20"/>
      <c r="M1" s="11"/>
      <c r="N1" s="11"/>
      <c r="O1" s="9"/>
      <c r="P1" s="9">
        <v>0</v>
      </c>
      <c r="Q1" s="9">
        <v>1</v>
      </c>
      <c r="R1" s="9">
        <v>2</v>
      </c>
      <c r="S1" s="9">
        <v>3</v>
      </c>
      <c r="T1" s="9">
        <v>4</v>
      </c>
      <c r="U1" s="9">
        <v>5</v>
      </c>
      <c r="V1" s="9">
        <v>6</v>
      </c>
      <c r="W1" s="9">
        <v>7</v>
      </c>
      <c r="X1" s="9">
        <v>8</v>
      </c>
      <c r="Z1" s="5" t="s">
        <v>1939</v>
      </c>
      <c r="AB1" s="5" t="s">
        <v>1940</v>
      </c>
      <c r="AE1" s="9"/>
      <c r="AF1" s="9">
        <v>0</v>
      </c>
      <c r="AG1" s="9">
        <v>1</v>
      </c>
      <c r="AH1" s="9">
        <v>2</v>
      </c>
      <c r="AI1" s="9">
        <v>3</v>
      </c>
      <c r="AJ1" s="9">
        <v>4</v>
      </c>
      <c r="AK1" s="9">
        <v>5</v>
      </c>
      <c r="AL1" s="9">
        <v>6</v>
      </c>
      <c r="AM1" s="9">
        <v>7</v>
      </c>
      <c r="AN1" s="9">
        <v>8</v>
      </c>
      <c r="AP1" s="5" t="s">
        <v>1939</v>
      </c>
      <c r="AR1" s="5" t="s">
        <v>1940</v>
      </c>
      <c r="AU1" s="9"/>
      <c r="AV1" s="9">
        <v>0</v>
      </c>
      <c r="AW1" s="9">
        <v>1</v>
      </c>
      <c r="AX1" s="9">
        <v>2</v>
      </c>
      <c r="AY1" s="9">
        <v>3</v>
      </c>
      <c r="AZ1" s="9">
        <v>4</v>
      </c>
      <c r="BA1" s="9">
        <v>5</v>
      </c>
      <c r="BB1" s="9">
        <v>6</v>
      </c>
      <c r="BC1" s="9">
        <v>7</v>
      </c>
      <c r="BD1" s="9">
        <v>8</v>
      </c>
      <c r="BF1" s="5" t="s">
        <v>1939</v>
      </c>
      <c r="BH1" s="5" t="s">
        <v>1940</v>
      </c>
      <c r="BK1" s="9"/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V1" s="5" t="s">
        <v>1939</v>
      </c>
      <c r="BX1" s="5" t="s">
        <v>1940</v>
      </c>
      <c r="CA1" s="9"/>
      <c r="CB1" s="9">
        <v>0</v>
      </c>
      <c r="CC1" s="9">
        <v>1</v>
      </c>
      <c r="CD1" s="9">
        <v>2</v>
      </c>
      <c r="CE1" s="9">
        <v>3</v>
      </c>
      <c r="CF1" s="9">
        <v>4</v>
      </c>
      <c r="CG1" s="9">
        <v>5</v>
      </c>
      <c r="CH1" s="9">
        <v>6</v>
      </c>
      <c r="CI1" s="9">
        <v>7</v>
      </c>
      <c r="CJ1" s="9">
        <v>8</v>
      </c>
      <c r="CL1" s="5" t="s">
        <v>1939</v>
      </c>
      <c r="CN1" s="5" t="s">
        <v>1940</v>
      </c>
      <c r="CQ1" s="9"/>
      <c r="CR1" s="9">
        <v>0</v>
      </c>
      <c r="CS1" s="9">
        <v>1</v>
      </c>
      <c r="CT1" s="9">
        <v>2</v>
      </c>
      <c r="CU1" s="9">
        <v>3</v>
      </c>
      <c r="CV1" s="9">
        <v>4</v>
      </c>
      <c r="CW1" s="9">
        <v>5</v>
      </c>
      <c r="CX1" s="9">
        <v>6</v>
      </c>
      <c r="CY1" s="9">
        <v>7</v>
      </c>
      <c r="CZ1" s="9">
        <v>8</v>
      </c>
      <c r="DB1" s="5" t="s">
        <v>1939</v>
      </c>
      <c r="DD1" s="5" t="s">
        <v>1940</v>
      </c>
      <c r="DH1" s="9"/>
      <c r="DI1" s="9"/>
      <c r="DJ1" s="9"/>
      <c r="DK1" s="9"/>
      <c r="DL1" s="9"/>
      <c r="DM1" s="9"/>
      <c r="DN1" s="9"/>
      <c r="DO1" s="9"/>
      <c r="DP1" s="9"/>
      <c r="DQ1" s="9"/>
      <c r="DS1" s="15"/>
    </row>
    <row r="2" spans="1:125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"/>
      <c r="P2" s="9"/>
      <c r="Q2" s="9"/>
      <c r="R2" s="9"/>
      <c r="S2" s="9"/>
      <c r="T2" s="9"/>
      <c r="U2" s="9"/>
      <c r="Z2" s="17" t="s">
        <v>1320</v>
      </c>
      <c r="AA2" s="17" t="s">
        <v>1319</v>
      </c>
      <c r="AB2" s="17" t="s">
        <v>1320</v>
      </c>
      <c r="AC2" s="17" t="s">
        <v>1319</v>
      </c>
      <c r="AE2" s="28"/>
      <c r="AF2" s="9"/>
      <c r="AG2" s="9"/>
      <c r="AH2" s="9"/>
      <c r="AI2" s="9"/>
      <c r="AJ2" s="9"/>
      <c r="AK2" s="9"/>
      <c r="AP2" s="17" t="s">
        <v>1320</v>
      </c>
      <c r="AQ2" s="17" t="s">
        <v>1319</v>
      </c>
      <c r="AR2" s="17" t="s">
        <v>1320</v>
      </c>
      <c r="AS2" s="17" t="s">
        <v>1319</v>
      </c>
      <c r="AU2" s="28"/>
      <c r="AV2" s="9"/>
      <c r="AW2" s="9"/>
      <c r="AX2" s="9"/>
      <c r="AY2" s="9"/>
      <c r="AZ2" s="9"/>
      <c r="BA2" s="9"/>
      <c r="BF2" s="17" t="s">
        <v>1320</v>
      </c>
      <c r="BG2" s="17" t="s">
        <v>1319</v>
      </c>
      <c r="BH2" s="17" t="s">
        <v>1320</v>
      </c>
      <c r="BI2" s="17" t="s">
        <v>1319</v>
      </c>
      <c r="BK2" s="28"/>
      <c r="BL2" s="9"/>
      <c r="BM2" s="9"/>
      <c r="BN2" s="9"/>
      <c r="BO2" s="9"/>
      <c r="BP2" s="9"/>
      <c r="BQ2" s="9"/>
      <c r="BV2" s="17" t="s">
        <v>1320</v>
      </c>
      <c r="BW2" s="17" t="s">
        <v>1319</v>
      </c>
      <c r="BX2" s="17" t="s">
        <v>1320</v>
      </c>
      <c r="BY2" s="17" t="s">
        <v>1319</v>
      </c>
      <c r="CA2" s="28"/>
      <c r="CB2" s="9"/>
      <c r="CC2" s="9"/>
      <c r="CD2" s="9"/>
      <c r="CE2" s="9"/>
      <c r="CF2" s="9"/>
      <c r="CG2" s="9"/>
      <c r="CL2" s="17" t="s">
        <v>1320</v>
      </c>
      <c r="CM2" s="17" t="s">
        <v>1319</v>
      </c>
      <c r="CN2" s="17" t="s">
        <v>1320</v>
      </c>
      <c r="CO2" s="17" t="s">
        <v>1319</v>
      </c>
      <c r="CQ2" s="28"/>
      <c r="CR2" s="9"/>
      <c r="CS2" s="9"/>
      <c r="CT2" s="9"/>
      <c r="CU2" s="9"/>
      <c r="CV2" s="9"/>
      <c r="CW2" s="9"/>
      <c r="DB2" s="17" t="s">
        <v>1320</v>
      </c>
      <c r="DC2" s="17" t="s">
        <v>1319</v>
      </c>
      <c r="DD2" s="17" t="s">
        <v>1320</v>
      </c>
      <c r="DE2" s="17" t="s">
        <v>1319</v>
      </c>
      <c r="DH2" s="9"/>
      <c r="DI2" s="9"/>
      <c r="DJ2" s="9"/>
      <c r="DK2" s="9"/>
      <c r="DL2" s="9"/>
      <c r="DM2" s="9"/>
      <c r="DN2" s="9"/>
    </row>
    <row r="3" spans="1:125" x14ac:dyDescent="0.2">
      <c r="A3" s="11" t="s">
        <v>1762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" t="s">
        <v>1786</v>
      </c>
      <c r="P3" s="9"/>
      <c r="Q3" s="9"/>
      <c r="R3" s="9"/>
      <c r="S3" s="9"/>
      <c r="T3" s="9"/>
      <c r="U3" s="9"/>
      <c r="Z3" s="6"/>
      <c r="AA3" s="6"/>
      <c r="AB3" s="6"/>
      <c r="AC3" s="6"/>
      <c r="AE3" s="20" t="s">
        <v>1787</v>
      </c>
      <c r="AF3" s="9"/>
      <c r="AG3" s="9"/>
      <c r="AH3" s="9"/>
      <c r="AI3" s="9"/>
      <c r="AJ3" s="9"/>
      <c r="AK3" s="9"/>
      <c r="AP3" s="6"/>
      <c r="AQ3" s="6"/>
      <c r="AR3" s="6"/>
      <c r="AS3" s="6"/>
      <c r="AU3" s="20" t="s">
        <v>1788</v>
      </c>
      <c r="AV3" s="9"/>
      <c r="AW3" s="9"/>
      <c r="AX3" s="9"/>
      <c r="AY3" s="9"/>
      <c r="AZ3" s="9"/>
      <c r="BA3" s="9"/>
      <c r="BF3" s="6"/>
      <c r="BG3" s="6"/>
      <c r="BH3" s="6"/>
      <c r="BI3" s="6"/>
      <c r="BK3" s="20" t="s">
        <v>1789</v>
      </c>
      <c r="BL3" s="9"/>
      <c r="BM3" s="9"/>
      <c r="BN3" s="9"/>
      <c r="BO3" s="9"/>
      <c r="BP3" s="9"/>
      <c r="BQ3" s="9"/>
      <c r="BV3" s="6"/>
      <c r="BW3" s="6"/>
      <c r="BX3" s="6"/>
      <c r="BY3" s="6"/>
      <c r="CA3" s="39" t="s">
        <v>1960</v>
      </c>
      <c r="CB3" s="9"/>
      <c r="CC3" s="9"/>
      <c r="CD3" s="9"/>
      <c r="CE3" s="9"/>
      <c r="CF3" s="9"/>
      <c r="CG3" s="9"/>
      <c r="CL3" s="6"/>
      <c r="CM3" s="6"/>
      <c r="CN3" s="6"/>
      <c r="CO3" s="6"/>
      <c r="CQ3" s="20" t="s">
        <v>1961</v>
      </c>
      <c r="CR3" s="9"/>
      <c r="CS3" s="9"/>
      <c r="CT3" s="9"/>
      <c r="CU3" s="9"/>
      <c r="CV3" s="9"/>
      <c r="CW3" s="9"/>
      <c r="DB3" s="6"/>
      <c r="DC3" s="6"/>
      <c r="DD3" s="6"/>
      <c r="DE3" s="6"/>
      <c r="DH3" s="11"/>
      <c r="DI3" s="9"/>
      <c r="DJ3" s="9"/>
      <c r="DK3" s="9"/>
      <c r="DL3" s="9"/>
      <c r="DM3" s="9"/>
      <c r="DN3" s="9"/>
    </row>
    <row r="4" spans="1:125" x14ac:dyDescent="0.2">
      <c r="A4" s="9" t="s">
        <v>1763</v>
      </c>
      <c r="M4" s="9"/>
      <c r="N4" s="9"/>
      <c r="O4" s="9" t="s">
        <v>1768</v>
      </c>
      <c r="P4" s="13">
        <v>0</v>
      </c>
      <c r="Q4" s="13">
        <v>1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AE4" s="9" t="s">
        <v>1769</v>
      </c>
      <c r="AF4" s="13">
        <v>0</v>
      </c>
      <c r="AG4" s="13">
        <v>0</v>
      </c>
      <c r="AH4" s="13">
        <v>1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U4" s="9" t="s">
        <v>1773</v>
      </c>
      <c r="AV4" s="13">
        <v>0</v>
      </c>
      <c r="AW4" s="13">
        <v>0</v>
      </c>
      <c r="AX4" s="13">
        <v>0</v>
      </c>
      <c r="AY4" s="13">
        <v>1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K4" s="9" t="s">
        <v>1775</v>
      </c>
      <c r="BL4" s="13">
        <v>0</v>
      </c>
      <c r="BM4" s="13">
        <v>0</v>
      </c>
      <c r="BN4" s="13">
        <v>0</v>
      </c>
      <c r="BO4" s="13">
        <v>0</v>
      </c>
      <c r="BP4" s="13">
        <v>1</v>
      </c>
      <c r="BQ4" s="13">
        <v>0</v>
      </c>
      <c r="BR4" s="13">
        <v>0</v>
      </c>
      <c r="BS4" s="13">
        <v>0</v>
      </c>
      <c r="BT4" s="13">
        <v>0</v>
      </c>
      <c r="BZ4" s="11"/>
      <c r="CA4" s="9" t="s">
        <v>1778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1</v>
      </c>
      <c r="CH4" s="13">
        <v>0</v>
      </c>
      <c r="CI4" s="13">
        <v>0</v>
      </c>
      <c r="CJ4" s="13">
        <v>0</v>
      </c>
      <c r="CP4" s="11"/>
      <c r="CQ4" s="9" t="s">
        <v>1782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1</v>
      </c>
      <c r="CY4" s="13">
        <v>0</v>
      </c>
      <c r="CZ4" s="13">
        <v>0</v>
      </c>
      <c r="DF4" s="11"/>
      <c r="DG4" s="11"/>
      <c r="DH4" s="9"/>
      <c r="DU4" s="11"/>
    </row>
    <row r="5" spans="1:125" x14ac:dyDescent="0.2">
      <c r="A5" s="9" t="s">
        <v>1764</v>
      </c>
      <c r="B5" s="12"/>
      <c r="M5" s="9"/>
      <c r="N5" s="9"/>
      <c r="O5" s="9" t="s">
        <v>1767</v>
      </c>
      <c r="P5" s="12">
        <v>0</v>
      </c>
      <c r="Q5">
        <f xml:space="preserve"> IF(P5&lt;&gt;0, P5, IF(Q4=1, IF(Q6=1, 1, -1), 0))</f>
        <v>-1</v>
      </c>
      <c r="R5">
        <f t="shared" ref="R5:X5" si="0" xml:space="preserve"> IF(Q5&lt;&gt;0, Q5, IF(R4=1, IF(R6=1, 1, -1), 0))</f>
        <v>-1</v>
      </c>
      <c r="S5">
        <f t="shared" si="0"/>
        <v>-1</v>
      </c>
      <c r="T5">
        <f t="shared" si="0"/>
        <v>-1</v>
      </c>
      <c r="U5">
        <f t="shared" si="0"/>
        <v>-1</v>
      </c>
      <c r="V5">
        <f t="shared" si="0"/>
        <v>-1</v>
      </c>
      <c r="W5">
        <f t="shared" si="0"/>
        <v>-1</v>
      </c>
      <c r="X5">
        <f t="shared" si="0"/>
        <v>-1</v>
      </c>
      <c r="AE5" s="9" t="s">
        <v>1770</v>
      </c>
      <c r="AF5" s="12">
        <v>0</v>
      </c>
      <c r="AG5">
        <f t="shared" ref="AG5:AN5" si="1" xml:space="preserve"> IF(AF5&lt;&gt;0, AF5, IF(AG4=1, IF(AG6=1, 1, -1), 0))</f>
        <v>0</v>
      </c>
      <c r="AH5">
        <f t="shared" si="1"/>
        <v>-1</v>
      </c>
      <c r="AI5">
        <f t="shared" si="1"/>
        <v>-1</v>
      </c>
      <c r="AJ5">
        <f t="shared" si="1"/>
        <v>-1</v>
      </c>
      <c r="AK5">
        <f t="shared" si="1"/>
        <v>-1</v>
      </c>
      <c r="AL5">
        <f t="shared" si="1"/>
        <v>-1</v>
      </c>
      <c r="AM5">
        <f t="shared" si="1"/>
        <v>-1</v>
      </c>
      <c r="AN5">
        <f t="shared" si="1"/>
        <v>-1</v>
      </c>
      <c r="AU5" s="9" t="s">
        <v>1772</v>
      </c>
      <c r="AV5" s="12">
        <v>0</v>
      </c>
      <c r="AW5">
        <f t="shared" ref="AW5:BD5" si="2" xml:space="preserve"> IF(AV5&lt;&gt;0, AV5, IF(AW4=1, IF(AW6=1, 1, -1), 0))</f>
        <v>0</v>
      </c>
      <c r="AX5">
        <f t="shared" si="2"/>
        <v>0</v>
      </c>
      <c r="AY5">
        <f t="shared" si="2"/>
        <v>-1</v>
      </c>
      <c r="AZ5">
        <f t="shared" si="2"/>
        <v>-1</v>
      </c>
      <c r="BA5">
        <f t="shared" si="2"/>
        <v>-1</v>
      </c>
      <c r="BB5">
        <f t="shared" si="2"/>
        <v>-1</v>
      </c>
      <c r="BC5">
        <f t="shared" si="2"/>
        <v>-1</v>
      </c>
      <c r="BD5">
        <f t="shared" si="2"/>
        <v>-1</v>
      </c>
      <c r="BK5" s="9" t="s">
        <v>1776</v>
      </c>
      <c r="BL5" s="12">
        <v>0</v>
      </c>
      <c r="BM5">
        <f t="shared" ref="BM5:BT5" si="3" xml:space="preserve"> IF(BL5&lt;&gt;0, BL5, IF(BM4=1, IF(BM6=1, 1, -1), 0))</f>
        <v>0</v>
      </c>
      <c r="BN5">
        <f t="shared" si="3"/>
        <v>0</v>
      </c>
      <c r="BO5">
        <f t="shared" si="3"/>
        <v>0</v>
      </c>
      <c r="BP5">
        <f t="shared" si="3"/>
        <v>-1</v>
      </c>
      <c r="BQ5">
        <f t="shared" si="3"/>
        <v>-1</v>
      </c>
      <c r="BR5">
        <f t="shared" si="3"/>
        <v>-1</v>
      </c>
      <c r="BS5">
        <f t="shared" si="3"/>
        <v>-1</v>
      </c>
      <c r="BT5">
        <f t="shared" si="3"/>
        <v>-1</v>
      </c>
      <c r="CA5" s="9" t="s">
        <v>1779</v>
      </c>
      <c r="CB5" s="12">
        <v>0</v>
      </c>
      <c r="CC5">
        <f t="shared" ref="CC5:CJ5" si="4" xml:space="preserve"> IF(CB5&lt;&gt;0, CB5, IF(CC4=1, IF(CC6=1, 1, -1), 0))</f>
        <v>0</v>
      </c>
      <c r="CD5">
        <f t="shared" si="4"/>
        <v>0</v>
      </c>
      <c r="CE5">
        <f t="shared" si="4"/>
        <v>0</v>
      </c>
      <c r="CF5">
        <f t="shared" si="4"/>
        <v>0</v>
      </c>
      <c r="CG5">
        <f t="shared" si="4"/>
        <v>-1</v>
      </c>
      <c r="CH5">
        <f t="shared" si="4"/>
        <v>-1</v>
      </c>
      <c r="CI5">
        <f t="shared" si="4"/>
        <v>-1</v>
      </c>
      <c r="CJ5">
        <f t="shared" si="4"/>
        <v>-1</v>
      </c>
      <c r="CQ5" s="9" t="s">
        <v>1781</v>
      </c>
      <c r="CR5" s="12">
        <v>0</v>
      </c>
      <c r="CS5">
        <f t="shared" ref="CS5:CZ5" si="5" xml:space="preserve"> IF(CR5&lt;&gt;0, CR5, IF(CS4=1, IF(CS6=1, 1, -1), 0))</f>
        <v>0</v>
      </c>
      <c r="CT5">
        <f t="shared" si="5"/>
        <v>0</v>
      </c>
      <c r="CU5">
        <f t="shared" si="5"/>
        <v>0</v>
      </c>
      <c r="CV5">
        <f t="shared" si="5"/>
        <v>0</v>
      </c>
      <c r="CW5">
        <f t="shared" si="5"/>
        <v>0</v>
      </c>
      <c r="CX5">
        <f t="shared" si="5"/>
        <v>-1</v>
      </c>
      <c r="CY5">
        <f t="shared" si="5"/>
        <v>-1</v>
      </c>
      <c r="CZ5">
        <f t="shared" si="5"/>
        <v>-1</v>
      </c>
      <c r="DH5" s="9"/>
      <c r="DI5" s="12"/>
    </row>
    <row r="6" spans="1:125" x14ac:dyDescent="0.2">
      <c r="A6" s="9" t="s">
        <v>1765</v>
      </c>
      <c r="B6" s="13"/>
      <c r="J6" s="13"/>
      <c r="K6" s="13"/>
      <c r="L6" s="13"/>
      <c r="M6" s="9"/>
      <c r="N6" s="9"/>
      <c r="O6" s="9" t="s">
        <v>1766</v>
      </c>
      <c r="P6">
        <v>0</v>
      </c>
      <c r="Q6">
        <f>P6</f>
        <v>0</v>
      </c>
      <c r="R6">
        <f t="shared" ref="R6:X6" si="6">Q6</f>
        <v>0</v>
      </c>
      <c r="S6">
        <f t="shared" si="6"/>
        <v>0</v>
      </c>
      <c r="T6">
        <f t="shared" si="6"/>
        <v>0</v>
      </c>
      <c r="U6">
        <f t="shared" si="6"/>
        <v>0</v>
      </c>
      <c r="V6">
        <f t="shared" si="6"/>
        <v>0</v>
      </c>
      <c r="W6">
        <f t="shared" si="6"/>
        <v>0</v>
      </c>
      <c r="X6">
        <f t="shared" si="6"/>
        <v>0</v>
      </c>
      <c r="AE6" s="9" t="s">
        <v>1771</v>
      </c>
      <c r="AF6">
        <v>0</v>
      </c>
      <c r="AG6">
        <f>AF6</f>
        <v>0</v>
      </c>
      <c r="AH6">
        <f t="shared" ref="AH6:AN6" si="7">AG6</f>
        <v>0</v>
      </c>
      <c r="AI6">
        <f t="shared" si="7"/>
        <v>0</v>
      </c>
      <c r="AJ6">
        <f t="shared" si="7"/>
        <v>0</v>
      </c>
      <c r="AK6">
        <f t="shared" si="7"/>
        <v>0</v>
      </c>
      <c r="AL6">
        <f t="shared" si="7"/>
        <v>0</v>
      </c>
      <c r="AM6">
        <f t="shared" si="7"/>
        <v>0</v>
      </c>
      <c r="AN6">
        <f t="shared" si="7"/>
        <v>0</v>
      </c>
      <c r="AU6" s="9" t="s">
        <v>1774</v>
      </c>
      <c r="AV6">
        <v>0</v>
      </c>
      <c r="AW6">
        <f>AV6</f>
        <v>0</v>
      </c>
      <c r="AX6">
        <f t="shared" ref="AX6:BD6" si="8">AW6</f>
        <v>0</v>
      </c>
      <c r="AY6">
        <f t="shared" si="8"/>
        <v>0</v>
      </c>
      <c r="AZ6">
        <f t="shared" si="8"/>
        <v>0</v>
      </c>
      <c r="BA6">
        <f t="shared" si="8"/>
        <v>0</v>
      </c>
      <c r="BB6">
        <f t="shared" si="8"/>
        <v>0</v>
      </c>
      <c r="BC6">
        <f t="shared" si="8"/>
        <v>0</v>
      </c>
      <c r="BD6">
        <f t="shared" si="8"/>
        <v>0</v>
      </c>
      <c r="BK6" s="9" t="s">
        <v>1777</v>
      </c>
      <c r="BL6">
        <v>0</v>
      </c>
      <c r="BM6">
        <f>BL6</f>
        <v>0</v>
      </c>
      <c r="BN6">
        <f t="shared" ref="BN6:BT6" si="9">BM6</f>
        <v>0</v>
      </c>
      <c r="BO6">
        <f t="shared" si="9"/>
        <v>0</v>
      </c>
      <c r="BP6">
        <f t="shared" si="9"/>
        <v>0</v>
      </c>
      <c r="BQ6">
        <f t="shared" si="9"/>
        <v>0</v>
      </c>
      <c r="BR6">
        <f t="shared" si="9"/>
        <v>0</v>
      </c>
      <c r="BS6">
        <f t="shared" si="9"/>
        <v>0</v>
      </c>
      <c r="BT6">
        <f t="shared" si="9"/>
        <v>0</v>
      </c>
      <c r="CA6" s="9" t="s">
        <v>1780</v>
      </c>
      <c r="CB6">
        <v>0</v>
      </c>
      <c r="CC6">
        <f>CB6</f>
        <v>0</v>
      </c>
      <c r="CD6">
        <f t="shared" ref="CD6:CJ6" si="10">CC6</f>
        <v>0</v>
      </c>
      <c r="CE6">
        <f t="shared" si="10"/>
        <v>0</v>
      </c>
      <c r="CF6">
        <f t="shared" si="10"/>
        <v>0</v>
      </c>
      <c r="CG6">
        <f t="shared" si="10"/>
        <v>0</v>
      </c>
      <c r="CH6">
        <f t="shared" si="10"/>
        <v>0</v>
      </c>
      <c r="CI6">
        <f t="shared" si="10"/>
        <v>0</v>
      </c>
      <c r="CJ6">
        <f t="shared" si="10"/>
        <v>0</v>
      </c>
      <c r="CQ6" s="9" t="s">
        <v>1783</v>
      </c>
      <c r="CR6">
        <v>0</v>
      </c>
      <c r="CS6">
        <f>CR6</f>
        <v>0</v>
      </c>
      <c r="CT6">
        <f t="shared" ref="CT6:CZ6" si="11">CS6</f>
        <v>0</v>
      </c>
      <c r="CU6">
        <f t="shared" si="11"/>
        <v>0</v>
      </c>
      <c r="CV6">
        <f t="shared" si="11"/>
        <v>0</v>
      </c>
      <c r="CW6">
        <f t="shared" si="11"/>
        <v>0</v>
      </c>
      <c r="CX6">
        <f t="shared" si="11"/>
        <v>0</v>
      </c>
      <c r="CY6">
        <f t="shared" si="11"/>
        <v>0</v>
      </c>
      <c r="CZ6">
        <f t="shared" si="11"/>
        <v>0</v>
      </c>
      <c r="DH6" s="9"/>
      <c r="DI6" s="13"/>
      <c r="DJ6" s="13"/>
      <c r="DK6" s="13"/>
      <c r="DL6" s="13"/>
      <c r="DM6" s="13"/>
      <c r="DN6" s="13"/>
      <c r="DO6" s="13"/>
      <c r="DP6" s="13"/>
      <c r="DQ6" s="13"/>
    </row>
    <row r="7" spans="1:125" x14ac:dyDescent="0.2">
      <c r="A7" s="9"/>
      <c r="B7" s="13"/>
      <c r="J7" s="13"/>
      <c r="K7" s="13"/>
      <c r="L7" s="13"/>
      <c r="M7" s="9"/>
      <c r="N7" s="9"/>
      <c r="O7" s="9"/>
      <c r="AE7" s="9"/>
      <c r="AU7" s="9"/>
      <c r="BK7" s="9"/>
      <c r="CA7" s="9"/>
      <c r="CQ7" s="9"/>
      <c r="DH7" s="9"/>
      <c r="DI7" s="13"/>
      <c r="DJ7" s="13"/>
      <c r="DK7" s="13"/>
      <c r="DL7" s="13"/>
      <c r="DM7" s="13"/>
      <c r="DN7" s="13"/>
      <c r="DO7" s="13"/>
      <c r="DP7" s="13"/>
      <c r="DQ7" s="13"/>
    </row>
    <row r="8" spans="1:125" x14ac:dyDescent="0.2">
      <c r="A8" s="9"/>
      <c r="B8" s="13"/>
      <c r="J8" s="13"/>
      <c r="K8" s="13"/>
      <c r="L8" s="13"/>
      <c r="M8" s="9"/>
      <c r="N8" s="9"/>
      <c r="O8" s="9"/>
      <c r="P8" s="13"/>
      <c r="Q8" s="13"/>
      <c r="R8" s="13"/>
      <c r="S8" s="13"/>
      <c r="T8" s="13"/>
      <c r="U8" s="13"/>
      <c r="V8" s="13"/>
      <c r="W8" s="13"/>
      <c r="X8" s="13"/>
      <c r="AE8" s="9"/>
      <c r="AF8" s="13"/>
      <c r="AG8" s="13"/>
      <c r="AH8" s="13"/>
      <c r="AI8" s="13"/>
      <c r="AJ8" s="13"/>
      <c r="AK8" s="13"/>
      <c r="AL8" s="13"/>
      <c r="AM8" s="13"/>
      <c r="AN8" s="13"/>
      <c r="AU8" s="9"/>
      <c r="AV8" s="13"/>
      <c r="AW8" s="13"/>
      <c r="AX8" s="13"/>
      <c r="AY8" s="13"/>
      <c r="AZ8" s="13"/>
      <c r="BA8" s="13"/>
      <c r="BB8" s="13"/>
      <c r="BC8" s="13"/>
      <c r="BD8" s="13"/>
      <c r="BK8" s="9"/>
      <c r="BL8" s="13"/>
      <c r="BM8" s="13"/>
      <c r="BN8" s="13"/>
      <c r="BO8" s="13"/>
      <c r="BP8" s="13"/>
      <c r="BQ8" s="13"/>
      <c r="BR8" s="13"/>
      <c r="BS8" s="13"/>
      <c r="BT8" s="13"/>
      <c r="CA8" s="9"/>
      <c r="CB8" s="13"/>
      <c r="CC8" s="13"/>
      <c r="CD8" s="13"/>
      <c r="CE8" s="13"/>
      <c r="CF8" s="13"/>
      <c r="CG8" s="13"/>
      <c r="CH8" s="13"/>
      <c r="CI8" s="13"/>
      <c r="CJ8" s="13"/>
      <c r="CQ8" s="9"/>
      <c r="CR8" s="13"/>
      <c r="CS8" s="13"/>
      <c r="CT8" s="13"/>
      <c r="CU8" s="13"/>
      <c r="CV8" s="13"/>
      <c r="CW8" s="13"/>
      <c r="CX8" s="13"/>
      <c r="CY8" s="13"/>
      <c r="CZ8" s="13"/>
      <c r="DH8" s="9"/>
      <c r="DI8" s="13"/>
      <c r="DJ8" s="13"/>
      <c r="DK8" s="13"/>
      <c r="DL8" s="13"/>
      <c r="DM8" s="13"/>
      <c r="DN8" s="13"/>
      <c r="DO8" s="13"/>
      <c r="DP8" s="13"/>
      <c r="DQ8" s="13"/>
    </row>
    <row r="9" spans="1:125" hidden="1" x14ac:dyDescent="0.2">
      <c r="A9" s="9"/>
      <c r="M9" s="9"/>
      <c r="O9" s="9"/>
      <c r="P9" s="12"/>
      <c r="Q9" s="12"/>
      <c r="R9" s="12"/>
      <c r="S9" s="12"/>
      <c r="T9" s="12"/>
      <c r="U9" s="12"/>
      <c r="V9" s="12"/>
      <c r="W9" s="12"/>
      <c r="X9" s="12"/>
      <c r="AE9" s="9"/>
      <c r="AF9" s="12"/>
      <c r="AG9" s="12"/>
      <c r="AH9" s="12"/>
      <c r="AI9" s="12"/>
      <c r="AJ9" s="12"/>
      <c r="AK9" s="12"/>
      <c r="AL9" s="12"/>
      <c r="AM9" s="12"/>
      <c r="AN9" s="12"/>
      <c r="AU9" s="9"/>
      <c r="AV9" s="12"/>
      <c r="AW9" s="12"/>
      <c r="AX9" s="12"/>
      <c r="AY9" s="12"/>
      <c r="AZ9" s="12"/>
      <c r="BA9" s="12"/>
      <c r="BB9" s="12"/>
      <c r="BC9" s="12"/>
      <c r="BD9" s="12"/>
      <c r="BK9" s="9"/>
      <c r="BL9" s="12"/>
      <c r="BM9" s="12"/>
      <c r="BN9" s="12"/>
      <c r="BO9" s="12"/>
      <c r="BP9" s="12"/>
      <c r="BQ9" s="12"/>
      <c r="BR9" s="12"/>
      <c r="BS9" s="12"/>
      <c r="BT9" s="12"/>
      <c r="CA9" s="9"/>
      <c r="CB9" s="12"/>
      <c r="CC9" s="12"/>
      <c r="CD9" s="12"/>
      <c r="CE9" s="12"/>
      <c r="CF9" s="12"/>
      <c r="CG9" s="12"/>
      <c r="CH9" s="12"/>
      <c r="CI9" s="12"/>
      <c r="CJ9" s="12"/>
      <c r="CQ9" s="9"/>
      <c r="CR9" s="12"/>
      <c r="CS9" s="12"/>
      <c r="CT9" s="12"/>
      <c r="CU9" s="12"/>
      <c r="CV9" s="12"/>
      <c r="CW9" s="12"/>
      <c r="CX9" s="12"/>
      <c r="CY9" s="12"/>
      <c r="CZ9" s="12"/>
      <c r="DH9" s="9"/>
      <c r="DI9" s="12"/>
      <c r="DJ9" s="12"/>
      <c r="DK9" s="12"/>
      <c r="DL9" s="12"/>
      <c r="DM9" s="12"/>
      <c r="DN9" s="12"/>
      <c r="DO9" s="12"/>
      <c r="DP9" s="12"/>
      <c r="DQ9" s="12"/>
    </row>
    <row r="10" spans="1:125" hidden="1" x14ac:dyDescent="0.2">
      <c r="M10" s="9"/>
      <c r="DH10" s="9"/>
    </row>
    <row r="11" spans="1:125" hidden="1" x14ac:dyDescent="0.2"/>
    <row r="12" spans="1:125" hidden="1" x14ac:dyDescent="0.2"/>
    <row r="13" spans="1:125" hidden="1" x14ac:dyDescent="0.2"/>
    <row r="14" spans="1:125" hidden="1" x14ac:dyDescent="0.2"/>
    <row r="15" spans="1:125" hidden="1" x14ac:dyDescent="0.2">
      <c r="P15" s="13"/>
      <c r="AF15" s="13"/>
      <c r="AV15" s="13"/>
      <c r="BL15" s="13"/>
      <c r="CB15" s="13"/>
      <c r="CR15" s="13"/>
    </row>
    <row r="16" spans="1:125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spans="1:178" hidden="1" x14ac:dyDescent="0.2"/>
    <row r="50" spans="1:178" hidden="1" x14ac:dyDescent="0.2"/>
    <row r="51" spans="1:178" hidden="1" x14ac:dyDescent="0.2"/>
    <row r="52" spans="1:178" hidden="1" x14ac:dyDescent="0.2"/>
    <row r="53" spans="1:178" hidden="1" x14ac:dyDescent="0.2"/>
    <row r="54" spans="1:178" hidden="1" x14ac:dyDescent="0.2"/>
    <row r="55" spans="1:178" hidden="1" x14ac:dyDescent="0.2"/>
    <row r="56" spans="1:178" hidden="1" x14ac:dyDescent="0.2"/>
    <row r="57" spans="1:178" hidden="1" x14ac:dyDescent="0.2"/>
    <row r="58" spans="1:178" hidden="1" x14ac:dyDescent="0.2"/>
    <row r="59" spans="1:178" hidden="1" x14ac:dyDescent="0.2"/>
    <row r="60" spans="1:178" hidden="1" x14ac:dyDescent="0.2"/>
    <row r="61" spans="1:178" hidden="1" x14ac:dyDescent="0.2"/>
    <row r="62" spans="1:178" x14ac:dyDescent="0.2">
      <c r="P62" s="16"/>
      <c r="Q62" s="16"/>
      <c r="R62" s="16"/>
      <c r="S62" s="16"/>
      <c r="T62" s="16"/>
      <c r="U62" s="16"/>
      <c r="V62" s="16"/>
      <c r="W62" s="16"/>
      <c r="X62" s="16"/>
      <c r="Y62" s="29"/>
      <c r="Z62" s="29"/>
      <c r="AA62" s="16"/>
      <c r="AB62" s="16"/>
      <c r="AC62" s="16"/>
      <c r="AD62" s="16"/>
      <c r="AE62" s="16"/>
      <c r="AF62" s="16"/>
      <c r="AG62" s="29"/>
      <c r="AH62" s="16"/>
      <c r="AI62" s="29"/>
      <c r="AJ62" s="16"/>
      <c r="AK62" s="29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29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29"/>
      <c r="CM62" s="16"/>
      <c r="CN62" s="16"/>
      <c r="CO62" s="16"/>
      <c r="CP62" s="16"/>
      <c r="CQ62" s="16"/>
      <c r="CR62" s="16"/>
      <c r="CS62" s="16"/>
      <c r="CT62" s="16"/>
      <c r="CU62" s="29"/>
      <c r="CV62" s="16"/>
      <c r="CW62" s="29"/>
      <c r="CX62" s="16"/>
      <c r="CY62" s="16"/>
      <c r="CZ62" s="16"/>
      <c r="DA62" s="30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30"/>
      <c r="EF62" s="16"/>
      <c r="EG62" s="40"/>
      <c r="EH62" s="16"/>
      <c r="EI62" s="16"/>
      <c r="EJ62" s="16"/>
      <c r="EK62" s="29"/>
      <c r="EL62" s="16"/>
      <c r="EM62" s="29"/>
      <c r="EN62" s="16"/>
      <c r="EO62" s="16"/>
      <c r="EP62" s="16"/>
      <c r="EQ62" s="30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30"/>
      <c r="FV62" s="16"/>
    </row>
    <row r="63" spans="1:178" x14ac:dyDescent="0.2">
      <c r="A63" s="5" t="s">
        <v>45</v>
      </c>
    </row>
    <row r="64" spans="1:178" x14ac:dyDescent="0.2">
      <c r="A64" t="s">
        <v>1291</v>
      </c>
      <c r="B64" s="12">
        <f t="shared" ref="B64:J64" si="12">P64+AF64+AV64+BL64+CB64+CR64</f>
        <v>0</v>
      </c>
      <c r="C64" s="12">
        <f t="shared" si="12"/>
        <v>0</v>
      </c>
      <c r="D64" s="12">
        <f t="shared" si="12"/>
        <v>0</v>
      </c>
      <c r="E64" s="12">
        <f t="shared" si="12"/>
        <v>0</v>
      </c>
      <c r="F64" s="12">
        <f t="shared" si="12"/>
        <v>0</v>
      </c>
      <c r="G64" s="12">
        <f t="shared" si="12"/>
        <v>0</v>
      </c>
      <c r="H64" s="12">
        <f t="shared" si="12"/>
        <v>0</v>
      </c>
      <c r="I64" s="12">
        <f t="shared" si="12"/>
        <v>0</v>
      </c>
      <c r="J64" s="12">
        <f t="shared" si="12"/>
        <v>0</v>
      </c>
      <c r="P64" s="12" cm="1">
        <f t="array" ref="P64" xml:space="preserve"> _xlfn.SWITCH(P$5, 1, AA64, -1, AC64, 0)</f>
        <v>0</v>
      </c>
      <c r="Q64" s="12" cm="1">
        <f t="array" ref="Q64" xml:space="preserve"> _xlfn.SWITCH(Q$5, 1, AA64, -1, AC64, 0)</f>
        <v>0</v>
      </c>
      <c r="R64" s="12" cm="1">
        <f t="array" ref="R64" xml:space="preserve"> _xlfn.SWITCH(R$5, 1, AA64, -1, AC64, 0)</f>
        <v>0</v>
      </c>
      <c r="S64" s="12" cm="1">
        <f t="array" ref="S64" xml:space="preserve"> _xlfn.SWITCH(S$5, 1, AA64, -1, AC64, 0)</f>
        <v>0</v>
      </c>
      <c r="T64" s="12" cm="1">
        <f t="array" ref="T64" xml:space="preserve"> _xlfn.SWITCH(T$5, 1, AA64, -1, AC64, 0)</f>
        <v>0</v>
      </c>
      <c r="U64" s="12" cm="1">
        <f t="array" ref="U64" xml:space="preserve"> _xlfn.SWITCH(U$5, 1, AA64, -1, AC64, 0)</f>
        <v>0</v>
      </c>
      <c r="V64" s="12" cm="1">
        <f t="array" ref="V64" xml:space="preserve"> _xlfn.SWITCH(V$5, 1, AA64, -1, AC64, 0)</f>
        <v>0</v>
      </c>
      <c r="W64" s="12" cm="1">
        <f t="array" ref="W64" xml:space="preserve"> _xlfn.SWITCH(W$5, 1, AA64, -1, AC64, 0)</f>
        <v>0</v>
      </c>
      <c r="X64" s="12" cm="1">
        <f t="array" ref="X64" xml:space="preserve"> _xlfn.SWITCH(X$5, 1, AA64, -1, AC64, 0)</f>
        <v>0</v>
      </c>
      <c r="Z64" s="29" t="s">
        <v>1304</v>
      </c>
      <c r="AA64">
        <f>_xlfn.XLOOKUP(Z64,'KPI Impacts'!$B$2:$H$2,'KPI Impacts'!$B64:$H64)</f>
        <v>-0.8</v>
      </c>
      <c r="AB64" s="16" t="s">
        <v>1303</v>
      </c>
      <c r="AC64">
        <f>_xlfn.XLOOKUP(AB64,'KPI Impacts'!$B$2:$H$2,'KPI Impacts'!$B64:$H64)</f>
        <v>0</v>
      </c>
      <c r="AF64" s="12" cm="1">
        <f t="array" ref="AF64" xml:space="preserve"> _xlfn.SWITCH(AF$5, 1, AQ64, -1, AS64, 0)</f>
        <v>0</v>
      </c>
      <c r="AG64" s="12" cm="1">
        <f t="array" ref="AG64" xml:space="preserve"> _xlfn.SWITCH(AG$5, 1, AQ64, -1, AS64, 0)</f>
        <v>0</v>
      </c>
      <c r="AH64" s="12" cm="1">
        <f t="array" ref="AH64" xml:space="preserve"> _xlfn.SWITCH(AH$5, 1, AQ64, -1, AS64, 0)</f>
        <v>0</v>
      </c>
      <c r="AI64" s="12" cm="1">
        <f t="array" ref="AI64" xml:space="preserve"> _xlfn.SWITCH(AI$5, 1, AQ64, -1, AS64, 0)</f>
        <v>0</v>
      </c>
      <c r="AJ64" s="12" cm="1">
        <f t="array" ref="AJ64" xml:space="preserve"> _xlfn.SWITCH(AJ$5, 1, AQ64, -1, AS64, 0)</f>
        <v>0</v>
      </c>
      <c r="AK64" s="12" cm="1">
        <f t="array" ref="AK64" xml:space="preserve"> _xlfn.SWITCH(AK$5, 1, AQ64, -1, AS64, 0)</f>
        <v>0</v>
      </c>
      <c r="AL64" s="12" cm="1">
        <f t="array" ref="AL64" xml:space="preserve"> _xlfn.SWITCH(AL$5, 1, AQ64, -1, AS64, 0)</f>
        <v>0</v>
      </c>
      <c r="AM64" s="12" cm="1">
        <f t="array" ref="AM64" xml:space="preserve"> _xlfn.SWITCH(AM$5, 1, AQ64, -1, AS64, 0)</f>
        <v>0</v>
      </c>
      <c r="AN64" s="12" cm="1">
        <f t="array" ref="AN64" xml:space="preserve"> _xlfn.SWITCH(AN$5, 1, AQ64, -1, AS64, 0)</f>
        <v>0</v>
      </c>
      <c r="AP64" s="29" t="s">
        <v>1304</v>
      </c>
      <c r="AQ64">
        <f>_xlfn.XLOOKUP(AP64,'KPI Impacts'!$B$2:$H$2,'KPI Impacts'!$B64:$H64)</f>
        <v>-0.8</v>
      </c>
      <c r="AR64" s="16" t="s">
        <v>1303</v>
      </c>
      <c r="AS64">
        <f>_xlfn.XLOOKUP(AR64,'KPI Impacts'!$B$2:$H$2,'KPI Impacts'!$B64:$H64)</f>
        <v>0</v>
      </c>
      <c r="AV64" s="12" cm="1">
        <f t="array" ref="AV64" xml:space="preserve"> _xlfn.SWITCH(AV$5, 1, BG64, -1, BI64, 0)</f>
        <v>0</v>
      </c>
      <c r="AW64" s="12" cm="1">
        <f t="array" ref="AW64" xml:space="preserve"> _xlfn.SWITCH(AW$5, 1, BG64, -1, BI64, 0)</f>
        <v>0</v>
      </c>
      <c r="AX64" s="12" cm="1">
        <f t="array" ref="AX64" xml:space="preserve"> _xlfn.SWITCH(AX$5, 1, BG64, -1, BI64, 0)</f>
        <v>0</v>
      </c>
      <c r="AY64" s="12" cm="1">
        <f t="array" ref="AY64" xml:space="preserve"> _xlfn.SWITCH(AY$5, 1, BG64, -1, BI64, 0)</f>
        <v>0</v>
      </c>
      <c r="AZ64" s="12" cm="1">
        <f t="array" ref="AZ64" xml:space="preserve"> _xlfn.SWITCH(AZ$5, 1, BG64, -1, BI64, 0)</f>
        <v>0</v>
      </c>
      <c r="BA64" s="12" cm="1">
        <f t="array" ref="BA64" xml:space="preserve"> _xlfn.SWITCH(BA$5, 1, BG64, -1, BI64, 0)</f>
        <v>0</v>
      </c>
      <c r="BB64" s="12" cm="1">
        <f t="array" ref="BB64" xml:space="preserve"> _xlfn.SWITCH(BB$5, 1, BG64, -1, BI64, 0)</f>
        <v>0</v>
      </c>
      <c r="BC64" s="12" cm="1">
        <f t="array" ref="BC64" xml:space="preserve"> _xlfn.SWITCH(BC$5, 1, BG64, -1, BI64, 0)</f>
        <v>0</v>
      </c>
      <c r="BD64" s="12" cm="1">
        <f t="array" ref="BD64" xml:space="preserve"> _xlfn.SWITCH(BD$5, 1, BG64, -1, BI64, 0)</f>
        <v>0</v>
      </c>
      <c r="BF64" s="30" t="s">
        <v>1307</v>
      </c>
      <c r="BG64">
        <f>_xlfn.XLOOKUP(BF64,'KPI Impacts'!$B$2:$H$2,'KPI Impacts'!$B64:$H64)</f>
        <v>1</v>
      </c>
      <c r="BH64" s="16" t="s">
        <v>1303</v>
      </c>
      <c r="BI64">
        <f>_xlfn.XLOOKUP(BH64,'KPI Impacts'!$B$2:$H$2,'KPI Impacts'!$B64:$H64)</f>
        <v>0</v>
      </c>
      <c r="BL64" s="12" cm="1">
        <f t="array" ref="BL64" xml:space="preserve"> _xlfn.SWITCH(BL$5, 1, BW64, -1, BY64, 0)</f>
        <v>0</v>
      </c>
      <c r="BM64" s="12" cm="1">
        <f t="array" ref="BM64" xml:space="preserve"> _xlfn.SWITCH(BM$5, 1, BW64, -1, BY64, 0)</f>
        <v>0</v>
      </c>
      <c r="BN64" s="12" cm="1">
        <f t="array" ref="BN64" xml:space="preserve"> _xlfn.SWITCH(BN$5, 1, BW64, -1, BY64, 0)</f>
        <v>0</v>
      </c>
      <c r="BO64" s="12" cm="1">
        <f t="array" ref="BO64" xml:space="preserve"> _xlfn.SWITCH(BO$5, 1, BW64, -1, BY64, 0)</f>
        <v>0</v>
      </c>
      <c r="BP64" s="12" cm="1">
        <f t="array" ref="BP64" xml:space="preserve"> _xlfn.SWITCH(BP$5, 1, BW64, -1, BY64, 0)</f>
        <v>0</v>
      </c>
      <c r="BQ64" s="12" cm="1">
        <f t="array" ref="BQ64" xml:space="preserve"> _xlfn.SWITCH(BQ$5, 1, BW64, -1, BY64, 0)</f>
        <v>0</v>
      </c>
      <c r="BR64" s="12" cm="1">
        <f t="array" ref="BR64" xml:space="preserve"> _xlfn.SWITCH(BR$5, 1, BW64, -1, BY64, 0)</f>
        <v>0</v>
      </c>
      <c r="BS64" s="12" cm="1">
        <f t="array" ref="BS64" xml:space="preserve"> _xlfn.SWITCH(BS$5, 1, BW64, -1, BY64, 0)</f>
        <v>0</v>
      </c>
      <c r="BT64" s="12" cm="1">
        <f t="array" ref="BT64" xml:space="preserve"> _xlfn.SWITCH(BT$5, 1, BW64, -1, BY64, 0)</f>
        <v>0</v>
      </c>
      <c r="BV64" s="16" t="s">
        <v>1303</v>
      </c>
      <c r="BW64">
        <f>_xlfn.XLOOKUP(BV64,'KPI Impacts'!$B$2:$H$2,'KPI Impacts'!$B64:$H64)</f>
        <v>0</v>
      </c>
      <c r="BX64" s="16" t="s">
        <v>1303</v>
      </c>
      <c r="BY64">
        <f>_xlfn.XLOOKUP(BX64,'KPI Impacts'!$B$2:$H$2,'KPI Impacts'!$B64:$H64)</f>
        <v>0</v>
      </c>
      <c r="CB64" s="12" cm="1">
        <f t="array" ref="CB64" xml:space="preserve"> _xlfn.SWITCH(CB$5, 1, CM64, -1, CO64, 0)</f>
        <v>0</v>
      </c>
      <c r="CC64" s="12" cm="1">
        <f t="array" ref="CC64" xml:space="preserve"> _xlfn.SWITCH(CC$5, 1, CM64, -1, CO64, 0)</f>
        <v>0</v>
      </c>
      <c r="CD64" s="12" cm="1">
        <f t="array" ref="CD64" xml:space="preserve"> _xlfn.SWITCH(CD$5, 1, CM64, -1, CO64, 0)</f>
        <v>0</v>
      </c>
      <c r="CE64" s="12" cm="1">
        <f t="array" ref="CE64" xml:space="preserve"> _xlfn.SWITCH(CE$5, 1, CM64, -1, CO64, 0)</f>
        <v>0</v>
      </c>
      <c r="CF64" s="12" cm="1">
        <f t="array" ref="CF64" xml:space="preserve"> _xlfn.SWITCH(CF$5, 1, CM64, -1, CO64, 0)</f>
        <v>0</v>
      </c>
      <c r="CG64" s="12" cm="1">
        <f t="array" ref="CG64" xml:space="preserve"> _xlfn.SWITCH(CG$5, 1, CM64, -1, CO64, 0)</f>
        <v>0</v>
      </c>
      <c r="CH64" s="12" cm="1">
        <f t="array" ref="CH64" xml:space="preserve"> _xlfn.SWITCH(CH$5, 1, CM64, -1, CO64, 0)</f>
        <v>0</v>
      </c>
      <c r="CI64" s="12" cm="1">
        <f t="array" ref="CI64" xml:space="preserve"> _xlfn.SWITCH(CI$5, 1, CM64, -1, CO64, 0)</f>
        <v>0</v>
      </c>
      <c r="CJ64" s="12" cm="1">
        <f t="array" ref="CJ64" xml:space="preserve"> _xlfn.SWITCH(CJ$5, 1, CM64, -1, CO64, 0)</f>
        <v>0</v>
      </c>
      <c r="CL64" s="16" t="s">
        <v>1303</v>
      </c>
      <c r="CM64">
        <f>_xlfn.XLOOKUP(CL64,'KPI Impacts'!$B$2:$H$2,'KPI Impacts'!$B64:$H64)</f>
        <v>0</v>
      </c>
      <c r="CN64" s="16" t="s">
        <v>1303</v>
      </c>
      <c r="CO64">
        <f>_xlfn.XLOOKUP(CN64,'KPI Impacts'!$B$2:$H$2,'KPI Impacts'!$B64:$H64)</f>
        <v>0</v>
      </c>
      <c r="CR64" s="12" cm="1">
        <f t="array" ref="CR64" xml:space="preserve"> _xlfn.SWITCH(CR$5, 1, DC64, -1, DE64, 0)</f>
        <v>0</v>
      </c>
      <c r="CS64" s="12" cm="1">
        <f t="array" ref="CS64" xml:space="preserve"> _xlfn.SWITCH(CS$5, 1, DC64, -1, DE64, 0)</f>
        <v>0</v>
      </c>
      <c r="CT64" s="12" cm="1">
        <f t="array" ref="CT64" xml:space="preserve"> _xlfn.SWITCH(CT$5, 1, DC64, -1, DE64, 0)</f>
        <v>0</v>
      </c>
      <c r="CU64" s="12" cm="1">
        <f t="array" ref="CU64" xml:space="preserve"> _xlfn.SWITCH(CU$5, 1, DC64, -1, DE64, 0)</f>
        <v>0</v>
      </c>
      <c r="CV64" s="12" cm="1">
        <f t="array" ref="CV64" xml:space="preserve"> _xlfn.SWITCH(CV$5, 1, DC64, -1, DE64, 0)</f>
        <v>0</v>
      </c>
      <c r="CW64" s="12" cm="1">
        <f t="array" ref="CW64" xml:space="preserve"> _xlfn.SWITCH(CW$5, 1, DC64, -1, DE64, 0)</f>
        <v>0</v>
      </c>
      <c r="CX64" s="12" cm="1">
        <f t="array" ref="CX64" xml:space="preserve"> _xlfn.SWITCH(CX$5, 1, DC64, -1, DE64, 0)</f>
        <v>0</v>
      </c>
      <c r="CY64" s="12" cm="1">
        <f t="array" ref="CY64" xml:space="preserve"> _xlfn.SWITCH(CY$5, 1, DC64, -1, DE64, 0)</f>
        <v>0</v>
      </c>
      <c r="CZ64" s="12" cm="1">
        <f t="array" ref="CZ64" xml:space="preserve"> _xlfn.SWITCH(CZ$5, 1, DC64, -1, DE64, 0)</f>
        <v>0</v>
      </c>
      <c r="DB64" s="16" t="s">
        <v>1303</v>
      </c>
      <c r="DC64">
        <f>_xlfn.XLOOKUP(DB64,'KPI Impacts'!$B$2:$H$2,'KPI Impacts'!$B64:$H64)</f>
        <v>0</v>
      </c>
      <c r="DD64" s="16" t="s">
        <v>1303</v>
      </c>
      <c r="DE64">
        <f>_xlfn.XLOOKUP(DD64,'KPI Impacts'!$B$2:$H$2,'KPI Impacts'!$B64:$H64)</f>
        <v>0</v>
      </c>
      <c r="DI64" s="12"/>
      <c r="DJ64" s="12"/>
      <c r="DK64" s="12"/>
      <c r="DL64" s="12"/>
      <c r="DM64" s="12"/>
      <c r="DN64" s="12"/>
      <c r="DO64" s="12"/>
      <c r="DP64" s="12"/>
      <c r="DQ64" s="12"/>
    </row>
    <row r="65" spans="1:121" x14ac:dyDescent="0.2">
      <c r="A65" t="s">
        <v>47</v>
      </c>
      <c r="B65" s="12">
        <f>P65+AF65+AV65+BL65+CB65+CR65</f>
        <v>0</v>
      </c>
      <c r="C65" s="12">
        <f t="shared" ref="C65:C69" si="13">Q65+AG65+AW65+BM65+CC65+CS65</f>
        <v>0</v>
      </c>
      <c r="D65" s="12">
        <f t="shared" ref="D65:D69" si="14">R65+AH65+AX65+BN65+CD65+CT65</f>
        <v>-1.6</v>
      </c>
      <c r="E65" s="12">
        <f t="shared" ref="E65:E69" si="15">S65+AI65+AY65+BO65+CE65+CU65</f>
        <v>-1.6</v>
      </c>
      <c r="F65" s="12">
        <f t="shared" ref="F65:F69" si="16">T65+AJ65+AZ65+BP65+CF65+CV65</f>
        <v>-1.6</v>
      </c>
      <c r="G65" s="12">
        <f>U65+AK65+BA65+BQ65+CG65+CW65</f>
        <v>-1.6</v>
      </c>
      <c r="H65" s="12">
        <f t="shared" ref="H65:H69" si="17">V65+AL65+BB65+BR65+CH65+CX65</f>
        <v>-1.6</v>
      </c>
      <c r="I65" s="12">
        <f>W65+AM65+BC65+BS65+CI65+CY65</f>
        <v>-1.6</v>
      </c>
      <c r="J65" s="12">
        <f t="shared" ref="J65:J69" si="18">X65+AN65+BD65+BT65+CJ65+CZ65</f>
        <v>-1.6</v>
      </c>
      <c r="P65" s="12" cm="1">
        <f t="array" ref="P65" xml:space="preserve"> _xlfn.SWITCH(P$5, 1, AA65, -1, AC65, 0)</f>
        <v>0</v>
      </c>
      <c r="Q65" s="12" cm="1">
        <f t="array" ref="Q65" xml:space="preserve"> _xlfn.SWITCH(Q$5, 1, AA65, -1, AC65, 0)</f>
        <v>0</v>
      </c>
      <c r="R65" s="12" cm="1">
        <f t="array" ref="R65" xml:space="preserve"> _xlfn.SWITCH(R$5, 1, AA65, -1, AC65, 0)</f>
        <v>0</v>
      </c>
      <c r="S65" s="12" cm="1">
        <f t="array" ref="S65" xml:space="preserve"> _xlfn.SWITCH(S$5, 1, AA65, -1, AC65, 0)</f>
        <v>0</v>
      </c>
      <c r="T65" s="12" cm="1">
        <f t="array" ref="T65" xml:space="preserve"> _xlfn.SWITCH(T$5, 1, AA65, -1, AC65, 0)</f>
        <v>0</v>
      </c>
      <c r="U65" s="12" cm="1">
        <f t="array" ref="U65" xml:space="preserve"> _xlfn.SWITCH(U$5, 1, AA65, -1, AC65, 0)</f>
        <v>0</v>
      </c>
      <c r="V65" s="12" cm="1">
        <f t="array" ref="V65" xml:space="preserve"> _xlfn.SWITCH(V$5, 1, AA65, -1, AC65, 0)</f>
        <v>0</v>
      </c>
      <c r="W65" s="12" cm="1">
        <f t="array" ref="W65" xml:space="preserve"> _xlfn.SWITCH(W$5, 1, AA65, -1, AC65, 0)</f>
        <v>0</v>
      </c>
      <c r="X65" s="12" cm="1">
        <f t="array" ref="X65" xml:space="preserve"> _xlfn.SWITCH(X$5, 1, AA65, -1, AC65, 0)</f>
        <v>0</v>
      </c>
      <c r="Z65" s="16" t="s">
        <v>1303</v>
      </c>
      <c r="AA65">
        <f>_xlfn.XLOOKUP(Z65,'KPI Impacts'!$B$2:$H$2,'KPI Impacts'!$B65:$H65)</f>
        <v>0</v>
      </c>
      <c r="AB65" s="16" t="s">
        <v>1303</v>
      </c>
      <c r="AC65">
        <f>_xlfn.XLOOKUP(AB65,'KPI Impacts'!$B$2:$H$2,'KPI Impacts'!$B65:$H65)</f>
        <v>0</v>
      </c>
      <c r="AF65" s="12" cm="1">
        <f t="array" ref="AF65" xml:space="preserve"> _xlfn.SWITCH(AF$5, 1, AQ65, -1, AS65, 0)</f>
        <v>0</v>
      </c>
      <c r="AG65" s="12" cm="1">
        <f t="array" ref="AG65" xml:space="preserve"> _xlfn.SWITCH(AG$5, 1, AQ65, -1, AS65, 0)</f>
        <v>0</v>
      </c>
      <c r="AH65" s="12" cm="1">
        <f t="array" ref="AH65" xml:space="preserve"> _xlfn.SWITCH(AH$5, 1, AQ65, -1, AS65, 0)</f>
        <v>-1.6</v>
      </c>
      <c r="AI65" s="12" cm="1">
        <f t="array" ref="AI65" xml:space="preserve"> _xlfn.SWITCH(AI$5, 1, AQ65, -1, AS65, 0)</f>
        <v>-1.6</v>
      </c>
      <c r="AJ65" s="12" cm="1">
        <f t="array" ref="AJ65" xml:space="preserve"> _xlfn.SWITCH(AJ$5, 1, AQ65, -1, AS65, 0)</f>
        <v>-1.6</v>
      </c>
      <c r="AK65" s="12" cm="1">
        <f t="array" ref="AK65" xml:space="preserve"> _xlfn.SWITCH(AK$5, 1, AQ65, -1, AS65, 0)</f>
        <v>-1.6</v>
      </c>
      <c r="AL65" s="12" cm="1">
        <f t="array" ref="AL65" xml:space="preserve"> _xlfn.SWITCH(AL$5, 1, AQ65, -1, AS65, 0)</f>
        <v>-1.6</v>
      </c>
      <c r="AM65" s="12" cm="1">
        <f t="array" ref="AM65" xml:space="preserve"> _xlfn.SWITCH(AM$5, 1, AQ65, -1, AS65, 0)</f>
        <v>-1.6</v>
      </c>
      <c r="AN65" s="12" cm="1">
        <f t="array" ref="AN65" xml:space="preserve"> _xlfn.SWITCH(AN$5, 1, AQ65, -1, AS65, 0)</f>
        <v>-1.6</v>
      </c>
      <c r="AP65" s="30" t="s">
        <v>1307</v>
      </c>
      <c r="AQ65">
        <f>_xlfn.XLOOKUP(AP65,'KPI Impacts'!$B$2:$H$2,'KPI Impacts'!$B65:$H65)</f>
        <v>1</v>
      </c>
      <c r="AR65" s="29" t="s">
        <v>1306</v>
      </c>
      <c r="AS65">
        <f>_xlfn.XLOOKUP(AR65,'KPI Impacts'!$B$2:$H$2,'KPI Impacts'!$B65:$H65)</f>
        <v>-1.6</v>
      </c>
      <c r="AV65" s="12" cm="1">
        <f t="array" ref="AV65" xml:space="preserve"> _xlfn.SWITCH(AV$5, 1, BG65, -1, BI65, 0)</f>
        <v>0</v>
      </c>
      <c r="AW65" s="12" cm="1">
        <f t="array" ref="AW65" xml:space="preserve"> _xlfn.SWITCH(AW$5, 1, BG65, -1, BI65, 0)</f>
        <v>0</v>
      </c>
      <c r="AX65" s="12" cm="1">
        <f t="array" ref="AX65" xml:space="preserve"> _xlfn.SWITCH(AX$5, 1, BG65, -1, BI65, 0)</f>
        <v>0</v>
      </c>
      <c r="AY65" s="12" cm="1">
        <f t="array" ref="AY65" xml:space="preserve"> _xlfn.SWITCH(AY$5, 1, BG65, -1, BI65, 0)</f>
        <v>0</v>
      </c>
      <c r="AZ65" s="12" cm="1">
        <f t="array" ref="AZ65" xml:space="preserve"> _xlfn.SWITCH(AZ$5, 1, BG65, -1, BI65, 0)</f>
        <v>0</v>
      </c>
      <c r="BA65" s="12" cm="1">
        <f t="array" ref="BA65" xml:space="preserve"> _xlfn.SWITCH(BA$5, 1, BG65, -1, BI65, 0)</f>
        <v>0</v>
      </c>
      <c r="BB65" s="12" cm="1">
        <f t="array" ref="BB65" xml:space="preserve"> _xlfn.SWITCH(BB$5, 1, BG65, -1, BI65, 0)</f>
        <v>0</v>
      </c>
      <c r="BC65" s="12" cm="1">
        <f t="array" ref="BC65" xml:space="preserve"> _xlfn.SWITCH(BC$5, 1, BG65, -1, BI65, 0)</f>
        <v>0</v>
      </c>
      <c r="BD65" s="12" cm="1">
        <f t="array" ref="BD65" xml:space="preserve"> _xlfn.SWITCH(BD$5, 1, BG65, -1, BI65, 0)</f>
        <v>0</v>
      </c>
      <c r="BF65" s="16" t="s">
        <v>1303</v>
      </c>
      <c r="BG65">
        <f>_xlfn.XLOOKUP(BF65,'KPI Impacts'!$B$2:$H$2,'KPI Impacts'!$B65:$H65)</f>
        <v>0</v>
      </c>
      <c r="BH65" s="16" t="s">
        <v>1303</v>
      </c>
      <c r="BI65">
        <f>_xlfn.XLOOKUP(BH65,'KPI Impacts'!$B$2:$H$2,'KPI Impacts'!$B65:$H65)</f>
        <v>0</v>
      </c>
      <c r="BL65" s="12" cm="1">
        <f t="array" ref="BL65" xml:space="preserve"> _xlfn.SWITCH(BL$5, 1, BW65, -1, BY65, 0)</f>
        <v>0</v>
      </c>
      <c r="BM65" s="12" cm="1">
        <f t="array" ref="BM65" xml:space="preserve"> _xlfn.SWITCH(BM$5, 1, BW65, -1, BY65, 0)</f>
        <v>0</v>
      </c>
      <c r="BN65" s="12" cm="1">
        <f t="array" ref="BN65" xml:space="preserve"> _xlfn.SWITCH(BN$5, 1, BW65, -1, BY65, 0)</f>
        <v>0</v>
      </c>
      <c r="BO65" s="12" cm="1">
        <f t="array" ref="BO65" xml:space="preserve"> _xlfn.SWITCH(BO$5, 1, BW65, -1, BY65, 0)</f>
        <v>0</v>
      </c>
      <c r="BP65" s="12" cm="1">
        <f t="array" ref="BP65" xml:space="preserve"> _xlfn.SWITCH(BP$5, 1, BW65, -1, BY65, 0)</f>
        <v>0</v>
      </c>
      <c r="BQ65" s="12" cm="1">
        <f t="array" ref="BQ65" xml:space="preserve"> _xlfn.SWITCH(BQ$5, 1, BW65, -1, BY65, 0)</f>
        <v>0</v>
      </c>
      <c r="BR65" s="12" cm="1">
        <f t="array" ref="BR65" xml:space="preserve"> _xlfn.SWITCH(BR$5, 1, BW65, -1, BY65, 0)</f>
        <v>0</v>
      </c>
      <c r="BS65" s="12" cm="1">
        <f t="array" ref="BS65" xml:space="preserve"> _xlfn.SWITCH(BS$5, 1, BW65, -1, BY65, 0)</f>
        <v>0</v>
      </c>
      <c r="BT65" s="12" cm="1">
        <f t="array" ref="BT65" xml:space="preserve"> _xlfn.SWITCH(BT$5, 1, BW65, -1, BY65, 0)</f>
        <v>0</v>
      </c>
      <c r="BV65" s="16" t="s">
        <v>1303</v>
      </c>
      <c r="BW65">
        <f>_xlfn.XLOOKUP(BV65,'KPI Impacts'!$B$2:$H$2,'KPI Impacts'!$B65:$H65)</f>
        <v>0</v>
      </c>
      <c r="BX65" s="16" t="s">
        <v>1303</v>
      </c>
      <c r="BY65">
        <f>_xlfn.XLOOKUP(BX65,'KPI Impacts'!$B$2:$H$2,'KPI Impacts'!$B65:$H65)</f>
        <v>0</v>
      </c>
      <c r="CB65" s="12" cm="1">
        <f t="array" ref="CB65" xml:space="preserve"> _xlfn.SWITCH(CB$5, 1, CM65, -1, CO65, 0)</f>
        <v>0</v>
      </c>
      <c r="CC65" s="12" cm="1">
        <f t="array" ref="CC65" xml:space="preserve"> _xlfn.SWITCH(CC$5, 1, CM65, -1, CO65, 0)</f>
        <v>0</v>
      </c>
      <c r="CD65" s="12" cm="1">
        <f t="array" ref="CD65" xml:space="preserve"> _xlfn.SWITCH(CD$5, 1, CM65, -1, CO65, 0)</f>
        <v>0</v>
      </c>
      <c r="CE65" s="12" cm="1">
        <f t="array" ref="CE65" xml:space="preserve"> _xlfn.SWITCH(CE$5, 1, CM65, -1, CO65, 0)</f>
        <v>0</v>
      </c>
      <c r="CF65" s="12" cm="1">
        <f t="array" ref="CF65" xml:space="preserve"> _xlfn.SWITCH(CF$5, 1, CM65, -1, CO65, 0)</f>
        <v>0</v>
      </c>
      <c r="CG65" s="12" cm="1">
        <f t="array" ref="CG65" xml:space="preserve"> _xlfn.SWITCH(CG$5, 1, CM65, -1, CO65, 0)</f>
        <v>0</v>
      </c>
      <c r="CH65" s="12" cm="1">
        <f t="array" ref="CH65" xml:space="preserve"> _xlfn.SWITCH(CH$5, 1, CM65, -1, CO65, 0)</f>
        <v>0</v>
      </c>
      <c r="CI65" s="12" cm="1">
        <f t="array" ref="CI65" xml:space="preserve"> _xlfn.SWITCH(CI$5, 1, CM65, -1, CO65, 0)</f>
        <v>0</v>
      </c>
      <c r="CJ65" s="12" cm="1">
        <f t="array" ref="CJ65" xml:space="preserve"> _xlfn.SWITCH(CJ$5, 1, CM65, -1, CO65, 0)</f>
        <v>0</v>
      </c>
      <c r="CL65" s="16" t="s">
        <v>1303</v>
      </c>
      <c r="CM65">
        <f>_xlfn.XLOOKUP(CL65,'KPI Impacts'!$B$2:$H$2,'KPI Impacts'!$B65:$H65)</f>
        <v>0</v>
      </c>
      <c r="CN65" s="16" t="s">
        <v>1303</v>
      </c>
      <c r="CO65">
        <f>_xlfn.XLOOKUP(CN65,'KPI Impacts'!$B$2:$H$2,'KPI Impacts'!$B65:$H65)</f>
        <v>0</v>
      </c>
      <c r="CR65" s="12" cm="1">
        <f t="array" ref="CR65" xml:space="preserve"> _xlfn.SWITCH(CR$5, 1, DC65, -1, DE65, 0)</f>
        <v>0</v>
      </c>
      <c r="CS65" s="12" cm="1">
        <f t="array" ref="CS65" xml:space="preserve"> _xlfn.SWITCH(CS$5, 1, DC65, -1, DE65, 0)</f>
        <v>0</v>
      </c>
      <c r="CT65" s="12" cm="1">
        <f t="array" ref="CT65" xml:space="preserve"> _xlfn.SWITCH(CT$5, 1, DC65, -1, DE65, 0)</f>
        <v>0</v>
      </c>
      <c r="CU65" s="12" cm="1">
        <f t="array" ref="CU65" xml:space="preserve"> _xlfn.SWITCH(CU$5, 1, DC65, -1, DE65, 0)</f>
        <v>0</v>
      </c>
      <c r="CV65" s="12" cm="1">
        <f t="array" ref="CV65" xml:space="preserve"> _xlfn.SWITCH(CV$5, 1, DC65, -1, DE65, 0)</f>
        <v>0</v>
      </c>
      <c r="CW65" s="12" cm="1">
        <f t="array" ref="CW65" xml:space="preserve"> _xlfn.SWITCH(CW$5, 1, DC65, -1, DE65, 0)</f>
        <v>0</v>
      </c>
      <c r="CX65" s="12" cm="1">
        <f t="array" ref="CX65" xml:space="preserve"> _xlfn.SWITCH(CX$5, 1, DC65, -1, DE65, 0)</f>
        <v>0</v>
      </c>
      <c r="CY65" s="12" cm="1">
        <f t="array" ref="CY65" xml:space="preserve"> _xlfn.SWITCH(CY$5, 1, DC65, -1, DE65, 0)</f>
        <v>0</v>
      </c>
      <c r="CZ65" s="12" cm="1">
        <f t="array" ref="CZ65" xml:space="preserve"> _xlfn.SWITCH(CZ$5, 1, DC65, -1, DE65, 0)</f>
        <v>0</v>
      </c>
      <c r="DB65" s="16" t="s">
        <v>1303</v>
      </c>
      <c r="DC65">
        <f>_xlfn.XLOOKUP(DB65,'KPI Impacts'!$B$2:$H$2,'KPI Impacts'!$B65:$H65)</f>
        <v>0</v>
      </c>
      <c r="DD65" s="16" t="s">
        <v>1303</v>
      </c>
      <c r="DE65">
        <f>_xlfn.XLOOKUP(DD65,'KPI Impacts'!$B$2:$H$2,'KPI Impacts'!$B65:$H65)</f>
        <v>0</v>
      </c>
      <c r="DI65" s="12"/>
      <c r="DJ65" s="12"/>
      <c r="DK65" s="12"/>
      <c r="DL65" s="12"/>
      <c r="DM65" s="12"/>
      <c r="DN65" s="12"/>
      <c r="DO65" s="12"/>
      <c r="DP65" s="12"/>
      <c r="DQ65" s="12"/>
    </row>
    <row r="66" spans="1:121" x14ac:dyDescent="0.2">
      <c r="A66" t="s">
        <v>1292</v>
      </c>
      <c r="B66" s="12">
        <f>P66+AF66+AV66+BL66+CB66+CR66</f>
        <v>0</v>
      </c>
      <c r="C66" s="12">
        <f t="shared" si="13"/>
        <v>0</v>
      </c>
      <c r="D66" s="12">
        <f t="shared" si="14"/>
        <v>0</v>
      </c>
      <c r="E66" s="12">
        <f t="shared" si="15"/>
        <v>0</v>
      </c>
      <c r="F66" s="12">
        <f t="shared" si="16"/>
        <v>0</v>
      </c>
      <c r="G66" s="12">
        <f>U66+AK66+BA66+BQ66+CG66+CW66</f>
        <v>0</v>
      </c>
      <c r="H66" s="12">
        <f t="shared" si="17"/>
        <v>0</v>
      </c>
      <c r="I66" s="12">
        <f>W66+AM66+BC66+BS66+CI66+CY66</f>
        <v>0</v>
      </c>
      <c r="J66" s="12">
        <f t="shared" si="18"/>
        <v>0</v>
      </c>
      <c r="P66" s="12" cm="1">
        <f t="array" ref="P66" xml:space="preserve"> _xlfn.SWITCH(P$5, 1, AA66, -1, AC66, 0)</f>
        <v>0</v>
      </c>
      <c r="Q66" s="12" cm="1">
        <f t="array" ref="Q66" xml:space="preserve"> _xlfn.SWITCH(Q$5, 1, AA66, -1, AC66, 0)</f>
        <v>0</v>
      </c>
      <c r="R66" s="12" cm="1">
        <f t="array" ref="R66" xml:space="preserve"> _xlfn.SWITCH(R$5, 1, AA66, -1, AC66, 0)</f>
        <v>0</v>
      </c>
      <c r="S66" s="12" cm="1">
        <f t="array" ref="S66" xml:space="preserve"> _xlfn.SWITCH(S$5, 1, AA66, -1, AC66, 0)</f>
        <v>0</v>
      </c>
      <c r="T66" s="12" cm="1">
        <f t="array" ref="T66" xml:space="preserve"> _xlfn.SWITCH(T$5, 1, AA66, -1, AC66, 0)</f>
        <v>0</v>
      </c>
      <c r="U66" s="12" cm="1">
        <f t="array" ref="U66" xml:space="preserve"> _xlfn.SWITCH(U$5, 1, AA66, -1, AC66, 0)</f>
        <v>0</v>
      </c>
      <c r="V66" s="12" cm="1">
        <f t="array" ref="V66" xml:space="preserve"> _xlfn.SWITCH(V$5, 1, AA66, -1, AC66, 0)</f>
        <v>0</v>
      </c>
      <c r="W66" s="12" cm="1">
        <f t="array" ref="W66" xml:space="preserve"> _xlfn.SWITCH(W$5, 1, AA66, -1, AC66, 0)</f>
        <v>0</v>
      </c>
      <c r="X66" s="12" cm="1">
        <f t="array" ref="X66" xml:space="preserve"> _xlfn.SWITCH(X$5, 1, AA66, -1, AC66, 0)</f>
        <v>0</v>
      </c>
      <c r="Z66" s="16" t="s">
        <v>1303</v>
      </c>
      <c r="AA66">
        <f>_xlfn.XLOOKUP(Z66,'KPI Impacts'!$B$2:$H$2,'KPI Impacts'!$B66:$H66)</f>
        <v>0</v>
      </c>
      <c r="AB66" s="16" t="s">
        <v>1303</v>
      </c>
      <c r="AC66">
        <f>_xlfn.XLOOKUP(AB66,'KPI Impacts'!$B$2:$H$2,'KPI Impacts'!$B66:$H66)</f>
        <v>0</v>
      </c>
      <c r="AF66" s="12" cm="1">
        <f t="array" ref="AF66" xml:space="preserve"> _xlfn.SWITCH(AF$5, 1, AQ66, -1, AS66, 0)</f>
        <v>0</v>
      </c>
      <c r="AG66" s="12" cm="1">
        <f t="array" ref="AG66" xml:space="preserve"> _xlfn.SWITCH(AG$5, 1, AQ66, -1, AS66, 0)</f>
        <v>0</v>
      </c>
      <c r="AH66" s="12" cm="1">
        <f t="array" ref="AH66" xml:space="preserve"> _xlfn.SWITCH(AH$5, 1, AQ66, -1, AS66, 0)</f>
        <v>0</v>
      </c>
      <c r="AI66" s="12" cm="1">
        <f t="array" ref="AI66" xml:space="preserve"> _xlfn.SWITCH(AI$5, 1, AQ66, -1, AS66, 0)</f>
        <v>0</v>
      </c>
      <c r="AJ66" s="12" cm="1">
        <f t="array" ref="AJ66" xml:space="preserve"> _xlfn.SWITCH(AJ$5, 1, AQ66, -1, AS66, 0)</f>
        <v>0</v>
      </c>
      <c r="AK66" s="12" cm="1">
        <f t="array" ref="AK66" xml:space="preserve"> _xlfn.SWITCH(AK$5, 1, AQ66, -1, AS66, 0)</f>
        <v>0</v>
      </c>
      <c r="AL66" s="12" cm="1">
        <f t="array" ref="AL66" xml:space="preserve"> _xlfn.SWITCH(AL$5, 1, AQ66, -1, AS66, 0)</f>
        <v>0</v>
      </c>
      <c r="AM66" s="12" cm="1">
        <f t="array" ref="AM66" xml:space="preserve"> _xlfn.SWITCH(AM$5, 1, AQ66, -1, AS66, 0)</f>
        <v>0</v>
      </c>
      <c r="AN66" s="12" cm="1">
        <f t="array" ref="AN66" xml:space="preserve"> _xlfn.SWITCH(AN$5, 1, AQ66, -1, AS66, 0)</f>
        <v>0</v>
      </c>
      <c r="AP66" s="29" t="s">
        <v>1304</v>
      </c>
      <c r="AQ66">
        <f>_xlfn.XLOOKUP(AP66,'KPI Impacts'!$B$2:$H$2,'KPI Impacts'!$B66:$H66)</f>
        <v>-1.6</v>
      </c>
      <c r="AR66" s="16" t="s">
        <v>1303</v>
      </c>
      <c r="AS66">
        <f>_xlfn.XLOOKUP(AR66,'KPI Impacts'!$B$2:$H$2,'KPI Impacts'!$B66:$H66)</f>
        <v>0</v>
      </c>
      <c r="AV66" s="12" cm="1">
        <f t="array" ref="AV66" xml:space="preserve"> _xlfn.SWITCH(AV$5, 1, BG66, -1, BI66, 0)</f>
        <v>0</v>
      </c>
      <c r="AW66" s="12" cm="1">
        <f t="array" ref="AW66" xml:space="preserve"> _xlfn.SWITCH(AW$5, 1, BG66, -1, BI66, 0)</f>
        <v>0</v>
      </c>
      <c r="AX66" s="12" cm="1">
        <f t="array" ref="AX66" xml:space="preserve"> _xlfn.SWITCH(AX$5, 1, BG66, -1, BI66, 0)</f>
        <v>0</v>
      </c>
      <c r="AY66" s="12" cm="1">
        <f t="array" ref="AY66" xml:space="preserve"> _xlfn.SWITCH(AY$5, 1, BG66, -1, BI66, 0)</f>
        <v>0</v>
      </c>
      <c r="AZ66" s="12" cm="1">
        <f t="array" ref="AZ66" xml:space="preserve"> _xlfn.SWITCH(AZ$5, 1, BG66, -1, BI66, 0)</f>
        <v>0</v>
      </c>
      <c r="BA66" s="12" cm="1">
        <f t="array" ref="BA66" xml:space="preserve"> _xlfn.SWITCH(BA$5, 1, BG66, -1, BI66, 0)</f>
        <v>0</v>
      </c>
      <c r="BB66" s="12" cm="1">
        <f t="array" ref="BB66" xml:space="preserve"> _xlfn.SWITCH(BB$5, 1, BG66, -1, BI66, 0)</f>
        <v>0</v>
      </c>
      <c r="BC66" s="12" cm="1">
        <f t="array" ref="BC66" xml:space="preserve"> _xlfn.SWITCH(BC$5, 1, BG66, -1, BI66, 0)</f>
        <v>0</v>
      </c>
      <c r="BD66" s="12" cm="1">
        <f t="array" ref="BD66" xml:space="preserve"> _xlfn.SWITCH(BD$5, 1, BG66, -1, BI66, 0)</f>
        <v>0</v>
      </c>
      <c r="BF66" s="16" t="s">
        <v>1303</v>
      </c>
      <c r="BG66">
        <f>_xlfn.XLOOKUP(BF66,'KPI Impacts'!$B$2:$H$2,'KPI Impacts'!$B66:$H66)</f>
        <v>0</v>
      </c>
      <c r="BH66" s="16" t="s">
        <v>1303</v>
      </c>
      <c r="BI66">
        <f>_xlfn.XLOOKUP(BH66,'KPI Impacts'!$B$2:$H$2,'KPI Impacts'!$B66:$H66)</f>
        <v>0</v>
      </c>
      <c r="BL66" s="12" cm="1">
        <f t="array" ref="BL66" xml:space="preserve"> _xlfn.SWITCH(BL$5, 1, BW66, -1, BY66, 0)</f>
        <v>0</v>
      </c>
      <c r="BM66" s="12" cm="1">
        <f t="array" ref="BM66" xml:space="preserve"> _xlfn.SWITCH(BM$5, 1, BW66, -1, BY66, 0)</f>
        <v>0</v>
      </c>
      <c r="BN66" s="12" cm="1">
        <f t="array" ref="BN66" xml:space="preserve"> _xlfn.SWITCH(BN$5, 1, BW66, -1, BY66, 0)</f>
        <v>0</v>
      </c>
      <c r="BO66" s="12" cm="1">
        <f t="array" ref="BO66" xml:space="preserve"> _xlfn.SWITCH(BO$5, 1, BW66, -1, BY66, 0)</f>
        <v>0</v>
      </c>
      <c r="BP66" s="12" cm="1">
        <f t="array" ref="BP66" xml:space="preserve"> _xlfn.SWITCH(BP$5, 1, BW66, -1, BY66, 0)</f>
        <v>0</v>
      </c>
      <c r="BQ66" s="12" cm="1">
        <f t="array" ref="BQ66" xml:space="preserve"> _xlfn.SWITCH(BQ$5, 1, BW66, -1, BY66, 0)</f>
        <v>0</v>
      </c>
      <c r="BR66" s="12" cm="1">
        <f t="array" ref="BR66" xml:space="preserve"> _xlfn.SWITCH(BR$5, 1, BW66, -1, BY66, 0)</f>
        <v>0</v>
      </c>
      <c r="BS66" s="12" cm="1">
        <f t="array" ref="BS66" xml:space="preserve"> _xlfn.SWITCH(BS$5, 1, BW66, -1, BY66, 0)</f>
        <v>0</v>
      </c>
      <c r="BT66" s="12" cm="1">
        <f t="array" ref="BT66" xml:space="preserve"> _xlfn.SWITCH(BT$5, 1, BW66, -1, BY66, 0)</f>
        <v>0</v>
      </c>
      <c r="BV66" s="29" t="s">
        <v>1304</v>
      </c>
      <c r="BW66">
        <f>_xlfn.XLOOKUP(BV66,'KPI Impacts'!$B$2:$H$2,'KPI Impacts'!$B66:$H66)</f>
        <v>-1.6</v>
      </c>
      <c r="BX66" s="16" t="s">
        <v>1303</v>
      </c>
      <c r="BY66">
        <f>_xlfn.XLOOKUP(BX66,'KPI Impacts'!$B$2:$H$2,'KPI Impacts'!$B66:$H66)</f>
        <v>0</v>
      </c>
      <c r="CB66" s="12" cm="1">
        <f t="array" ref="CB66" xml:space="preserve"> _xlfn.SWITCH(CB$5, 1, CM66, -1, CO66, 0)</f>
        <v>0</v>
      </c>
      <c r="CC66" s="12" cm="1">
        <f t="array" ref="CC66" xml:space="preserve"> _xlfn.SWITCH(CC$5, 1, CM66, -1, CO66, 0)</f>
        <v>0</v>
      </c>
      <c r="CD66" s="12" cm="1">
        <f t="array" ref="CD66" xml:space="preserve"> _xlfn.SWITCH(CD$5, 1, CM66, -1, CO66, 0)</f>
        <v>0</v>
      </c>
      <c r="CE66" s="12" cm="1">
        <f t="array" ref="CE66" xml:space="preserve"> _xlfn.SWITCH(CE$5, 1, CM66, -1, CO66, 0)</f>
        <v>0</v>
      </c>
      <c r="CF66" s="12" cm="1">
        <f t="array" ref="CF66" xml:space="preserve"> _xlfn.SWITCH(CF$5, 1, CM66, -1, CO66, 0)</f>
        <v>0</v>
      </c>
      <c r="CG66" s="12" cm="1">
        <f t="array" ref="CG66" xml:space="preserve"> _xlfn.SWITCH(CG$5, 1, CM66, -1, CO66, 0)</f>
        <v>0</v>
      </c>
      <c r="CH66" s="12" cm="1">
        <f t="array" ref="CH66" xml:space="preserve"> _xlfn.SWITCH(CH$5, 1, CM66, -1, CO66, 0)</f>
        <v>0</v>
      </c>
      <c r="CI66" s="12" cm="1">
        <f t="array" ref="CI66" xml:space="preserve"> _xlfn.SWITCH(CI$5, 1, CM66, -1, CO66, 0)</f>
        <v>0</v>
      </c>
      <c r="CJ66" s="12" cm="1">
        <f t="array" ref="CJ66" xml:space="preserve"> _xlfn.SWITCH(CJ$5, 1, CM66, -1, CO66, 0)</f>
        <v>0</v>
      </c>
      <c r="CL66" s="16" t="s">
        <v>1303</v>
      </c>
      <c r="CM66">
        <f>_xlfn.XLOOKUP(CL66,'KPI Impacts'!$B$2:$H$2,'KPI Impacts'!$B66:$H66)</f>
        <v>0</v>
      </c>
      <c r="CN66" s="16" t="s">
        <v>1303</v>
      </c>
      <c r="CO66">
        <f>_xlfn.XLOOKUP(CN66,'KPI Impacts'!$B$2:$H$2,'KPI Impacts'!$B66:$H66)</f>
        <v>0</v>
      </c>
      <c r="CR66" s="12" cm="1">
        <f t="array" ref="CR66" xml:space="preserve"> _xlfn.SWITCH(CR$5, 1, DC66, -1, DE66, 0)</f>
        <v>0</v>
      </c>
      <c r="CS66" s="12" cm="1">
        <f t="array" ref="CS66" xml:space="preserve"> _xlfn.SWITCH(CS$5, 1, DC66, -1, DE66, 0)</f>
        <v>0</v>
      </c>
      <c r="CT66" s="12" cm="1">
        <f t="array" ref="CT66" xml:space="preserve"> _xlfn.SWITCH(CT$5, 1, DC66, -1, DE66, 0)</f>
        <v>0</v>
      </c>
      <c r="CU66" s="12" cm="1">
        <f t="array" ref="CU66" xml:space="preserve"> _xlfn.SWITCH(CU$5, 1, DC66, -1, DE66, 0)</f>
        <v>0</v>
      </c>
      <c r="CV66" s="12" cm="1">
        <f t="array" ref="CV66" xml:space="preserve"> _xlfn.SWITCH(CV$5, 1, DC66, -1, DE66, 0)</f>
        <v>0</v>
      </c>
      <c r="CW66" s="12" cm="1">
        <f t="array" ref="CW66" xml:space="preserve"> _xlfn.SWITCH(CW$5, 1, DC66, -1, DE66, 0)</f>
        <v>0</v>
      </c>
      <c r="CX66" s="12" cm="1">
        <f t="array" ref="CX66" xml:space="preserve"> _xlfn.SWITCH(CX$5, 1, DC66, -1, DE66, 0)</f>
        <v>0</v>
      </c>
      <c r="CY66" s="12" cm="1">
        <f t="array" ref="CY66" xml:space="preserve"> _xlfn.SWITCH(CY$5, 1, DC66, -1, DE66, 0)</f>
        <v>0</v>
      </c>
      <c r="CZ66" s="12" cm="1">
        <f t="array" ref="CZ66" xml:space="preserve"> _xlfn.SWITCH(CZ$5, 1, DC66, -1, DE66, 0)</f>
        <v>0</v>
      </c>
      <c r="DB66" s="16" t="s">
        <v>1303</v>
      </c>
      <c r="DC66">
        <f>_xlfn.XLOOKUP(DB66,'KPI Impacts'!$B$2:$H$2,'KPI Impacts'!$B66:$H66)</f>
        <v>0</v>
      </c>
      <c r="DD66" s="16" t="s">
        <v>1303</v>
      </c>
      <c r="DE66">
        <f>_xlfn.XLOOKUP(DD66,'KPI Impacts'!$B$2:$H$2,'KPI Impacts'!$B66:$H66)</f>
        <v>0</v>
      </c>
      <c r="DI66" s="12"/>
      <c r="DJ66" s="12"/>
      <c r="DK66" s="12"/>
      <c r="DL66" s="12"/>
      <c r="DM66" s="12"/>
      <c r="DN66" s="12"/>
      <c r="DO66" s="12"/>
      <c r="DP66" s="12"/>
      <c r="DQ66" s="12"/>
    </row>
    <row r="67" spans="1:121" x14ac:dyDescent="0.2">
      <c r="A67" t="s">
        <v>48</v>
      </c>
      <c r="B67" s="12">
        <f>P67+AF67+AV67+BL67+CB67+CR67</f>
        <v>0</v>
      </c>
      <c r="C67" s="12">
        <f t="shared" si="13"/>
        <v>0</v>
      </c>
      <c r="D67" s="12">
        <f t="shared" si="14"/>
        <v>-1.6</v>
      </c>
      <c r="E67" s="12">
        <f t="shared" si="15"/>
        <v>-1.6</v>
      </c>
      <c r="F67" s="12">
        <f t="shared" si="16"/>
        <v>-1.6</v>
      </c>
      <c r="G67" s="12">
        <f>U67+AK67+BA67+BQ67+CG67+CW67</f>
        <v>-1.6</v>
      </c>
      <c r="H67" s="12">
        <f t="shared" si="17"/>
        <v>-3.2</v>
      </c>
      <c r="I67" s="12">
        <f>W67+AM67+BC67+BS67+CI67+CY67</f>
        <v>-3.2</v>
      </c>
      <c r="J67" s="12">
        <f t="shared" si="18"/>
        <v>-3.2</v>
      </c>
      <c r="P67" s="12" cm="1">
        <f t="array" ref="P67" xml:space="preserve"> _xlfn.SWITCH(P$5, 1, AA67, -1, AC67, 0)</f>
        <v>0</v>
      </c>
      <c r="Q67" s="12" cm="1">
        <f t="array" ref="Q67" xml:space="preserve"> _xlfn.SWITCH(Q$5, 1, AA67, -1, AC67, 0)</f>
        <v>0</v>
      </c>
      <c r="R67" s="12" cm="1">
        <f t="array" ref="R67" xml:space="preserve"> _xlfn.SWITCH(R$5, 1, AA67, -1, AC67, 0)</f>
        <v>0</v>
      </c>
      <c r="S67" s="12" cm="1">
        <f t="array" ref="S67" xml:space="preserve"> _xlfn.SWITCH(S$5, 1, AA67, -1, AC67, 0)</f>
        <v>0</v>
      </c>
      <c r="T67" s="12" cm="1">
        <f t="array" ref="T67" xml:space="preserve"> _xlfn.SWITCH(T$5, 1, AA67, -1, AC67, 0)</f>
        <v>0</v>
      </c>
      <c r="U67" s="12" cm="1">
        <f t="array" ref="U67" xml:space="preserve"> _xlfn.SWITCH(U$5, 1, AA67, -1, AC67, 0)</f>
        <v>0</v>
      </c>
      <c r="V67" s="12" cm="1">
        <f t="array" ref="V67" xml:space="preserve"> _xlfn.SWITCH(V$5, 1, AA67, -1, AC67, 0)</f>
        <v>0</v>
      </c>
      <c r="W67" s="12" cm="1">
        <f t="array" ref="W67" xml:space="preserve"> _xlfn.SWITCH(W$5, 1, AA67, -1, AC67, 0)</f>
        <v>0</v>
      </c>
      <c r="X67" s="12" cm="1">
        <f t="array" ref="X67" xml:space="preserve"> _xlfn.SWITCH(X$5, 1, AA67, -1, AC67, 0)</f>
        <v>0</v>
      </c>
      <c r="Z67" s="16" t="s">
        <v>1303</v>
      </c>
      <c r="AA67">
        <f>_xlfn.XLOOKUP(Z67,'KPI Impacts'!$B$2:$H$2,'KPI Impacts'!$B67:$H67)</f>
        <v>0</v>
      </c>
      <c r="AB67" s="16" t="s">
        <v>1303</v>
      </c>
      <c r="AC67">
        <f>_xlfn.XLOOKUP(AB67,'KPI Impacts'!$B$2:$H$2,'KPI Impacts'!$B67:$H67)</f>
        <v>0</v>
      </c>
      <c r="AF67" s="12" cm="1">
        <f t="array" ref="AF67" xml:space="preserve"> _xlfn.SWITCH(AF$5, 1, AQ67, -1, AS67, 0)</f>
        <v>0</v>
      </c>
      <c r="AG67" s="12" cm="1">
        <f t="array" ref="AG67" xml:space="preserve"> _xlfn.SWITCH(AG$5, 1, AQ67, -1, AS67, 0)</f>
        <v>0</v>
      </c>
      <c r="AH67" s="12" cm="1">
        <f t="array" ref="AH67" xml:space="preserve"> _xlfn.SWITCH(AH$5, 1, AQ67, -1, AS67, 0)</f>
        <v>-1.6</v>
      </c>
      <c r="AI67" s="12" cm="1">
        <f t="array" ref="AI67" xml:space="preserve"> _xlfn.SWITCH(AI$5, 1, AQ67, -1, AS67, 0)</f>
        <v>-1.6</v>
      </c>
      <c r="AJ67" s="12" cm="1">
        <f t="array" ref="AJ67" xml:space="preserve"> _xlfn.SWITCH(AJ$5, 1, AQ67, -1, AS67, 0)</f>
        <v>-1.6</v>
      </c>
      <c r="AK67" s="12" cm="1">
        <f t="array" ref="AK67" xml:space="preserve"> _xlfn.SWITCH(AK$5, 1, AQ67, -1, AS67, 0)</f>
        <v>-1.6</v>
      </c>
      <c r="AL67" s="12" cm="1">
        <f t="array" ref="AL67" xml:space="preserve"> _xlfn.SWITCH(AL$5, 1, AQ67, -1, AS67, 0)</f>
        <v>-1.6</v>
      </c>
      <c r="AM67" s="12" cm="1">
        <f t="array" ref="AM67" xml:space="preserve"> _xlfn.SWITCH(AM$5, 1, AQ67, -1, AS67, 0)</f>
        <v>-1.6</v>
      </c>
      <c r="AN67" s="12" cm="1">
        <f t="array" ref="AN67" xml:space="preserve"> _xlfn.SWITCH(AN$5, 1, AQ67, -1, AS67, 0)</f>
        <v>-1.6</v>
      </c>
      <c r="AP67" s="29" t="s">
        <v>1304</v>
      </c>
      <c r="AQ67">
        <f>_xlfn.XLOOKUP(AP67,'KPI Impacts'!$B$2:$H$2,'KPI Impacts'!$B67:$H67)</f>
        <v>-1.6</v>
      </c>
      <c r="AR67" s="29" t="s">
        <v>1304</v>
      </c>
      <c r="AS67">
        <f>_xlfn.XLOOKUP(AR67,'KPI Impacts'!$B$2:$H$2,'KPI Impacts'!$B67:$H67)</f>
        <v>-1.6</v>
      </c>
      <c r="AV67" s="12" cm="1">
        <f t="array" ref="AV67" xml:space="preserve"> _xlfn.SWITCH(AV$5, 1, BG67, -1, BI67, 0)</f>
        <v>0</v>
      </c>
      <c r="AW67" s="12" cm="1">
        <f t="array" ref="AW67" xml:space="preserve"> _xlfn.SWITCH(AW$5, 1, BG67, -1, BI67, 0)</f>
        <v>0</v>
      </c>
      <c r="AX67" s="12" cm="1">
        <f t="array" ref="AX67" xml:space="preserve"> _xlfn.SWITCH(AX$5, 1, BG67, -1, BI67, 0)</f>
        <v>0</v>
      </c>
      <c r="AY67" s="12" cm="1">
        <f t="array" ref="AY67" xml:space="preserve"> _xlfn.SWITCH(AY$5, 1, BG67, -1, BI67, 0)</f>
        <v>0</v>
      </c>
      <c r="AZ67" s="12" cm="1">
        <f t="array" ref="AZ67" xml:space="preserve"> _xlfn.SWITCH(AZ$5, 1, BG67, -1, BI67, 0)</f>
        <v>0</v>
      </c>
      <c r="BA67" s="12" cm="1">
        <f t="array" ref="BA67" xml:space="preserve"> _xlfn.SWITCH(BA$5, 1, BG67, -1, BI67, 0)</f>
        <v>0</v>
      </c>
      <c r="BB67" s="12" cm="1">
        <f t="array" ref="BB67" xml:space="preserve"> _xlfn.SWITCH(BB$5, 1, BG67, -1, BI67, 0)</f>
        <v>0</v>
      </c>
      <c r="BC67" s="12" cm="1">
        <f t="array" ref="BC67" xml:space="preserve"> _xlfn.SWITCH(BC$5, 1, BG67, -1, BI67, 0)</f>
        <v>0</v>
      </c>
      <c r="BD67" s="12" cm="1">
        <f t="array" ref="BD67" xml:space="preserve"> _xlfn.SWITCH(BD$5, 1, BG67, -1, BI67, 0)</f>
        <v>0</v>
      </c>
      <c r="BF67" s="16" t="s">
        <v>1303</v>
      </c>
      <c r="BG67">
        <f>_xlfn.XLOOKUP(BF67,'KPI Impacts'!$B$2:$H$2,'KPI Impacts'!$B67:$H67)</f>
        <v>0</v>
      </c>
      <c r="BH67" s="16" t="s">
        <v>1303</v>
      </c>
      <c r="BI67">
        <f>_xlfn.XLOOKUP(BH67,'KPI Impacts'!$B$2:$H$2,'KPI Impacts'!$B67:$H67)</f>
        <v>0</v>
      </c>
      <c r="BL67" s="12" cm="1">
        <f t="array" ref="BL67" xml:space="preserve"> _xlfn.SWITCH(BL$5, 1, BW67, -1, BY67, 0)</f>
        <v>0</v>
      </c>
      <c r="BM67" s="12" cm="1">
        <f t="array" ref="BM67" xml:space="preserve"> _xlfn.SWITCH(BM$5, 1, BW67, -1, BY67, 0)</f>
        <v>0</v>
      </c>
      <c r="BN67" s="12" cm="1">
        <f t="array" ref="BN67" xml:space="preserve"> _xlfn.SWITCH(BN$5, 1, BW67, -1, BY67, 0)</f>
        <v>0</v>
      </c>
      <c r="BO67" s="12" cm="1">
        <f t="array" ref="BO67" xml:space="preserve"> _xlfn.SWITCH(BO$5, 1, BW67, -1, BY67, 0)</f>
        <v>0</v>
      </c>
      <c r="BP67" s="12" cm="1">
        <f t="array" ref="BP67" xml:space="preserve"> _xlfn.SWITCH(BP$5, 1, BW67, -1, BY67, 0)</f>
        <v>0</v>
      </c>
      <c r="BQ67" s="12" cm="1">
        <f t="array" ref="BQ67" xml:space="preserve"> _xlfn.SWITCH(BQ$5, 1, BW67, -1, BY67, 0)</f>
        <v>0</v>
      </c>
      <c r="BR67" s="12" cm="1">
        <f t="array" ref="BR67" xml:space="preserve"> _xlfn.SWITCH(BR$5, 1, BW67, -1, BY67, 0)</f>
        <v>0</v>
      </c>
      <c r="BS67" s="12" cm="1">
        <f t="array" ref="BS67" xml:space="preserve"> _xlfn.SWITCH(BS$5, 1, BW67, -1, BY67, 0)</f>
        <v>0</v>
      </c>
      <c r="BT67" s="12" cm="1">
        <f t="array" ref="BT67" xml:space="preserve"> _xlfn.SWITCH(BT$5, 1, BW67, -1, BY67, 0)</f>
        <v>0</v>
      </c>
      <c r="BV67" s="29" t="s">
        <v>1304</v>
      </c>
      <c r="BW67">
        <f>_xlfn.XLOOKUP(BV67,'KPI Impacts'!$B$2:$H$2,'KPI Impacts'!$B67:$H67)</f>
        <v>-1.6</v>
      </c>
      <c r="BX67" s="16" t="s">
        <v>1303</v>
      </c>
      <c r="BY67">
        <f>_xlfn.XLOOKUP(BX67,'KPI Impacts'!$B$2:$H$2,'KPI Impacts'!$B67:$H67)</f>
        <v>0</v>
      </c>
      <c r="CB67" s="12" cm="1">
        <f t="array" ref="CB67" xml:space="preserve"> _xlfn.SWITCH(CB$5, 1, CM67, -1, CO67, 0)</f>
        <v>0</v>
      </c>
      <c r="CC67" s="12" cm="1">
        <f t="array" ref="CC67" xml:space="preserve"> _xlfn.SWITCH(CC$5, 1, CM67, -1, CO67, 0)</f>
        <v>0</v>
      </c>
      <c r="CD67" s="12" cm="1">
        <f t="array" ref="CD67" xml:space="preserve"> _xlfn.SWITCH(CD$5, 1, CM67, -1, CO67, 0)</f>
        <v>0</v>
      </c>
      <c r="CE67" s="12" cm="1">
        <f t="array" ref="CE67" xml:space="preserve"> _xlfn.SWITCH(CE$5, 1, CM67, -1, CO67, 0)</f>
        <v>0</v>
      </c>
      <c r="CF67" s="12" cm="1">
        <f t="array" ref="CF67" xml:space="preserve"> _xlfn.SWITCH(CF$5, 1, CM67, -1, CO67, 0)</f>
        <v>0</v>
      </c>
      <c r="CG67" s="12" cm="1">
        <f t="array" ref="CG67" xml:space="preserve"> _xlfn.SWITCH(CG$5, 1, CM67, -1, CO67, 0)</f>
        <v>0</v>
      </c>
      <c r="CH67" s="12" cm="1">
        <f t="array" ref="CH67" xml:space="preserve"> _xlfn.SWITCH(CH$5, 1, CM67, -1, CO67, 0)</f>
        <v>0</v>
      </c>
      <c r="CI67" s="12" cm="1">
        <f t="array" ref="CI67" xml:space="preserve"> _xlfn.SWITCH(CI$5, 1, CM67, -1, CO67, 0)</f>
        <v>0</v>
      </c>
      <c r="CJ67" s="12" cm="1">
        <f t="array" ref="CJ67" xml:space="preserve"> _xlfn.SWITCH(CJ$5, 1, CM67, -1, CO67, 0)</f>
        <v>0</v>
      </c>
      <c r="CL67" s="29" t="s">
        <v>1304</v>
      </c>
      <c r="CM67">
        <f>_xlfn.XLOOKUP(CL67,'KPI Impacts'!$B$2:$H$2,'KPI Impacts'!$B67:$H67)</f>
        <v>-1.6</v>
      </c>
      <c r="CN67" s="16" t="s">
        <v>1303</v>
      </c>
      <c r="CO67">
        <f>_xlfn.XLOOKUP(CN67,'KPI Impacts'!$B$2:$H$2,'KPI Impacts'!$B67:$H67)</f>
        <v>0</v>
      </c>
      <c r="CR67" s="12" cm="1">
        <f t="array" ref="CR67" xml:space="preserve"> _xlfn.SWITCH(CR$5, 1, DC67, -1, DE67, 0)</f>
        <v>0</v>
      </c>
      <c r="CS67" s="12" cm="1">
        <f t="array" ref="CS67" xml:space="preserve"> _xlfn.SWITCH(CS$5, 1, DC67, -1, DE67, 0)</f>
        <v>0</v>
      </c>
      <c r="CT67" s="12" cm="1">
        <f t="array" ref="CT67" xml:space="preserve"> _xlfn.SWITCH(CT$5, 1, DC67, -1, DE67, 0)</f>
        <v>0</v>
      </c>
      <c r="CU67" s="12" cm="1">
        <f t="array" ref="CU67" xml:space="preserve"> _xlfn.SWITCH(CU$5, 1, DC67, -1, DE67, 0)</f>
        <v>0</v>
      </c>
      <c r="CV67" s="12" cm="1">
        <f t="array" ref="CV67" xml:space="preserve"> _xlfn.SWITCH(CV$5, 1, DC67, -1, DE67, 0)</f>
        <v>0</v>
      </c>
      <c r="CW67" s="12" cm="1">
        <f t="array" ref="CW67" xml:space="preserve"> _xlfn.SWITCH(CW$5, 1, DC67, -1, DE67, 0)</f>
        <v>0</v>
      </c>
      <c r="CX67" s="12" cm="1">
        <f t="array" ref="CX67" xml:space="preserve"> _xlfn.SWITCH(CX$5, 1, DC67, -1, DE67, 0)</f>
        <v>-1.6</v>
      </c>
      <c r="CY67" s="12" cm="1">
        <f t="array" ref="CY67" xml:space="preserve"> _xlfn.SWITCH(CY$5, 1, DC67, -1, DE67, 0)</f>
        <v>-1.6</v>
      </c>
      <c r="CZ67" s="12" cm="1">
        <f t="array" ref="CZ67" xml:space="preserve"> _xlfn.SWITCH(CZ$5, 1, DC67, -1, DE67, 0)</f>
        <v>-1.6</v>
      </c>
      <c r="DB67" s="16" t="s">
        <v>1303</v>
      </c>
      <c r="DC67">
        <f>_xlfn.XLOOKUP(DB67,'KPI Impacts'!$B$2:$H$2,'KPI Impacts'!$B67:$H67)</f>
        <v>0</v>
      </c>
      <c r="DD67" s="29" t="s">
        <v>1304</v>
      </c>
      <c r="DE67">
        <f>_xlfn.XLOOKUP(DD67,'KPI Impacts'!$B$2:$H$2,'KPI Impacts'!$B67:$H67)</f>
        <v>-1.6</v>
      </c>
      <c r="DI67" s="12"/>
      <c r="DJ67" s="12"/>
      <c r="DK67" s="12"/>
      <c r="DL67" s="12"/>
      <c r="DM67" s="12"/>
      <c r="DN67" s="12"/>
      <c r="DO67" s="12"/>
      <c r="DP67" s="12"/>
      <c r="DQ67" s="12"/>
    </row>
    <row r="68" spans="1:121" x14ac:dyDescent="0.2">
      <c r="A68" t="s">
        <v>49</v>
      </c>
      <c r="B68" s="12">
        <f>P68+AF68+AV68+BL68+CB68+CR68</f>
        <v>0</v>
      </c>
      <c r="C68" s="12">
        <f t="shared" si="13"/>
        <v>0</v>
      </c>
      <c r="D68" s="12">
        <f t="shared" si="14"/>
        <v>0</v>
      </c>
      <c r="E68" s="12">
        <f t="shared" si="15"/>
        <v>0</v>
      </c>
      <c r="F68" s="12">
        <f t="shared" si="16"/>
        <v>0</v>
      </c>
      <c r="G68" s="12">
        <f>U68+AK68+BA68+BQ68+CG68+CW68</f>
        <v>0</v>
      </c>
      <c r="H68" s="12">
        <f t="shared" si="17"/>
        <v>0</v>
      </c>
      <c r="I68" s="12">
        <f>W68+AM68+BC68+BS68+CI68+CY68</f>
        <v>0</v>
      </c>
      <c r="J68" s="12">
        <f t="shared" si="18"/>
        <v>0</v>
      </c>
      <c r="P68" s="12" cm="1">
        <f t="array" ref="P68" xml:space="preserve"> _xlfn.SWITCH(P$5, 1, AA68, -1, AC68, 0)</f>
        <v>0</v>
      </c>
      <c r="Q68" s="12" cm="1">
        <f t="array" ref="Q68" xml:space="preserve"> _xlfn.SWITCH(Q$5, 1, AA68, -1, AC68, 0)</f>
        <v>0</v>
      </c>
      <c r="R68" s="12" cm="1">
        <f t="array" ref="R68" xml:space="preserve"> _xlfn.SWITCH(R$5, 1, AA68, -1, AC68, 0)</f>
        <v>0</v>
      </c>
      <c r="S68" s="12" cm="1">
        <f t="array" ref="S68" xml:space="preserve"> _xlfn.SWITCH(S$5, 1, AA68, -1, AC68, 0)</f>
        <v>0</v>
      </c>
      <c r="T68" s="12" cm="1">
        <f t="array" ref="T68" xml:space="preserve"> _xlfn.SWITCH(T$5, 1, AA68, -1, AC68, 0)</f>
        <v>0</v>
      </c>
      <c r="U68" s="12" cm="1">
        <f t="array" ref="U68" xml:space="preserve"> _xlfn.SWITCH(U$5, 1, AA68, -1, AC68, 0)</f>
        <v>0</v>
      </c>
      <c r="V68" s="12" cm="1">
        <f t="array" ref="V68" xml:space="preserve"> _xlfn.SWITCH(V$5, 1, AA68, -1, AC68, 0)</f>
        <v>0</v>
      </c>
      <c r="W68" s="12" cm="1">
        <f t="array" ref="W68" xml:space="preserve"> _xlfn.SWITCH(W$5, 1, AA68, -1, AC68, 0)</f>
        <v>0</v>
      </c>
      <c r="X68" s="12" cm="1">
        <f t="array" ref="X68" xml:space="preserve"> _xlfn.SWITCH(X$5, 1, AA68, -1, AC68, 0)</f>
        <v>0</v>
      </c>
      <c r="Z68" s="16" t="s">
        <v>1303</v>
      </c>
      <c r="AA68">
        <f>_xlfn.XLOOKUP(Z68,'KPI Impacts'!$B$2:$H$2,'KPI Impacts'!$B68:$H68)</f>
        <v>0</v>
      </c>
      <c r="AB68" s="16" t="s">
        <v>1303</v>
      </c>
      <c r="AC68">
        <f>_xlfn.XLOOKUP(AB68,'KPI Impacts'!$B$2:$H$2,'KPI Impacts'!$B68:$H68)</f>
        <v>0</v>
      </c>
      <c r="AF68" s="12" cm="1">
        <f t="array" ref="AF68" xml:space="preserve"> _xlfn.SWITCH(AF$5, 1, AQ68, -1, AS68, 0)</f>
        <v>0</v>
      </c>
      <c r="AG68" s="12" cm="1">
        <f t="array" ref="AG68" xml:space="preserve"> _xlfn.SWITCH(AG$5, 1, AQ68, -1, AS68, 0)</f>
        <v>0</v>
      </c>
      <c r="AH68" s="12" cm="1">
        <f t="array" ref="AH68" xml:space="preserve"> _xlfn.SWITCH(AH$5, 1, AQ68, -1, AS68, 0)</f>
        <v>0</v>
      </c>
      <c r="AI68" s="12" cm="1">
        <f t="array" ref="AI68" xml:space="preserve"> _xlfn.SWITCH(AI$5, 1, AQ68, -1, AS68, 0)</f>
        <v>0</v>
      </c>
      <c r="AJ68" s="12" cm="1">
        <f t="array" ref="AJ68" xml:space="preserve"> _xlfn.SWITCH(AJ$5, 1, AQ68, -1, AS68, 0)</f>
        <v>0</v>
      </c>
      <c r="AK68" s="12" cm="1">
        <f t="array" ref="AK68" xml:space="preserve"> _xlfn.SWITCH(AK$5, 1, AQ68, -1, AS68, 0)</f>
        <v>0</v>
      </c>
      <c r="AL68" s="12" cm="1">
        <f t="array" ref="AL68" xml:space="preserve"> _xlfn.SWITCH(AL$5, 1, AQ68, -1, AS68, 0)</f>
        <v>0</v>
      </c>
      <c r="AM68" s="12" cm="1">
        <f t="array" ref="AM68" xml:space="preserve"> _xlfn.SWITCH(AM$5, 1, AQ68, -1, AS68, 0)</f>
        <v>0</v>
      </c>
      <c r="AN68" s="12" cm="1">
        <f t="array" ref="AN68" xml:space="preserve"> _xlfn.SWITCH(AN$5, 1, AQ68, -1, AS68, 0)</f>
        <v>0</v>
      </c>
      <c r="AP68" s="30" t="s">
        <v>1307</v>
      </c>
      <c r="AQ68">
        <f>_xlfn.XLOOKUP(AP68,'KPI Impacts'!$B$2:$H$2,'KPI Impacts'!$B68:$H68)</f>
        <v>2</v>
      </c>
      <c r="AR68" s="16" t="s">
        <v>1303</v>
      </c>
      <c r="AS68">
        <f>_xlfn.XLOOKUP(AR68,'KPI Impacts'!$B$2:$H$2,'KPI Impacts'!$B68:$H68)</f>
        <v>0</v>
      </c>
      <c r="AV68" s="12" cm="1">
        <f t="array" ref="AV68" xml:space="preserve"> _xlfn.SWITCH(AV$5, 1, BG68, -1, BI68, 0)</f>
        <v>0</v>
      </c>
      <c r="AW68" s="12" cm="1">
        <f t="array" ref="AW68" xml:space="preserve"> _xlfn.SWITCH(AW$5, 1, BG68, -1, BI68, 0)</f>
        <v>0</v>
      </c>
      <c r="AX68" s="12" cm="1">
        <f t="array" ref="AX68" xml:space="preserve"> _xlfn.SWITCH(AX$5, 1, BG68, -1, BI68, 0)</f>
        <v>0</v>
      </c>
      <c r="AY68" s="12" cm="1">
        <f t="array" ref="AY68" xml:space="preserve"> _xlfn.SWITCH(AY$5, 1, BG68, -1, BI68, 0)</f>
        <v>0</v>
      </c>
      <c r="AZ68" s="12" cm="1">
        <f t="array" ref="AZ68" xml:space="preserve"> _xlfn.SWITCH(AZ$5, 1, BG68, -1, BI68, 0)</f>
        <v>0</v>
      </c>
      <c r="BA68" s="12" cm="1">
        <f t="array" ref="BA68" xml:space="preserve"> _xlfn.SWITCH(BA$5, 1, BG68, -1, BI68, 0)</f>
        <v>0</v>
      </c>
      <c r="BB68" s="12" cm="1">
        <f t="array" ref="BB68" xml:space="preserve"> _xlfn.SWITCH(BB$5, 1, BG68, -1, BI68, 0)</f>
        <v>0</v>
      </c>
      <c r="BC68" s="12" cm="1">
        <f t="array" ref="BC68" xml:space="preserve"> _xlfn.SWITCH(BC$5, 1, BG68, -1, BI68, 0)</f>
        <v>0</v>
      </c>
      <c r="BD68" s="12" cm="1">
        <f t="array" ref="BD68" xml:space="preserve"> _xlfn.SWITCH(BD$5, 1, BG68, -1, BI68, 0)</f>
        <v>0</v>
      </c>
      <c r="BF68" s="16" t="s">
        <v>1303</v>
      </c>
      <c r="BG68">
        <f>_xlfn.XLOOKUP(BF68,'KPI Impacts'!$B$2:$H$2,'KPI Impacts'!$B68:$H68)</f>
        <v>0</v>
      </c>
      <c r="BH68" s="16" t="s">
        <v>1303</v>
      </c>
      <c r="BI68">
        <f>_xlfn.XLOOKUP(BH68,'KPI Impacts'!$B$2:$H$2,'KPI Impacts'!$B68:$H68)</f>
        <v>0</v>
      </c>
      <c r="BL68" s="12" cm="1">
        <f t="array" ref="BL68" xml:space="preserve"> _xlfn.SWITCH(BL$5, 1, BW68, -1, BY68, 0)</f>
        <v>0</v>
      </c>
      <c r="BM68" s="12" cm="1">
        <f t="array" ref="BM68" xml:space="preserve"> _xlfn.SWITCH(BM$5, 1, BW68, -1, BY68, 0)</f>
        <v>0</v>
      </c>
      <c r="BN68" s="12" cm="1">
        <f t="array" ref="BN68" xml:space="preserve"> _xlfn.SWITCH(BN$5, 1, BW68, -1, BY68, 0)</f>
        <v>0</v>
      </c>
      <c r="BO68" s="12" cm="1">
        <f t="array" ref="BO68" xml:space="preserve"> _xlfn.SWITCH(BO$5, 1, BW68, -1, BY68, 0)</f>
        <v>0</v>
      </c>
      <c r="BP68" s="12" cm="1">
        <f t="array" ref="BP68" xml:space="preserve"> _xlfn.SWITCH(BP$5, 1, BW68, -1, BY68, 0)</f>
        <v>0</v>
      </c>
      <c r="BQ68" s="12" cm="1">
        <f t="array" ref="BQ68" xml:space="preserve"> _xlfn.SWITCH(BQ$5, 1, BW68, -1, BY68, 0)</f>
        <v>0</v>
      </c>
      <c r="BR68" s="12" cm="1">
        <f t="array" ref="BR68" xml:space="preserve"> _xlfn.SWITCH(BR$5, 1, BW68, -1, BY68, 0)</f>
        <v>0</v>
      </c>
      <c r="BS68" s="12" cm="1">
        <f t="array" ref="BS68" xml:space="preserve"> _xlfn.SWITCH(BS$5, 1, BW68, -1, BY68, 0)</f>
        <v>0</v>
      </c>
      <c r="BT68" s="12" cm="1">
        <f t="array" ref="BT68" xml:space="preserve"> _xlfn.SWITCH(BT$5, 1, BW68, -1, BY68, 0)</f>
        <v>0</v>
      </c>
      <c r="BV68" s="29" t="s">
        <v>1304</v>
      </c>
      <c r="BW68">
        <f>_xlfn.XLOOKUP(BV68,'KPI Impacts'!$B$2:$H$2,'KPI Impacts'!$B68:$H68)</f>
        <v>-1.6</v>
      </c>
      <c r="BX68" s="16" t="s">
        <v>1303</v>
      </c>
      <c r="BY68">
        <f>_xlfn.XLOOKUP(BX68,'KPI Impacts'!$B$2:$H$2,'KPI Impacts'!$B68:$H68)</f>
        <v>0</v>
      </c>
      <c r="CB68" s="12" cm="1">
        <f t="array" ref="CB68" xml:space="preserve"> _xlfn.SWITCH(CB$5, 1, CM68, -1, CO68, 0)</f>
        <v>0</v>
      </c>
      <c r="CC68" s="12" cm="1">
        <f t="array" ref="CC68" xml:space="preserve"> _xlfn.SWITCH(CC$5, 1, CM68, -1, CO68, 0)</f>
        <v>0</v>
      </c>
      <c r="CD68" s="12" cm="1">
        <f t="array" ref="CD68" xml:space="preserve"> _xlfn.SWITCH(CD$5, 1, CM68, -1, CO68, 0)</f>
        <v>0</v>
      </c>
      <c r="CE68" s="12" cm="1">
        <f t="array" ref="CE68" xml:space="preserve"> _xlfn.SWITCH(CE$5, 1, CM68, -1, CO68, 0)</f>
        <v>0</v>
      </c>
      <c r="CF68" s="12" cm="1">
        <f t="array" ref="CF68" xml:space="preserve"> _xlfn.SWITCH(CF$5, 1, CM68, -1, CO68, 0)</f>
        <v>0</v>
      </c>
      <c r="CG68" s="12" cm="1">
        <f t="array" ref="CG68" xml:space="preserve"> _xlfn.SWITCH(CG$5, 1, CM68, -1, CO68, 0)</f>
        <v>0</v>
      </c>
      <c r="CH68" s="12" cm="1">
        <f t="array" ref="CH68" xml:space="preserve"> _xlfn.SWITCH(CH$5, 1, CM68, -1, CO68, 0)</f>
        <v>0</v>
      </c>
      <c r="CI68" s="12" cm="1">
        <f t="array" ref="CI68" xml:space="preserve"> _xlfn.SWITCH(CI$5, 1, CM68, -1, CO68, 0)</f>
        <v>0</v>
      </c>
      <c r="CJ68" s="12" cm="1">
        <f t="array" ref="CJ68" xml:space="preserve"> _xlfn.SWITCH(CJ$5, 1, CM68, -1, CO68, 0)</f>
        <v>0</v>
      </c>
      <c r="CL68" s="29" t="s">
        <v>1304</v>
      </c>
      <c r="CM68">
        <f>_xlfn.XLOOKUP(CL68,'KPI Impacts'!$B$2:$H$2,'KPI Impacts'!$B68:$H68)</f>
        <v>-1.6</v>
      </c>
      <c r="CN68" s="16" t="s">
        <v>1303</v>
      </c>
      <c r="CO68">
        <f>_xlfn.XLOOKUP(CN68,'KPI Impacts'!$B$2:$H$2,'KPI Impacts'!$B68:$H68)</f>
        <v>0</v>
      </c>
      <c r="CR68" s="12" cm="1">
        <f t="array" ref="CR68" xml:space="preserve"> _xlfn.SWITCH(CR$5, 1, DC68, -1, DE68, 0)</f>
        <v>0</v>
      </c>
      <c r="CS68" s="12" cm="1">
        <f t="array" ref="CS68" xml:space="preserve"> _xlfn.SWITCH(CS$5, 1, DC68, -1, DE68, 0)</f>
        <v>0</v>
      </c>
      <c r="CT68" s="12" cm="1">
        <f t="array" ref="CT68" xml:space="preserve"> _xlfn.SWITCH(CT$5, 1, DC68, -1, DE68, 0)</f>
        <v>0</v>
      </c>
      <c r="CU68" s="12" cm="1">
        <f t="array" ref="CU68" xml:space="preserve"> _xlfn.SWITCH(CU$5, 1, DC68, -1, DE68, 0)</f>
        <v>0</v>
      </c>
      <c r="CV68" s="12" cm="1">
        <f t="array" ref="CV68" xml:space="preserve"> _xlfn.SWITCH(CV$5, 1, DC68, -1, DE68, 0)</f>
        <v>0</v>
      </c>
      <c r="CW68" s="12" cm="1">
        <f t="array" ref="CW68" xml:space="preserve"> _xlfn.SWITCH(CW$5, 1, DC68, -1, DE68, 0)</f>
        <v>0</v>
      </c>
      <c r="CX68" s="12" cm="1">
        <f t="array" ref="CX68" xml:space="preserve"> _xlfn.SWITCH(CX$5, 1, DC68, -1, DE68, 0)</f>
        <v>0</v>
      </c>
      <c r="CY68" s="12" cm="1">
        <f t="array" ref="CY68" xml:space="preserve"> _xlfn.SWITCH(CY$5, 1, DC68, -1, DE68, 0)</f>
        <v>0</v>
      </c>
      <c r="CZ68" s="12" cm="1">
        <f t="array" ref="CZ68" xml:space="preserve"> _xlfn.SWITCH(CZ$5, 1, DC68, -1, DE68, 0)</f>
        <v>0</v>
      </c>
      <c r="DB68" s="16" t="s">
        <v>1303</v>
      </c>
      <c r="DC68">
        <f>_xlfn.XLOOKUP(DB68,'KPI Impacts'!$B$2:$H$2,'KPI Impacts'!$B68:$H68)</f>
        <v>0</v>
      </c>
      <c r="DD68" s="16" t="s">
        <v>1303</v>
      </c>
      <c r="DE68">
        <f>_xlfn.XLOOKUP(DD68,'KPI Impacts'!$B$2:$H$2,'KPI Impacts'!$B68:$H68)</f>
        <v>0</v>
      </c>
      <c r="DI68" s="12"/>
      <c r="DJ68" s="12"/>
      <c r="DK68" s="12"/>
      <c r="DL68" s="12"/>
      <c r="DM68" s="12"/>
      <c r="DN68" s="12"/>
      <c r="DO68" s="12"/>
      <c r="DP68" s="12"/>
      <c r="DQ68" s="12"/>
    </row>
    <row r="69" spans="1:121" x14ac:dyDescent="0.2">
      <c r="A69" t="s">
        <v>50</v>
      </c>
      <c r="B69" s="12">
        <f>P69+AF69+AV69+BL69+CB69+CR69</f>
        <v>0</v>
      </c>
      <c r="C69" s="12">
        <f t="shared" si="13"/>
        <v>0</v>
      </c>
      <c r="D69" s="12">
        <f t="shared" si="14"/>
        <v>-3.2</v>
      </c>
      <c r="E69" s="12">
        <f t="shared" si="15"/>
        <v>-3.2</v>
      </c>
      <c r="F69" s="12">
        <f t="shared" si="16"/>
        <v>-3.2</v>
      </c>
      <c r="G69" s="12">
        <f>U69+AK69+BA69+BQ69+CG69+CW69</f>
        <v>-3.2</v>
      </c>
      <c r="H69" s="12">
        <f t="shared" si="17"/>
        <v>-6.4</v>
      </c>
      <c r="I69" s="12">
        <f>W69+AM69+BC69+BS69+CI69+CY69</f>
        <v>-6.4</v>
      </c>
      <c r="J69" s="12">
        <f t="shared" si="18"/>
        <v>-6.4</v>
      </c>
      <c r="P69" s="12" cm="1">
        <f t="array" ref="P69" xml:space="preserve"> _xlfn.SWITCH(P$5, 1, AA69, -1, AC69, 0)</f>
        <v>0</v>
      </c>
      <c r="Q69" s="12" cm="1">
        <f t="array" ref="Q69" xml:space="preserve"> _xlfn.SWITCH(Q$5, 1, AA69, -1, AC69, 0)</f>
        <v>0</v>
      </c>
      <c r="R69" s="12" cm="1">
        <f t="array" ref="R69" xml:space="preserve"> _xlfn.SWITCH(R$5, 1, AA69, -1, AC69, 0)</f>
        <v>0</v>
      </c>
      <c r="S69" s="12" cm="1">
        <f t="array" ref="S69" xml:space="preserve"> _xlfn.SWITCH(S$5, 1, AA69, -1, AC69, 0)</f>
        <v>0</v>
      </c>
      <c r="T69" s="12" cm="1">
        <f t="array" ref="T69" xml:space="preserve"> _xlfn.SWITCH(T$5, 1, AA69, -1, AC69, 0)</f>
        <v>0</v>
      </c>
      <c r="U69" s="12" cm="1">
        <f t="array" ref="U69" xml:space="preserve"> _xlfn.SWITCH(U$5, 1, AA69, -1, AC69, 0)</f>
        <v>0</v>
      </c>
      <c r="V69" s="12" cm="1">
        <f t="array" ref="V69" xml:space="preserve"> _xlfn.SWITCH(V$5, 1, AA69, -1, AC69, 0)</f>
        <v>0</v>
      </c>
      <c r="W69" s="12" cm="1">
        <f t="array" ref="W69" xml:space="preserve"> _xlfn.SWITCH(W$5, 1, AA69, -1, AC69, 0)</f>
        <v>0</v>
      </c>
      <c r="X69" s="12" cm="1">
        <f t="array" ref="X69" xml:space="preserve"> _xlfn.SWITCH(X$5, 1, AA69, -1, AC69, 0)</f>
        <v>0</v>
      </c>
      <c r="Z69" s="16" t="s">
        <v>1303</v>
      </c>
      <c r="AA69">
        <f>_xlfn.XLOOKUP(Z69,'KPI Impacts'!$B$2:$H$2,'KPI Impacts'!$B69:$H69)</f>
        <v>0</v>
      </c>
      <c r="AB69" s="16" t="s">
        <v>1303</v>
      </c>
      <c r="AC69">
        <f>_xlfn.XLOOKUP(AB69,'KPI Impacts'!$B$2:$H$2,'KPI Impacts'!$B69:$H69)</f>
        <v>0</v>
      </c>
      <c r="AF69" s="12" cm="1">
        <f t="array" ref="AF69" xml:space="preserve"> _xlfn.SWITCH(AF$5, 1, AQ69, -1, AS69, 0)</f>
        <v>0</v>
      </c>
      <c r="AG69" s="12" cm="1">
        <f t="array" ref="AG69" xml:space="preserve"> _xlfn.SWITCH(AG$5, 1, AQ69, -1, AS69, 0)</f>
        <v>0</v>
      </c>
      <c r="AH69" s="12" cm="1">
        <f t="array" ref="AH69" xml:space="preserve"> _xlfn.SWITCH(AH$5, 1, AQ69, -1, AS69, 0)</f>
        <v>-3.2</v>
      </c>
      <c r="AI69" s="12" cm="1">
        <f t="array" ref="AI69" xml:space="preserve"> _xlfn.SWITCH(AI$5, 1, AQ69, -1, AS69, 0)</f>
        <v>-3.2</v>
      </c>
      <c r="AJ69" s="12" cm="1">
        <f t="array" ref="AJ69" xml:space="preserve"> _xlfn.SWITCH(AJ$5, 1, AQ69, -1, AS69, 0)</f>
        <v>-3.2</v>
      </c>
      <c r="AK69" s="12" cm="1">
        <f t="array" ref="AK69" xml:space="preserve"> _xlfn.SWITCH(AK$5, 1, AQ69, -1, AS69, 0)</f>
        <v>-3.2</v>
      </c>
      <c r="AL69" s="12" cm="1">
        <f t="array" ref="AL69" xml:space="preserve"> _xlfn.SWITCH(AL$5, 1, AQ69, -1, AS69, 0)</f>
        <v>-3.2</v>
      </c>
      <c r="AM69" s="12" cm="1">
        <f t="array" ref="AM69" xml:space="preserve"> _xlfn.SWITCH(AM$5, 1, AQ69, -1, AS69, 0)</f>
        <v>-3.2</v>
      </c>
      <c r="AN69" s="12" cm="1">
        <f t="array" ref="AN69" xml:space="preserve"> _xlfn.SWITCH(AN$5, 1, AQ69, -1, AS69, 0)</f>
        <v>-3.2</v>
      </c>
      <c r="AP69" s="29" t="s">
        <v>1304</v>
      </c>
      <c r="AQ69">
        <f>_xlfn.XLOOKUP(AP69,'KPI Impacts'!$B$2:$H$2,'KPI Impacts'!$B69:$H69)</f>
        <v>-1.6</v>
      </c>
      <c r="AR69" s="29" t="s">
        <v>1306</v>
      </c>
      <c r="AS69">
        <f>_xlfn.XLOOKUP(AR69,'KPI Impacts'!$B$2:$H$2,'KPI Impacts'!$B69:$H69)</f>
        <v>-3.2</v>
      </c>
      <c r="AV69" s="12" cm="1">
        <f t="array" ref="AV69" xml:space="preserve"> _xlfn.SWITCH(AV$5, 1, BG69, -1, BI69, 0)</f>
        <v>0</v>
      </c>
      <c r="AW69" s="12" cm="1">
        <f t="array" ref="AW69" xml:space="preserve"> _xlfn.SWITCH(AW$5, 1, BG69, -1, BI69, 0)</f>
        <v>0</v>
      </c>
      <c r="AX69" s="12" cm="1">
        <f t="array" ref="AX69" xml:space="preserve"> _xlfn.SWITCH(AX$5, 1, BG69, -1, BI69, 0)</f>
        <v>0</v>
      </c>
      <c r="AY69" s="12" cm="1">
        <f t="array" ref="AY69" xml:space="preserve"> _xlfn.SWITCH(AY$5, 1, BG69, -1, BI69, 0)</f>
        <v>0</v>
      </c>
      <c r="AZ69" s="12" cm="1">
        <f t="array" ref="AZ69" xml:space="preserve"> _xlfn.SWITCH(AZ$5, 1, BG69, -1, BI69, 0)</f>
        <v>0</v>
      </c>
      <c r="BA69" s="12" cm="1">
        <f t="array" ref="BA69" xml:space="preserve"> _xlfn.SWITCH(BA$5, 1, BG69, -1, BI69, 0)</f>
        <v>0</v>
      </c>
      <c r="BB69" s="12" cm="1">
        <f t="array" ref="BB69" xml:space="preserve"> _xlfn.SWITCH(BB$5, 1, BG69, -1, BI69, 0)</f>
        <v>0</v>
      </c>
      <c r="BC69" s="12" cm="1">
        <f t="array" ref="BC69" xml:space="preserve"> _xlfn.SWITCH(BC$5, 1, BG69, -1, BI69, 0)</f>
        <v>0</v>
      </c>
      <c r="BD69" s="12" cm="1">
        <f t="array" ref="BD69" xml:space="preserve"> _xlfn.SWITCH(BD$5, 1, BG69, -1, BI69, 0)</f>
        <v>0</v>
      </c>
      <c r="BF69" s="16" t="s">
        <v>1303</v>
      </c>
      <c r="BG69">
        <f>_xlfn.XLOOKUP(BF69,'KPI Impacts'!$B$2:$H$2,'KPI Impacts'!$B69:$H69)</f>
        <v>0</v>
      </c>
      <c r="BH69" s="16" t="s">
        <v>1303</v>
      </c>
      <c r="BI69">
        <f>_xlfn.XLOOKUP(BH69,'KPI Impacts'!$B$2:$H$2,'KPI Impacts'!$B69:$H69)</f>
        <v>0</v>
      </c>
      <c r="BL69" s="12" cm="1">
        <f t="array" ref="BL69" xml:space="preserve"> _xlfn.SWITCH(BL$5, 1, BW69, -1, BY69, 0)</f>
        <v>0</v>
      </c>
      <c r="BM69" s="12" cm="1">
        <f t="array" ref="BM69" xml:space="preserve"> _xlfn.SWITCH(BM$5, 1, BW69, -1, BY69, 0)</f>
        <v>0</v>
      </c>
      <c r="BN69" s="12" cm="1">
        <f t="array" ref="BN69" xml:space="preserve"> _xlfn.SWITCH(BN$5, 1, BW69, -1, BY69, 0)</f>
        <v>0</v>
      </c>
      <c r="BO69" s="12" cm="1">
        <f t="array" ref="BO69" xml:space="preserve"> _xlfn.SWITCH(BO$5, 1, BW69, -1, BY69, 0)</f>
        <v>0</v>
      </c>
      <c r="BP69" s="12" cm="1">
        <f t="array" ref="BP69" xml:space="preserve"> _xlfn.SWITCH(BP$5, 1, BW69, -1, BY69, 0)</f>
        <v>0</v>
      </c>
      <c r="BQ69" s="12" cm="1">
        <f t="array" ref="BQ69" xml:space="preserve"> _xlfn.SWITCH(BQ$5, 1, BW69, -1, BY69, 0)</f>
        <v>0</v>
      </c>
      <c r="BR69" s="12" cm="1">
        <f t="array" ref="BR69" xml:space="preserve"> _xlfn.SWITCH(BR$5, 1, BW69, -1, BY69, 0)</f>
        <v>0</v>
      </c>
      <c r="BS69" s="12" cm="1">
        <f t="array" ref="BS69" xml:space="preserve"> _xlfn.SWITCH(BS$5, 1, BW69, -1, BY69, 0)</f>
        <v>0</v>
      </c>
      <c r="BT69" s="12" cm="1">
        <f t="array" ref="BT69" xml:space="preserve"> _xlfn.SWITCH(BT$5, 1, BW69, -1, BY69, 0)</f>
        <v>0</v>
      </c>
      <c r="BV69" s="29" t="s">
        <v>1304</v>
      </c>
      <c r="BW69">
        <f>_xlfn.XLOOKUP(BV69,'KPI Impacts'!$B$2:$H$2,'KPI Impacts'!$B69:$H69)</f>
        <v>-1.6</v>
      </c>
      <c r="BX69" s="16" t="s">
        <v>1303</v>
      </c>
      <c r="BY69">
        <f>_xlfn.XLOOKUP(BX69,'KPI Impacts'!$B$2:$H$2,'KPI Impacts'!$B69:$H69)</f>
        <v>0</v>
      </c>
      <c r="CB69" s="12" cm="1">
        <f t="array" ref="CB69" xml:space="preserve"> _xlfn.SWITCH(CB$5, 1, CM69, -1, CO69, 0)</f>
        <v>0</v>
      </c>
      <c r="CC69" s="12" cm="1">
        <f t="array" ref="CC69" xml:space="preserve"> _xlfn.SWITCH(CC$5, 1, CM69, -1, CO69, 0)</f>
        <v>0</v>
      </c>
      <c r="CD69" s="12" cm="1">
        <f t="array" ref="CD69" xml:space="preserve"> _xlfn.SWITCH(CD$5, 1, CM69, -1, CO69, 0)</f>
        <v>0</v>
      </c>
      <c r="CE69" s="12" cm="1">
        <f t="array" ref="CE69" xml:space="preserve"> _xlfn.SWITCH(CE$5, 1, CM69, -1, CO69, 0)</f>
        <v>0</v>
      </c>
      <c r="CF69" s="12" cm="1">
        <f t="array" ref="CF69" xml:space="preserve"> _xlfn.SWITCH(CF$5, 1, CM69, -1, CO69, 0)</f>
        <v>0</v>
      </c>
      <c r="CG69" s="12" cm="1">
        <f t="array" ref="CG69" xml:space="preserve"> _xlfn.SWITCH(CG$5, 1, CM69, -1, CO69, 0)</f>
        <v>0</v>
      </c>
      <c r="CH69" s="12" cm="1">
        <f t="array" ref="CH69" xml:space="preserve"> _xlfn.SWITCH(CH$5, 1, CM69, -1, CO69, 0)</f>
        <v>0</v>
      </c>
      <c r="CI69" s="12" cm="1">
        <f t="array" ref="CI69" xml:space="preserve"> _xlfn.SWITCH(CI$5, 1, CM69, -1, CO69, 0)</f>
        <v>0</v>
      </c>
      <c r="CJ69" s="12" cm="1">
        <f t="array" ref="CJ69" xml:space="preserve"> _xlfn.SWITCH(CJ$5, 1, CM69, -1, CO69, 0)</f>
        <v>0</v>
      </c>
      <c r="CL69" s="29" t="s">
        <v>1304</v>
      </c>
      <c r="CM69">
        <f>_xlfn.XLOOKUP(CL69,'KPI Impacts'!$B$2:$H$2,'KPI Impacts'!$B69:$H69)</f>
        <v>-1.6</v>
      </c>
      <c r="CN69" s="16" t="s">
        <v>1303</v>
      </c>
      <c r="CO69">
        <f>_xlfn.XLOOKUP(CN69,'KPI Impacts'!$B$2:$H$2,'KPI Impacts'!$B69:$H69)</f>
        <v>0</v>
      </c>
      <c r="CR69" s="12" cm="1">
        <f t="array" ref="CR69" xml:space="preserve"> _xlfn.SWITCH(CR$5, 1, DC69, -1, DE69, 0)</f>
        <v>0</v>
      </c>
      <c r="CS69" s="12" cm="1">
        <f t="array" ref="CS69" xml:space="preserve"> _xlfn.SWITCH(CS$5, 1, DC69, -1, DE69, 0)</f>
        <v>0</v>
      </c>
      <c r="CT69" s="12" cm="1">
        <f t="array" ref="CT69" xml:space="preserve"> _xlfn.SWITCH(CT$5, 1, DC69, -1, DE69, 0)</f>
        <v>0</v>
      </c>
      <c r="CU69" s="12" cm="1">
        <f t="array" ref="CU69" xml:space="preserve"> _xlfn.SWITCH(CU$5, 1, DC69, -1, DE69, 0)</f>
        <v>0</v>
      </c>
      <c r="CV69" s="12" cm="1">
        <f t="array" ref="CV69" xml:space="preserve"> _xlfn.SWITCH(CV$5, 1, DC69, -1, DE69, 0)</f>
        <v>0</v>
      </c>
      <c r="CW69" s="12" cm="1">
        <f t="array" ref="CW69" xml:space="preserve"> _xlfn.SWITCH(CW$5, 1, DC69, -1, DE69, 0)</f>
        <v>0</v>
      </c>
      <c r="CX69" s="12" cm="1">
        <f t="array" ref="CX69" xml:space="preserve"> _xlfn.SWITCH(CX$5, 1, DC69, -1, DE69, 0)</f>
        <v>-3.2</v>
      </c>
      <c r="CY69" s="12" cm="1">
        <f t="array" ref="CY69" xml:space="preserve"> _xlfn.SWITCH(CY$5, 1, DC69, -1, DE69, 0)</f>
        <v>-3.2</v>
      </c>
      <c r="CZ69" s="12" cm="1">
        <f t="array" ref="CZ69" xml:space="preserve"> _xlfn.SWITCH(CZ$5, 1, DC69, -1, DE69, 0)</f>
        <v>-3.2</v>
      </c>
      <c r="DB69" s="30" t="s">
        <v>1309</v>
      </c>
      <c r="DC69">
        <f>_xlfn.XLOOKUP(DB69,'KPI Impacts'!$B$2:$H$2,'KPI Impacts'!$B69:$H69)</f>
        <v>4</v>
      </c>
      <c r="DD69" s="29" t="s">
        <v>1306</v>
      </c>
      <c r="DE69">
        <f>_xlfn.XLOOKUP(DD69,'KPI Impacts'!$B$2:$H$2,'KPI Impacts'!$B69:$H69)</f>
        <v>-3.2</v>
      </c>
      <c r="DI69" s="12"/>
      <c r="DJ69" s="12"/>
      <c r="DK69" s="12"/>
      <c r="DL69" s="12"/>
      <c r="DM69" s="12"/>
      <c r="DN69" s="12"/>
      <c r="DO69" s="12"/>
      <c r="DP69" s="12"/>
      <c r="DQ69" s="12"/>
    </row>
    <row r="70" spans="1:121" x14ac:dyDescent="0.2">
      <c r="Z70" s="16"/>
      <c r="AB70" s="16"/>
      <c r="AP70" s="16"/>
      <c r="AR70" s="16"/>
      <c r="BF70" s="16"/>
      <c r="BH70" s="16"/>
      <c r="BV70" s="16"/>
      <c r="BX70" s="16"/>
      <c r="CL70" s="16"/>
      <c r="CN70" s="16"/>
      <c r="DB70" s="16"/>
      <c r="DD70" s="16"/>
      <c r="DL70" s="12"/>
      <c r="DM70" s="12"/>
    </row>
    <row r="71" spans="1:121" x14ac:dyDescent="0.2">
      <c r="Z71" s="16"/>
      <c r="AB71" s="16"/>
      <c r="AP71" s="16"/>
      <c r="AR71" s="16"/>
      <c r="BF71" s="16"/>
      <c r="BH71" s="16"/>
      <c r="BV71" s="16"/>
      <c r="BX71" s="16"/>
      <c r="CL71" s="16"/>
      <c r="CN71" s="16"/>
      <c r="DB71" s="16"/>
      <c r="DD71" s="16"/>
      <c r="DL71" s="12"/>
      <c r="DM71" s="12"/>
    </row>
    <row r="72" spans="1:121" x14ac:dyDescent="0.2">
      <c r="A72" s="5" t="s">
        <v>44</v>
      </c>
      <c r="Z72" s="16"/>
      <c r="AB72" s="16"/>
      <c r="AP72" s="16"/>
      <c r="AR72" s="16"/>
      <c r="BF72" s="16"/>
      <c r="BH72" s="16"/>
      <c r="BV72" s="16"/>
      <c r="BX72" s="16"/>
      <c r="CL72" s="16"/>
      <c r="CN72" s="16"/>
      <c r="DB72" s="16"/>
      <c r="DD72" s="16"/>
      <c r="DL72" s="12"/>
      <c r="DM72" s="12"/>
    </row>
    <row r="73" spans="1:121" x14ac:dyDescent="0.2">
      <c r="A73" t="s">
        <v>55</v>
      </c>
      <c r="B73" s="12">
        <f>P73+AF73+AV73+BL73+CB73+CR73</f>
        <v>0</v>
      </c>
      <c r="C73" s="12">
        <f t="shared" ref="C73:C76" si="19">Q73+AG73+AW73+BM73+CC73+CS73</f>
        <v>-0.32000000000000006</v>
      </c>
      <c r="D73" s="12">
        <f t="shared" ref="D73:D76" si="20">R73+AH73+AX73+BN73+CD73+CT73</f>
        <v>-0.32000000000000006</v>
      </c>
      <c r="E73" s="12">
        <f t="shared" ref="E73:E76" si="21">S73+AI73+AY73+BO73+CE73+CU73</f>
        <v>-0.32000000000000006</v>
      </c>
      <c r="F73" s="12">
        <f t="shared" ref="F73:F76" si="22">T73+AJ73+AZ73+BP73+CF73+CV73</f>
        <v>-0.32000000000000006</v>
      </c>
      <c r="G73" s="12">
        <f>U73+AK73+BA73+BQ73+CG73+CW73</f>
        <v>-0.32000000000000006</v>
      </c>
      <c r="H73" s="12">
        <f t="shared" ref="H73:H76" si="23">V73+AL73+BB73+BR73+CH73+CX73</f>
        <v>7.999999999999996E-2</v>
      </c>
      <c r="I73" s="12">
        <f>W73+AM73+BC73+BS73+CI73+CY73</f>
        <v>7.999999999999996E-2</v>
      </c>
      <c r="J73" s="12">
        <f t="shared" ref="J73:J76" si="24">X73+AN73+BD73+BT73+CJ73+CZ73</f>
        <v>7.999999999999996E-2</v>
      </c>
      <c r="P73" s="12" cm="1">
        <f t="array" ref="P73" xml:space="preserve"> _xlfn.SWITCH(P$5, 1, AA73, -1, AC73, 0)</f>
        <v>0</v>
      </c>
      <c r="Q73" s="12" cm="1">
        <f t="array" ref="Q73" xml:space="preserve"> _xlfn.SWITCH(Q$5, 1, AA73, -1, AC73, 0)</f>
        <v>-0.32000000000000006</v>
      </c>
      <c r="R73" s="12" cm="1">
        <f t="array" ref="R73" xml:space="preserve"> _xlfn.SWITCH(R$5, 1, AA73, -1, AC73, 0)</f>
        <v>-0.32000000000000006</v>
      </c>
      <c r="S73" s="12" cm="1">
        <f t="array" ref="S73" xml:space="preserve"> _xlfn.SWITCH(S$5, 1, AA73, -1, AC73, 0)</f>
        <v>-0.32000000000000006</v>
      </c>
      <c r="T73" s="12" cm="1">
        <f t="array" ref="T73" xml:space="preserve"> _xlfn.SWITCH(T$5, 1, AA73, -1, AC73, 0)</f>
        <v>-0.32000000000000006</v>
      </c>
      <c r="U73" s="12" cm="1">
        <f t="array" ref="U73" xml:space="preserve"> _xlfn.SWITCH(U$5, 1, AA73, -1, AC73, 0)</f>
        <v>-0.32000000000000006</v>
      </c>
      <c r="V73" s="12" cm="1">
        <f t="array" ref="V73" xml:space="preserve"> _xlfn.SWITCH(V$5, 1, AA73, -1, AC73, 0)</f>
        <v>-0.32000000000000006</v>
      </c>
      <c r="W73" s="12" cm="1">
        <f t="array" ref="W73" xml:space="preserve"> _xlfn.SWITCH(W$5, 1, AA73, -1, AC73, 0)</f>
        <v>-0.32000000000000006</v>
      </c>
      <c r="X73" s="12" cm="1">
        <f t="array" ref="X73" xml:space="preserve"> _xlfn.SWITCH(X$5, 1, AA73, -1, AC73, 0)</f>
        <v>-0.32000000000000006</v>
      </c>
      <c r="Z73" s="30" t="s">
        <v>1307</v>
      </c>
      <c r="AA73">
        <f>_xlfn.XLOOKUP(Z73,'KPI Impacts'!$B$2:$H$2,'KPI Impacts'!$B73:$H73)</f>
        <v>0.4</v>
      </c>
      <c r="AB73" s="29" t="s">
        <v>1304</v>
      </c>
      <c r="AC73">
        <f>_xlfn.XLOOKUP(AB73,'KPI Impacts'!$B$2:$H$2,'KPI Impacts'!$B73:$H73)</f>
        <v>-0.32000000000000006</v>
      </c>
      <c r="AF73" s="12" cm="1">
        <f t="array" ref="AF73" xml:space="preserve"> _xlfn.SWITCH(AF$5, 1, AQ73, -1, AS73, 0)</f>
        <v>0</v>
      </c>
      <c r="AG73" s="12" cm="1">
        <f t="array" ref="AG73" xml:space="preserve"> _xlfn.SWITCH(AG$5, 1, AQ73, -1, AS73, 0)</f>
        <v>0</v>
      </c>
      <c r="AH73" s="12" cm="1">
        <f t="array" ref="AH73" xml:space="preserve"> _xlfn.SWITCH(AH$5, 1, AQ73, -1, AS73, 0)</f>
        <v>0</v>
      </c>
      <c r="AI73" s="12" cm="1">
        <f t="array" ref="AI73" xml:space="preserve"> _xlfn.SWITCH(AI$5, 1, AQ73, -1, AS73, 0)</f>
        <v>0</v>
      </c>
      <c r="AJ73" s="12" cm="1">
        <f t="array" ref="AJ73" xml:space="preserve"> _xlfn.SWITCH(AJ$5, 1, AQ73, -1, AS73, 0)</f>
        <v>0</v>
      </c>
      <c r="AK73" s="12" cm="1">
        <f t="array" ref="AK73" xml:space="preserve"> _xlfn.SWITCH(AK$5, 1, AQ73, -1, AS73, 0)</f>
        <v>0</v>
      </c>
      <c r="AL73" s="12" cm="1">
        <f t="array" ref="AL73" xml:space="preserve"> _xlfn.SWITCH(AL$5, 1, AQ73, -1, AS73, 0)</f>
        <v>0</v>
      </c>
      <c r="AM73" s="12" cm="1">
        <f t="array" ref="AM73" xml:space="preserve"> _xlfn.SWITCH(AM$5, 1, AQ73, -1, AS73, 0)</f>
        <v>0</v>
      </c>
      <c r="AN73" s="12" cm="1">
        <f t="array" ref="AN73" xml:space="preserve"> _xlfn.SWITCH(AN$5, 1, AQ73, -1, AS73, 0)</f>
        <v>0</v>
      </c>
      <c r="AP73" s="16" t="s">
        <v>1303</v>
      </c>
      <c r="AQ73">
        <f>_xlfn.XLOOKUP(AP73,'KPI Impacts'!$B$2:$H$2,'KPI Impacts'!$B73:$H73)</f>
        <v>0</v>
      </c>
      <c r="AR73" s="16" t="s">
        <v>1303</v>
      </c>
      <c r="AS73">
        <f>_xlfn.XLOOKUP(AR73,'KPI Impacts'!$B$2:$H$2,'KPI Impacts'!$B73:$H73)</f>
        <v>0</v>
      </c>
      <c r="AV73" s="12" cm="1">
        <f t="array" ref="AV73" xml:space="preserve"> _xlfn.SWITCH(AV$5, 1, BG73, -1, BI73, 0)</f>
        <v>0</v>
      </c>
      <c r="AW73" s="12" cm="1">
        <f t="array" ref="AW73" xml:space="preserve"> _xlfn.SWITCH(AW$5, 1, BG73, -1, BI73, 0)</f>
        <v>0</v>
      </c>
      <c r="AX73" s="12" cm="1">
        <f t="array" ref="AX73" xml:space="preserve"> _xlfn.SWITCH(AX$5, 1, BG73, -1, BI73, 0)</f>
        <v>0</v>
      </c>
      <c r="AY73" s="12" cm="1">
        <f t="array" ref="AY73" xml:space="preserve"> _xlfn.SWITCH(AY$5, 1, BG73, -1, BI73, 0)</f>
        <v>0</v>
      </c>
      <c r="AZ73" s="12" cm="1">
        <f t="array" ref="AZ73" xml:space="preserve"> _xlfn.SWITCH(AZ$5, 1, BG73, -1, BI73, 0)</f>
        <v>0</v>
      </c>
      <c r="BA73" s="12" cm="1">
        <f t="array" ref="BA73" xml:space="preserve"> _xlfn.SWITCH(BA$5, 1, BG73, -1, BI73, 0)</f>
        <v>0</v>
      </c>
      <c r="BB73" s="12" cm="1">
        <f t="array" ref="BB73" xml:space="preserve"> _xlfn.SWITCH(BB$5, 1, BG73, -1, BI73, 0)</f>
        <v>0</v>
      </c>
      <c r="BC73" s="12" cm="1">
        <f t="array" ref="BC73" xml:space="preserve"> _xlfn.SWITCH(BC$5, 1, BG73, -1, BI73, 0)</f>
        <v>0</v>
      </c>
      <c r="BD73" s="12" cm="1">
        <f t="array" ref="BD73" xml:space="preserve"> _xlfn.SWITCH(BD$5, 1, BG73, -1, BI73, 0)</f>
        <v>0</v>
      </c>
      <c r="BF73" s="30" t="s">
        <v>1309</v>
      </c>
      <c r="BG73">
        <f>_xlfn.XLOOKUP(BF73,'KPI Impacts'!$B$2:$H$2,'KPI Impacts'!$B73:$H73)</f>
        <v>0.75</v>
      </c>
      <c r="BH73" s="16" t="s">
        <v>1303</v>
      </c>
      <c r="BI73">
        <f>_xlfn.XLOOKUP(BH73,'KPI Impacts'!$B$2:$H$2,'KPI Impacts'!$B73:$H73)</f>
        <v>0</v>
      </c>
      <c r="BL73" s="12" cm="1">
        <f t="array" ref="BL73" xml:space="preserve"> _xlfn.SWITCH(BL$5, 1, BW73, -1, BY73, 0)</f>
        <v>0</v>
      </c>
      <c r="BM73" s="12" cm="1">
        <f t="array" ref="BM73" xml:space="preserve"> _xlfn.SWITCH(BM$5, 1, BW73, -1, BY73, 0)</f>
        <v>0</v>
      </c>
      <c r="BN73" s="12" cm="1">
        <f t="array" ref="BN73" xml:space="preserve"> _xlfn.SWITCH(BN$5, 1, BW73, -1, BY73, 0)</f>
        <v>0</v>
      </c>
      <c r="BO73" s="12" cm="1">
        <f t="array" ref="BO73" xml:space="preserve"> _xlfn.SWITCH(BO$5, 1, BW73, -1, BY73, 0)</f>
        <v>0</v>
      </c>
      <c r="BP73" s="12" cm="1">
        <f t="array" ref="BP73" xml:space="preserve"> _xlfn.SWITCH(BP$5, 1, BW73, -1, BY73, 0)</f>
        <v>0</v>
      </c>
      <c r="BQ73" s="12" cm="1">
        <f t="array" ref="BQ73" xml:space="preserve"> _xlfn.SWITCH(BQ$5, 1, BW73, -1, BY73, 0)</f>
        <v>0</v>
      </c>
      <c r="BR73" s="12" cm="1">
        <f t="array" ref="BR73" xml:space="preserve"> _xlfn.SWITCH(BR$5, 1, BW73, -1, BY73, 0)</f>
        <v>0</v>
      </c>
      <c r="BS73" s="12" cm="1">
        <f t="array" ref="BS73" xml:space="preserve"> _xlfn.SWITCH(BS$5, 1, BW73, -1, BY73, 0)</f>
        <v>0</v>
      </c>
      <c r="BT73" s="12" cm="1">
        <f t="array" ref="BT73" xml:space="preserve"> _xlfn.SWITCH(BT$5, 1, BW73, -1, BY73, 0)</f>
        <v>0</v>
      </c>
      <c r="BV73" s="16" t="s">
        <v>1303</v>
      </c>
      <c r="BW73">
        <f>_xlfn.XLOOKUP(BV73,'KPI Impacts'!$B$2:$H$2,'KPI Impacts'!$B73:$H73)</f>
        <v>0</v>
      </c>
      <c r="BX73" s="16" t="s">
        <v>1303</v>
      </c>
      <c r="BY73">
        <f>_xlfn.XLOOKUP(BX73,'KPI Impacts'!$B$2:$H$2,'KPI Impacts'!$B73:$H73)</f>
        <v>0</v>
      </c>
      <c r="CB73" s="12" cm="1">
        <f t="array" ref="CB73" xml:space="preserve"> _xlfn.SWITCH(CB$5, 1, CM73, -1, CO73, 0)</f>
        <v>0</v>
      </c>
      <c r="CC73" s="12" cm="1">
        <f t="array" ref="CC73" xml:space="preserve"> _xlfn.SWITCH(CC$5, 1, CM73, -1, CO73, 0)</f>
        <v>0</v>
      </c>
      <c r="CD73" s="12" cm="1">
        <f t="array" ref="CD73" xml:space="preserve"> _xlfn.SWITCH(CD$5, 1, CM73, -1, CO73, 0)</f>
        <v>0</v>
      </c>
      <c r="CE73" s="12" cm="1">
        <f t="array" ref="CE73" xml:space="preserve"> _xlfn.SWITCH(CE$5, 1, CM73, -1, CO73, 0)</f>
        <v>0</v>
      </c>
      <c r="CF73" s="12" cm="1">
        <f t="array" ref="CF73" xml:space="preserve"> _xlfn.SWITCH(CF$5, 1, CM73, -1, CO73, 0)</f>
        <v>0</v>
      </c>
      <c r="CG73" s="12" cm="1">
        <f t="array" ref="CG73" xml:space="preserve"> _xlfn.SWITCH(CG$5, 1, CM73, -1, CO73, 0)</f>
        <v>0</v>
      </c>
      <c r="CH73" s="12" cm="1">
        <f t="array" ref="CH73" xml:space="preserve"> _xlfn.SWITCH(CH$5, 1, CM73, -1, CO73, 0)</f>
        <v>0</v>
      </c>
      <c r="CI73" s="12" cm="1">
        <f t="array" ref="CI73" xml:space="preserve"> _xlfn.SWITCH(CI$5, 1, CM73, -1, CO73, 0)</f>
        <v>0</v>
      </c>
      <c r="CJ73" s="12" cm="1">
        <f t="array" ref="CJ73" xml:space="preserve"> _xlfn.SWITCH(CJ$5, 1, CM73, -1, CO73, 0)</f>
        <v>0</v>
      </c>
      <c r="CL73" s="30" t="s">
        <v>1308</v>
      </c>
      <c r="CM73">
        <f>_xlfn.XLOOKUP(CL73,'KPI Impacts'!$B$2:$H$2,'KPI Impacts'!$B73:$H73)</f>
        <v>1</v>
      </c>
      <c r="CN73" s="16" t="s">
        <v>1303</v>
      </c>
      <c r="CO73">
        <f>_xlfn.XLOOKUP(CN73,'KPI Impacts'!$B$2:$H$2,'KPI Impacts'!$B73:$H73)</f>
        <v>0</v>
      </c>
      <c r="CR73" s="12" cm="1">
        <f t="array" ref="CR73" xml:space="preserve"> _xlfn.SWITCH(CR$5, 1, DC73, -1, DE73, 0)</f>
        <v>0</v>
      </c>
      <c r="CS73" s="12" cm="1">
        <f t="array" ref="CS73" xml:space="preserve"> _xlfn.SWITCH(CS$5, 1, DC73, -1, DE73, 0)</f>
        <v>0</v>
      </c>
      <c r="CT73" s="12" cm="1">
        <f t="array" ref="CT73" xml:space="preserve"> _xlfn.SWITCH(CT$5, 1, DC73, -1, DE73, 0)</f>
        <v>0</v>
      </c>
      <c r="CU73" s="12" cm="1">
        <f t="array" ref="CU73" xml:space="preserve"> _xlfn.SWITCH(CU$5, 1, DC73, -1, DE73, 0)</f>
        <v>0</v>
      </c>
      <c r="CV73" s="12" cm="1">
        <f t="array" ref="CV73" xml:space="preserve"> _xlfn.SWITCH(CV$5, 1, DC73, -1, DE73, 0)</f>
        <v>0</v>
      </c>
      <c r="CW73" s="12" cm="1">
        <f t="array" ref="CW73" xml:space="preserve"> _xlfn.SWITCH(CW$5, 1, DC73, -1, DE73, 0)</f>
        <v>0</v>
      </c>
      <c r="CX73" s="12" cm="1">
        <f t="array" ref="CX73" xml:space="preserve"> _xlfn.SWITCH(CX$5, 1, DC73, -1, DE73, 0)</f>
        <v>0.4</v>
      </c>
      <c r="CY73" s="12" cm="1">
        <f t="array" ref="CY73" xml:space="preserve"> _xlfn.SWITCH(CY$5, 1, DC73, -1, DE73, 0)</f>
        <v>0.4</v>
      </c>
      <c r="CZ73" s="12" cm="1">
        <f t="array" ref="CZ73" xml:space="preserve"> _xlfn.SWITCH(CZ$5, 1, DC73, -1, DE73, 0)</f>
        <v>0.4</v>
      </c>
      <c r="DB73" s="29" t="s">
        <v>1306</v>
      </c>
      <c r="DC73">
        <f>_xlfn.XLOOKUP(DB73,'KPI Impacts'!$B$2:$H$2,'KPI Impacts'!$B73:$H73)</f>
        <v>-0.60000000000000009</v>
      </c>
      <c r="DD73" s="30" t="s">
        <v>1307</v>
      </c>
      <c r="DE73">
        <f>_xlfn.XLOOKUP(DD73,'KPI Impacts'!$B$2:$H$2,'KPI Impacts'!$B73:$H73)</f>
        <v>0.4</v>
      </c>
      <c r="DI73" s="12"/>
      <c r="DJ73" s="12"/>
      <c r="DK73" s="12"/>
      <c r="DL73" s="12"/>
      <c r="DM73" s="12"/>
      <c r="DN73" s="12"/>
      <c r="DO73" s="12"/>
      <c r="DP73" s="12"/>
      <c r="DQ73" s="12"/>
    </row>
    <row r="74" spans="1:121" x14ac:dyDescent="0.2">
      <c r="A74" s="9" t="s">
        <v>1928</v>
      </c>
      <c r="B74" s="12">
        <f>P74+AF74+AV74+BL74+CB74+CR74</f>
        <v>0</v>
      </c>
      <c r="C74" s="12">
        <f t="shared" si="19"/>
        <v>-3200000000</v>
      </c>
      <c r="D74" s="12">
        <f t="shared" si="20"/>
        <v>-3200000000</v>
      </c>
      <c r="E74" s="12">
        <f t="shared" si="21"/>
        <v>-4800000000</v>
      </c>
      <c r="F74" s="12">
        <f t="shared" si="22"/>
        <v>-4800000000</v>
      </c>
      <c r="G74" s="12">
        <f>U74+AK74+BA74+BQ74+CG74+CW74</f>
        <v>-8000000000</v>
      </c>
      <c r="H74" s="12">
        <f t="shared" si="23"/>
        <v>-8000000000</v>
      </c>
      <c r="I74" s="12">
        <f>W74+AM74+BC74+BS74+CI74+CY74</f>
        <v>-8000000000</v>
      </c>
      <c r="J74" s="12">
        <f t="shared" si="24"/>
        <v>-8000000000</v>
      </c>
      <c r="P74" s="12" cm="1">
        <f t="array" ref="P74" xml:space="preserve"> _xlfn.SWITCH(P$5, 1, AA74, -1, AC74, 0)</f>
        <v>0</v>
      </c>
      <c r="Q74" s="12" cm="1">
        <f t="array" ref="Q74" xml:space="preserve"> _xlfn.SWITCH(Q$5, 1, AA74, -1, AC74, 0)</f>
        <v>-3200000000</v>
      </c>
      <c r="R74" s="12" cm="1">
        <f t="array" ref="R74" xml:space="preserve"> _xlfn.SWITCH(R$5, 1, AA74, -1, AC74, 0)</f>
        <v>-3200000000</v>
      </c>
      <c r="S74" s="12" cm="1">
        <f t="array" ref="S74" xml:space="preserve"> _xlfn.SWITCH(S$5, 1, AA74, -1, AC74, 0)</f>
        <v>-3200000000</v>
      </c>
      <c r="T74" s="12" cm="1">
        <f t="array" ref="T74" xml:space="preserve"> _xlfn.SWITCH(T$5, 1, AA74, -1, AC74, 0)</f>
        <v>-3200000000</v>
      </c>
      <c r="U74" s="12" cm="1">
        <f t="array" ref="U74" xml:space="preserve"> _xlfn.SWITCH(U$5, 1, AA74, -1, AC74, 0)</f>
        <v>-3200000000</v>
      </c>
      <c r="V74" s="12" cm="1">
        <f t="array" ref="V74" xml:space="preserve"> _xlfn.SWITCH(V$5, 1, AA74, -1, AC74, 0)</f>
        <v>-3200000000</v>
      </c>
      <c r="W74" s="12" cm="1">
        <f t="array" ref="W74" xml:space="preserve"> _xlfn.SWITCH(W$5, 1, AA74, -1, AC74, 0)</f>
        <v>-3200000000</v>
      </c>
      <c r="X74" s="12" cm="1">
        <f t="array" ref="X74" xml:space="preserve"> _xlfn.SWITCH(X$5, 1, AA74, -1, AC74, 0)</f>
        <v>-3200000000</v>
      </c>
      <c r="Z74" s="30" t="s">
        <v>1308</v>
      </c>
      <c r="AA74">
        <f>_xlfn.XLOOKUP(Z74,'KPI Impacts'!$B$2:$H$2,'KPI Impacts'!$B74:$H74)</f>
        <v>6000000000</v>
      </c>
      <c r="AB74" s="29" t="s">
        <v>1306</v>
      </c>
      <c r="AC74">
        <f>_xlfn.XLOOKUP(AB74,'KPI Impacts'!$B$2:$H$2,'KPI Impacts'!$B74:$H74)</f>
        <v>-3200000000</v>
      </c>
      <c r="AF74" s="12" cm="1">
        <f t="array" ref="AF74" xml:space="preserve"> _xlfn.SWITCH(AF$5, 1, AQ74, -1, AS74, 0)</f>
        <v>0</v>
      </c>
      <c r="AG74" s="12" cm="1">
        <f t="array" ref="AG74" xml:space="preserve"> _xlfn.SWITCH(AG$5, 1, AQ74, -1, AS74, 0)</f>
        <v>0</v>
      </c>
      <c r="AH74" s="12" cm="1">
        <f t="array" ref="AH74" xml:space="preserve"> _xlfn.SWITCH(AH$5, 1, AQ74, -1, AS74, 0)</f>
        <v>0</v>
      </c>
      <c r="AI74" s="12" cm="1">
        <f t="array" ref="AI74" xml:space="preserve"> _xlfn.SWITCH(AI$5, 1, AQ74, -1, AS74, 0)</f>
        <v>0</v>
      </c>
      <c r="AJ74" s="12" cm="1">
        <f t="array" ref="AJ74" xml:space="preserve"> _xlfn.SWITCH(AJ$5, 1, AQ74, -1, AS74, 0)</f>
        <v>0</v>
      </c>
      <c r="AK74" s="12" cm="1">
        <f t="array" ref="AK74" xml:space="preserve"> _xlfn.SWITCH(AK$5, 1, AQ74, -1, AS74, 0)</f>
        <v>0</v>
      </c>
      <c r="AL74" s="12" cm="1">
        <f t="array" ref="AL74" xml:space="preserve"> _xlfn.SWITCH(AL$5, 1, AQ74, -1, AS74, 0)</f>
        <v>0</v>
      </c>
      <c r="AM74" s="12" cm="1">
        <f t="array" ref="AM74" xml:space="preserve"> _xlfn.SWITCH(AM$5, 1, AQ74, -1, AS74, 0)</f>
        <v>0</v>
      </c>
      <c r="AN74" s="12" cm="1">
        <f t="array" ref="AN74" xml:space="preserve"> _xlfn.SWITCH(AN$5, 1, AQ74, -1, AS74, 0)</f>
        <v>0</v>
      </c>
      <c r="AP74" s="16" t="s">
        <v>1303</v>
      </c>
      <c r="AQ74">
        <f>_xlfn.XLOOKUP(AP74,'KPI Impacts'!$B$2:$H$2,'KPI Impacts'!$B74:$H74)</f>
        <v>0</v>
      </c>
      <c r="AR74" s="16" t="s">
        <v>1303</v>
      </c>
      <c r="AS74">
        <f>_xlfn.XLOOKUP(AR74,'KPI Impacts'!$B$2:$H$2,'KPI Impacts'!$B74:$H74)</f>
        <v>0</v>
      </c>
      <c r="AV74" s="12" cm="1">
        <f t="array" ref="AV74" xml:space="preserve"> _xlfn.SWITCH(AV$5, 1, BG74, -1, BI74, 0)</f>
        <v>0</v>
      </c>
      <c r="AW74" s="12" cm="1">
        <f t="array" ref="AW74" xml:space="preserve"> _xlfn.SWITCH(AW$5, 1, BG74, -1, BI74, 0)</f>
        <v>0</v>
      </c>
      <c r="AX74" s="12" cm="1">
        <f t="array" ref="AX74" xml:space="preserve"> _xlfn.SWITCH(AX$5, 1, BG74, -1, BI74, 0)</f>
        <v>0</v>
      </c>
      <c r="AY74" s="12" cm="1">
        <f t="array" ref="AY74" xml:space="preserve"> _xlfn.SWITCH(AY$5, 1, BG74, -1, BI74, 0)</f>
        <v>-1600000000</v>
      </c>
      <c r="AZ74" s="12" cm="1">
        <f t="array" ref="AZ74" xml:space="preserve"> _xlfn.SWITCH(AZ$5, 1, BG74, -1, BI74, 0)</f>
        <v>-1600000000</v>
      </c>
      <c r="BA74" s="12" cm="1">
        <f t="array" ref="BA74" xml:space="preserve"> _xlfn.SWITCH(BA$5, 1, BG74, -1, BI74, 0)</f>
        <v>-1600000000</v>
      </c>
      <c r="BB74" s="12" cm="1">
        <f t="array" ref="BB74" xml:space="preserve"> _xlfn.SWITCH(BB$5, 1, BG74, -1, BI74, 0)</f>
        <v>-1600000000</v>
      </c>
      <c r="BC74" s="12" cm="1">
        <f t="array" ref="BC74" xml:space="preserve"> _xlfn.SWITCH(BC$5, 1, BG74, -1, BI74, 0)</f>
        <v>-1600000000</v>
      </c>
      <c r="BD74" s="12" cm="1">
        <f t="array" ref="BD74" xml:space="preserve"> _xlfn.SWITCH(BD$5, 1, BG74, -1, BI74, 0)</f>
        <v>-1600000000</v>
      </c>
      <c r="BF74" s="30" t="s">
        <v>1309</v>
      </c>
      <c r="BG74">
        <f>_xlfn.XLOOKUP(BF74,'KPI Impacts'!$B$2:$H$2,'KPI Impacts'!$B74:$H74)</f>
        <v>4000000000</v>
      </c>
      <c r="BH74" s="29" t="s">
        <v>1304</v>
      </c>
      <c r="BI74">
        <f>_xlfn.XLOOKUP(BH74,'KPI Impacts'!$B$2:$H$2,'KPI Impacts'!$B74:$H74)</f>
        <v>-1600000000</v>
      </c>
      <c r="BL74" s="12" cm="1">
        <f t="array" ref="BL74" xml:space="preserve"> _xlfn.SWITCH(BL$5, 1, BW74, -1, BY74, 0)</f>
        <v>0</v>
      </c>
      <c r="BM74" s="12" cm="1">
        <f t="array" ref="BM74" xml:space="preserve"> _xlfn.SWITCH(BM$5, 1, BW74, -1, BY74, 0)</f>
        <v>0</v>
      </c>
      <c r="BN74" s="12" cm="1">
        <f t="array" ref="BN74" xml:space="preserve"> _xlfn.SWITCH(BN$5, 1, BW74, -1, BY74, 0)</f>
        <v>0</v>
      </c>
      <c r="BO74" s="12" cm="1">
        <f t="array" ref="BO74" xml:space="preserve"> _xlfn.SWITCH(BO$5, 1, BW74, -1, BY74, 0)</f>
        <v>0</v>
      </c>
      <c r="BP74" s="12" cm="1">
        <f t="array" ref="BP74" xml:space="preserve"> _xlfn.SWITCH(BP$5, 1, BW74, -1, BY74, 0)</f>
        <v>0</v>
      </c>
      <c r="BQ74" s="12" cm="1">
        <f t="array" ref="BQ74" xml:space="preserve"> _xlfn.SWITCH(BQ$5, 1, BW74, -1, BY74, 0)</f>
        <v>0</v>
      </c>
      <c r="BR74" s="12" cm="1">
        <f t="array" ref="BR74" xml:space="preserve"> _xlfn.SWITCH(BR$5, 1, BW74, -1, BY74, 0)</f>
        <v>0</v>
      </c>
      <c r="BS74" s="12" cm="1">
        <f t="array" ref="BS74" xml:space="preserve"> _xlfn.SWITCH(BS$5, 1, BW74, -1, BY74, 0)</f>
        <v>0</v>
      </c>
      <c r="BT74" s="12" cm="1">
        <f t="array" ref="BT74" xml:space="preserve"> _xlfn.SWITCH(BT$5, 1, BW74, -1, BY74, 0)</f>
        <v>0</v>
      </c>
      <c r="BV74" s="16" t="s">
        <v>1303</v>
      </c>
      <c r="BW74">
        <f>_xlfn.XLOOKUP(BV74,'KPI Impacts'!$B$2:$H$2,'KPI Impacts'!$B74:$H74)</f>
        <v>0</v>
      </c>
      <c r="BX74" s="16" t="s">
        <v>1303</v>
      </c>
      <c r="BY74">
        <f>_xlfn.XLOOKUP(BX74,'KPI Impacts'!$B$2:$H$2,'KPI Impacts'!$B74:$H74)</f>
        <v>0</v>
      </c>
      <c r="CB74" s="12" cm="1">
        <f t="array" ref="CB74" xml:space="preserve"> _xlfn.SWITCH(CB$5, 1, CM74, -1, CO74, 0)</f>
        <v>0</v>
      </c>
      <c r="CC74" s="12" cm="1">
        <f t="array" ref="CC74" xml:space="preserve"> _xlfn.SWITCH(CC$5, 1, CM74, -1, CO74, 0)</f>
        <v>0</v>
      </c>
      <c r="CD74" s="12" cm="1">
        <f t="array" ref="CD74" xml:space="preserve"> _xlfn.SWITCH(CD$5, 1, CM74, -1, CO74, 0)</f>
        <v>0</v>
      </c>
      <c r="CE74" s="12" cm="1">
        <f t="array" ref="CE74" xml:space="preserve"> _xlfn.SWITCH(CE$5, 1, CM74, -1, CO74, 0)</f>
        <v>0</v>
      </c>
      <c r="CF74" s="12" cm="1">
        <f t="array" ref="CF74" xml:space="preserve"> _xlfn.SWITCH(CF$5, 1, CM74, -1, CO74, 0)</f>
        <v>0</v>
      </c>
      <c r="CG74" s="12" cm="1">
        <f t="array" ref="CG74" xml:space="preserve"> _xlfn.SWITCH(CG$5, 1, CM74, -1, CO74, 0)</f>
        <v>-3200000000</v>
      </c>
      <c r="CH74" s="12" cm="1">
        <f t="array" ref="CH74" xml:space="preserve"> _xlfn.SWITCH(CH$5, 1, CM74, -1, CO74, 0)</f>
        <v>-3200000000</v>
      </c>
      <c r="CI74" s="12" cm="1">
        <f t="array" ref="CI74" xml:space="preserve"> _xlfn.SWITCH(CI$5, 1, CM74, -1, CO74, 0)</f>
        <v>-3200000000</v>
      </c>
      <c r="CJ74" s="12" cm="1">
        <f t="array" ref="CJ74" xml:space="preserve"> _xlfn.SWITCH(CJ$5, 1, CM74, -1, CO74, 0)</f>
        <v>-3200000000</v>
      </c>
      <c r="CL74" s="16" t="s">
        <v>1303</v>
      </c>
      <c r="CM74">
        <f>_xlfn.XLOOKUP(CL74,'KPI Impacts'!$B$2:$H$2,'KPI Impacts'!$B74:$H74)</f>
        <v>0</v>
      </c>
      <c r="CN74" s="29" t="s">
        <v>1306</v>
      </c>
      <c r="CO74">
        <f>_xlfn.XLOOKUP(CN74,'KPI Impacts'!$B$2:$H$2,'KPI Impacts'!$B74:$H74)</f>
        <v>-3200000000</v>
      </c>
      <c r="CR74" s="12" cm="1">
        <f t="array" ref="CR74" xml:space="preserve"> _xlfn.SWITCH(CR$5, 1, DC74, -1, DE74, 0)</f>
        <v>0</v>
      </c>
      <c r="CS74" s="12" cm="1">
        <f t="array" ref="CS74" xml:space="preserve"> _xlfn.SWITCH(CS$5, 1, DC74, -1, DE74, 0)</f>
        <v>0</v>
      </c>
      <c r="CT74" s="12" cm="1">
        <f t="array" ref="CT74" xml:space="preserve"> _xlfn.SWITCH(CT$5, 1, DC74, -1, DE74, 0)</f>
        <v>0</v>
      </c>
      <c r="CU74" s="12" cm="1">
        <f t="array" ref="CU74" xml:space="preserve"> _xlfn.SWITCH(CU$5, 1, DC74, -1, DE74, 0)</f>
        <v>0</v>
      </c>
      <c r="CV74" s="12" cm="1">
        <f t="array" ref="CV74" xml:space="preserve"> _xlfn.SWITCH(CV$5, 1, DC74, -1, DE74, 0)</f>
        <v>0</v>
      </c>
      <c r="CW74" s="12" cm="1">
        <f t="array" ref="CW74" xml:space="preserve"> _xlfn.SWITCH(CW$5, 1, DC74, -1, DE74, 0)</f>
        <v>0</v>
      </c>
      <c r="CX74" s="12" cm="1">
        <f t="array" ref="CX74" xml:space="preserve"> _xlfn.SWITCH(CX$5, 1, DC74, -1, DE74, 0)</f>
        <v>0</v>
      </c>
      <c r="CY74" s="12" cm="1">
        <f t="array" ref="CY74" xml:space="preserve"> _xlfn.SWITCH(CY$5, 1, DC74, -1, DE74, 0)</f>
        <v>0</v>
      </c>
      <c r="CZ74" s="12" cm="1">
        <f t="array" ref="CZ74" xml:space="preserve"> _xlfn.SWITCH(CZ$5, 1, DC74, -1, DE74, 0)</f>
        <v>0</v>
      </c>
      <c r="DB74" s="29" t="s">
        <v>1304</v>
      </c>
      <c r="DC74">
        <f>_xlfn.XLOOKUP(DB74,'KPI Impacts'!$B$2:$H$2,'KPI Impacts'!$B74:$H74)</f>
        <v>-1600000000</v>
      </c>
      <c r="DD74" s="16" t="s">
        <v>1303</v>
      </c>
      <c r="DE74">
        <f>_xlfn.XLOOKUP(DD74,'KPI Impacts'!$B$2:$H$2,'KPI Impacts'!$B74:$H74)</f>
        <v>0</v>
      </c>
      <c r="DI74" s="12"/>
      <c r="DJ74" s="12"/>
      <c r="DK74" s="12"/>
      <c r="DL74" s="12"/>
      <c r="DM74" s="12"/>
      <c r="DN74" s="12"/>
      <c r="DO74" s="12"/>
      <c r="DP74" s="12"/>
      <c r="DQ74" s="12"/>
    </row>
    <row r="75" spans="1:121" x14ac:dyDescent="0.2">
      <c r="A75" t="s">
        <v>1310</v>
      </c>
      <c r="B75" s="12">
        <f>P75+AF75+AV75+BL75+CB75+CR75</f>
        <v>0</v>
      </c>
      <c r="C75" s="12">
        <f t="shared" si="19"/>
        <v>0</v>
      </c>
      <c r="D75" s="12">
        <f t="shared" si="20"/>
        <v>0</v>
      </c>
      <c r="E75" s="12">
        <f t="shared" si="21"/>
        <v>0</v>
      </c>
      <c r="F75" s="12">
        <f t="shared" si="22"/>
        <v>0</v>
      </c>
      <c r="G75" s="12">
        <f>U75+AK75+BA75+BQ75+CG75+CW75</f>
        <v>0</v>
      </c>
      <c r="H75" s="12">
        <f t="shared" si="23"/>
        <v>0</v>
      </c>
      <c r="I75" s="12">
        <f>W75+AM75+BC75+BS75+CI75+CY75</f>
        <v>0</v>
      </c>
      <c r="J75" s="12">
        <f t="shared" si="24"/>
        <v>0</v>
      </c>
      <c r="P75" s="12" cm="1">
        <f t="array" ref="P75" xml:space="preserve"> _xlfn.SWITCH(P$5, 1, AA75, -1, AC75, 0)</f>
        <v>0</v>
      </c>
      <c r="Q75" s="12" cm="1">
        <f t="array" ref="Q75" xml:space="preserve"> _xlfn.SWITCH(Q$5, 1, AA75, -1, AC75, 0)</f>
        <v>0</v>
      </c>
      <c r="R75" s="12" cm="1">
        <f t="array" ref="R75" xml:space="preserve"> _xlfn.SWITCH(R$5, 1, AA75, -1, AC75, 0)</f>
        <v>0</v>
      </c>
      <c r="S75" s="12" cm="1">
        <f t="array" ref="S75" xml:space="preserve"> _xlfn.SWITCH(S$5, 1, AA75, -1, AC75, 0)</f>
        <v>0</v>
      </c>
      <c r="T75" s="12" cm="1">
        <f t="array" ref="T75" xml:space="preserve"> _xlfn.SWITCH(T$5, 1, AA75, -1, AC75, 0)</f>
        <v>0</v>
      </c>
      <c r="U75" s="12" cm="1">
        <f t="array" ref="U75" xml:space="preserve"> _xlfn.SWITCH(U$5, 1, AA75, -1, AC75, 0)</f>
        <v>0</v>
      </c>
      <c r="V75" s="12" cm="1">
        <f t="array" ref="V75" xml:space="preserve"> _xlfn.SWITCH(V$5, 1, AA75, -1, AC75, 0)</f>
        <v>0</v>
      </c>
      <c r="W75" s="12" cm="1">
        <f t="array" ref="W75" xml:space="preserve"> _xlfn.SWITCH(W$5, 1, AA75, -1, AC75, 0)</f>
        <v>0</v>
      </c>
      <c r="X75" s="12" cm="1">
        <f t="array" ref="X75" xml:space="preserve"> _xlfn.SWITCH(X$5, 1, AA75, -1, AC75, 0)</f>
        <v>0</v>
      </c>
      <c r="Z75" s="30" t="s">
        <v>1308</v>
      </c>
      <c r="AA75">
        <f>_xlfn.XLOOKUP(Z75,'KPI Impacts'!$B$2:$H$2,'KPI Impacts'!$B75:$H75)</f>
        <v>75000</v>
      </c>
      <c r="AB75" s="16" t="s">
        <v>1303</v>
      </c>
      <c r="AC75">
        <f>_xlfn.XLOOKUP(AB75,'KPI Impacts'!$B$2:$H$2,'KPI Impacts'!$B75:$H75)</f>
        <v>0</v>
      </c>
      <c r="AF75" s="12" cm="1">
        <f t="array" ref="AF75" xml:space="preserve"> _xlfn.SWITCH(AF$5, 1, AQ75, -1, AS75, 0)</f>
        <v>0</v>
      </c>
      <c r="AG75" s="12" cm="1">
        <f t="array" ref="AG75" xml:space="preserve"> _xlfn.SWITCH(AG$5, 1, AQ75, -1, AS75, 0)</f>
        <v>0</v>
      </c>
      <c r="AH75" s="12" cm="1">
        <f t="array" ref="AH75" xml:space="preserve"> _xlfn.SWITCH(AH$5, 1, AQ75, -1, AS75, 0)</f>
        <v>0</v>
      </c>
      <c r="AI75" s="12" cm="1">
        <f t="array" ref="AI75" xml:space="preserve"> _xlfn.SWITCH(AI$5, 1, AQ75, -1, AS75, 0)</f>
        <v>0</v>
      </c>
      <c r="AJ75" s="12" cm="1">
        <f t="array" ref="AJ75" xml:space="preserve"> _xlfn.SWITCH(AJ$5, 1, AQ75, -1, AS75, 0)</f>
        <v>0</v>
      </c>
      <c r="AK75" s="12" cm="1">
        <f t="array" ref="AK75" xml:space="preserve"> _xlfn.SWITCH(AK$5, 1, AQ75, -1, AS75, 0)</f>
        <v>0</v>
      </c>
      <c r="AL75" s="12" cm="1">
        <f t="array" ref="AL75" xml:space="preserve"> _xlfn.SWITCH(AL$5, 1, AQ75, -1, AS75, 0)</f>
        <v>0</v>
      </c>
      <c r="AM75" s="12" cm="1">
        <f t="array" ref="AM75" xml:space="preserve"> _xlfn.SWITCH(AM$5, 1, AQ75, -1, AS75, 0)</f>
        <v>0</v>
      </c>
      <c r="AN75" s="12" cm="1">
        <f t="array" ref="AN75" xml:space="preserve"> _xlfn.SWITCH(AN$5, 1, AQ75, -1, AS75, 0)</f>
        <v>0</v>
      </c>
      <c r="AP75" s="16" t="s">
        <v>1303</v>
      </c>
      <c r="AQ75">
        <f>_xlfn.XLOOKUP(AP75,'KPI Impacts'!$B$2:$H$2,'KPI Impacts'!$B75:$H75)</f>
        <v>0</v>
      </c>
      <c r="AR75" s="16" t="s">
        <v>1303</v>
      </c>
      <c r="AS75">
        <f>_xlfn.XLOOKUP(AR75,'KPI Impacts'!$B$2:$H$2,'KPI Impacts'!$B75:$H75)</f>
        <v>0</v>
      </c>
      <c r="AV75" s="12" cm="1">
        <f t="array" ref="AV75" xml:space="preserve"> _xlfn.SWITCH(AV$5, 1, BG75, -1, BI75, 0)</f>
        <v>0</v>
      </c>
      <c r="AW75" s="12" cm="1">
        <f t="array" ref="AW75" xml:space="preserve"> _xlfn.SWITCH(AW$5, 1, BG75, -1, BI75, 0)</f>
        <v>0</v>
      </c>
      <c r="AX75" s="12" cm="1">
        <f t="array" ref="AX75" xml:space="preserve"> _xlfn.SWITCH(AX$5, 1, BG75, -1, BI75, 0)</f>
        <v>0</v>
      </c>
      <c r="AY75" s="12" cm="1">
        <f t="array" ref="AY75" xml:space="preserve"> _xlfn.SWITCH(AY$5, 1, BG75, -1, BI75, 0)</f>
        <v>0</v>
      </c>
      <c r="AZ75" s="12" cm="1">
        <f t="array" ref="AZ75" xml:space="preserve"> _xlfn.SWITCH(AZ$5, 1, BG75, -1, BI75, 0)</f>
        <v>0</v>
      </c>
      <c r="BA75" s="12" cm="1">
        <f t="array" ref="BA75" xml:space="preserve"> _xlfn.SWITCH(BA$5, 1, BG75, -1, BI75, 0)</f>
        <v>0</v>
      </c>
      <c r="BB75" s="12" cm="1">
        <f t="array" ref="BB75" xml:space="preserve"> _xlfn.SWITCH(BB$5, 1, BG75, -1, BI75, 0)</f>
        <v>0</v>
      </c>
      <c r="BC75" s="12" cm="1">
        <f t="array" ref="BC75" xml:space="preserve"> _xlfn.SWITCH(BC$5, 1, BG75, -1, BI75, 0)</f>
        <v>0</v>
      </c>
      <c r="BD75" s="12" cm="1">
        <f t="array" ref="BD75" xml:space="preserve"> _xlfn.SWITCH(BD$5, 1, BG75, -1, BI75, 0)</f>
        <v>0</v>
      </c>
      <c r="BF75" s="30" t="s">
        <v>1307</v>
      </c>
      <c r="BG75">
        <f>_xlfn.XLOOKUP(BF75,'KPI Impacts'!$B$2:$H$2,'KPI Impacts'!$B75:$H75)</f>
        <v>25000</v>
      </c>
      <c r="BH75" s="16" t="s">
        <v>1303</v>
      </c>
      <c r="BI75">
        <f>_xlfn.XLOOKUP(BH75,'KPI Impacts'!$B$2:$H$2,'KPI Impacts'!$B75:$H75)</f>
        <v>0</v>
      </c>
      <c r="BL75" s="12" cm="1">
        <f t="array" ref="BL75" xml:space="preserve"> _xlfn.SWITCH(BL$5, 1, BW75, -1, BY75, 0)</f>
        <v>0</v>
      </c>
      <c r="BM75" s="12" cm="1">
        <f t="array" ref="BM75" xml:space="preserve"> _xlfn.SWITCH(BM$5, 1, BW75, -1, BY75, 0)</f>
        <v>0</v>
      </c>
      <c r="BN75" s="12" cm="1">
        <f t="array" ref="BN75" xml:space="preserve"> _xlfn.SWITCH(BN$5, 1, BW75, -1, BY75, 0)</f>
        <v>0</v>
      </c>
      <c r="BO75" s="12" cm="1">
        <f t="array" ref="BO75" xml:space="preserve"> _xlfn.SWITCH(BO$5, 1, BW75, -1, BY75, 0)</f>
        <v>0</v>
      </c>
      <c r="BP75" s="12" cm="1">
        <f t="array" ref="BP75" xml:space="preserve"> _xlfn.SWITCH(BP$5, 1, BW75, -1, BY75, 0)</f>
        <v>0</v>
      </c>
      <c r="BQ75" s="12" cm="1">
        <f t="array" ref="BQ75" xml:space="preserve"> _xlfn.SWITCH(BQ$5, 1, BW75, -1, BY75, 0)</f>
        <v>0</v>
      </c>
      <c r="BR75" s="12" cm="1">
        <f t="array" ref="BR75" xml:space="preserve"> _xlfn.SWITCH(BR$5, 1, BW75, -1, BY75, 0)</f>
        <v>0</v>
      </c>
      <c r="BS75" s="12" cm="1">
        <f t="array" ref="BS75" xml:space="preserve"> _xlfn.SWITCH(BS$5, 1, BW75, -1, BY75, 0)</f>
        <v>0</v>
      </c>
      <c r="BT75" s="12" cm="1">
        <f t="array" ref="BT75" xml:space="preserve"> _xlfn.SWITCH(BT$5, 1, BW75, -1, BY75, 0)</f>
        <v>0</v>
      </c>
      <c r="BV75" s="16" t="s">
        <v>1303</v>
      </c>
      <c r="BW75">
        <f>_xlfn.XLOOKUP(BV75,'KPI Impacts'!$B$2:$H$2,'KPI Impacts'!$B75:$H75)</f>
        <v>0</v>
      </c>
      <c r="BX75" s="16" t="s">
        <v>1303</v>
      </c>
      <c r="BY75">
        <f>_xlfn.XLOOKUP(BX75,'KPI Impacts'!$B$2:$H$2,'KPI Impacts'!$B75:$H75)</f>
        <v>0</v>
      </c>
      <c r="CB75" s="12" cm="1">
        <f t="array" ref="CB75" xml:space="preserve"> _xlfn.SWITCH(CB$5, 1, CM75, -1, CO75, 0)</f>
        <v>0</v>
      </c>
      <c r="CC75" s="12" cm="1">
        <f t="array" ref="CC75" xml:space="preserve"> _xlfn.SWITCH(CC$5, 1, CM75, -1, CO75, 0)</f>
        <v>0</v>
      </c>
      <c r="CD75" s="12" cm="1">
        <f t="array" ref="CD75" xml:space="preserve"> _xlfn.SWITCH(CD$5, 1, CM75, -1, CO75, 0)</f>
        <v>0</v>
      </c>
      <c r="CE75" s="12" cm="1">
        <f t="array" ref="CE75" xml:space="preserve"> _xlfn.SWITCH(CE$5, 1, CM75, -1, CO75, 0)</f>
        <v>0</v>
      </c>
      <c r="CF75" s="12" cm="1">
        <f t="array" ref="CF75" xml:space="preserve"> _xlfn.SWITCH(CF$5, 1, CM75, -1, CO75, 0)</f>
        <v>0</v>
      </c>
      <c r="CG75" s="12" cm="1">
        <f t="array" ref="CG75" xml:space="preserve"> _xlfn.SWITCH(CG$5, 1, CM75, -1, CO75, 0)</f>
        <v>0</v>
      </c>
      <c r="CH75" s="12" cm="1">
        <f t="array" ref="CH75" xml:space="preserve"> _xlfn.SWITCH(CH$5, 1, CM75, -1, CO75, 0)</f>
        <v>0</v>
      </c>
      <c r="CI75" s="12" cm="1">
        <f t="array" ref="CI75" xml:space="preserve"> _xlfn.SWITCH(CI$5, 1, CM75, -1, CO75, 0)</f>
        <v>0</v>
      </c>
      <c r="CJ75" s="12" cm="1">
        <f t="array" ref="CJ75" xml:space="preserve"> _xlfn.SWITCH(CJ$5, 1, CM75, -1, CO75, 0)</f>
        <v>0</v>
      </c>
      <c r="CL75" s="30" t="s">
        <v>1308</v>
      </c>
      <c r="CM75">
        <f>_xlfn.XLOOKUP(CL75,'KPI Impacts'!$B$2:$H$2,'KPI Impacts'!$B75:$H75)</f>
        <v>75000</v>
      </c>
      <c r="CN75" s="16" t="s">
        <v>1303</v>
      </c>
      <c r="CO75">
        <f>_xlfn.XLOOKUP(CN75,'KPI Impacts'!$B$2:$H$2,'KPI Impacts'!$B75:$H75)</f>
        <v>0</v>
      </c>
      <c r="CR75" s="12" cm="1">
        <f t="array" ref="CR75" xml:space="preserve"> _xlfn.SWITCH(CR$5, 1, DC75, -1, DE75, 0)</f>
        <v>0</v>
      </c>
      <c r="CS75" s="12" cm="1">
        <f t="array" ref="CS75" xml:space="preserve"> _xlfn.SWITCH(CS$5, 1, DC75, -1, DE75, 0)</f>
        <v>0</v>
      </c>
      <c r="CT75" s="12" cm="1">
        <f t="array" ref="CT75" xml:space="preserve"> _xlfn.SWITCH(CT$5, 1, DC75, -1, DE75, 0)</f>
        <v>0</v>
      </c>
      <c r="CU75" s="12" cm="1">
        <f t="array" ref="CU75" xml:space="preserve"> _xlfn.SWITCH(CU$5, 1, DC75, -1, DE75, 0)</f>
        <v>0</v>
      </c>
      <c r="CV75" s="12" cm="1">
        <f t="array" ref="CV75" xml:space="preserve"> _xlfn.SWITCH(CV$5, 1, DC75, -1, DE75, 0)</f>
        <v>0</v>
      </c>
      <c r="CW75" s="12" cm="1">
        <f t="array" ref="CW75" xml:space="preserve"> _xlfn.SWITCH(CW$5, 1, DC75, -1, DE75, 0)</f>
        <v>0</v>
      </c>
      <c r="CX75" s="12" cm="1">
        <f t="array" ref="CX75" xml:space="preserve"> _xlfn.SWITCH(CX$5, 1, DC75, -1, DE75, 0)</f>
        <v>0</v>
      </c>
      <c r="CY75" s="12" cm="1">
        <f t="array" ref="CY75" xml:space="preserve"> _xlfn.SWITCH(CY$5, 1, DC75, -1, DE75, 0)</f>
        <v>0</v>
      </c>
      <c r="CZ75" s="12" cm="1">
        <f t="array" ref="CZ75" xml:space="preserve"> _xlfn.SWITCH(CZ$5, 1, DC75, -1, DE75, 0)</f>
        <v>0</v>
      </c>
      <c r="DB75" s="30" t="s">
        <v>1307</v>
      </c>
      <c r="DC75">
        <f>_xlfn.XLOOKUP(DB75,'KPI Impacts'!$B$2:$H$2,'KPI Impacts'!$B75:$H75)</f>
        <v>25000</v>
      </c>
      <c r="DD75" s="16" t="s">
        <v>1303</v>
      </c>
      <c r="DE75">
        <f>_xlfn.XLOOKUP(DD75,'KPI Impacts'!$B$2:$H$2,'KPI Impacts'!$B75:$H75)</f>
        <v>0</v>
      </c>
      <c r="DI75" s="12"/>
      <c r="DJ75" s="12"/>
      <c r="DK75" s="12"/>
      <c r="DL75" s="12"/>
      <c r="DM75" s="12"/>
      <c r="DN75" s="12"/>
      <c r="DO75" s="12"/>
      <c r="DP75" s="12"/>
      <c r="DQ75" s="12"/>
    </row>
    <row r="76" spans="1:121" x14ac:dyDescent="0.2">
      <c r="A76" t="s">
        <v>1311</v>
      </c>
      <c r="B76" s="12">
        <f>P76+AF76+AV76+BL76+CB76+CR76</f>
        <v>0</v>
      </c>
      <c r="C76" s="12">
        <f t="shared" si="19"/>
        <v>0</v>
      </c>
      <c r="D76" s="12">
        <f t="shared" si="20"/>
        <v>0</v>
      </c>
      <c r="E76" s="12">
        <f t="shared" si="21"/>
        <v>0</v>
      </c>
      <c r="F76" s="12">
        <f t="shared" si="22"/>
        <v>0</v>
      </c>
      <c r="G76" s="12">
        <f>U76+AK76+BA76+BQ76+CG76+CW76</f>
        <v>0</v>
      </c>
      <c r="H76" s="12">
        <f t="shared" si="23"/>
        <v>0</v>
      </c>
      <c r="I76" s="12">
        <f>W76+AM76+BC76+BS76+CI76+CY76</f>
        <v>0</v>
      </c>
      <c r="J76" s="12">
        <f t="shared" si="24"/>
        <v>0</v>
      </c>
      <c r="P76" s="12" cm="1">
        <f t="array" ref="P76" xml:space="preserve"> _xlfn.SWITCH(P$5, 1, AA76, -1, AC76, 0)</f>
        <v>0</v>
      </c>
      <c r="Q76" s="12" cm="1">
        <f t="array" ref="Q76" xml:space="preserve"> _xlfn.SWITCH(Q$5, 1, AA76, -1, AC76, 0)</f>
        <v>0</v>
      </c>
      <c r="R76" s="12" cm="1">
        <f t="array" ref="R76" xml:space="preserve"> _xlfn.SWITCH(R$5, 1, AA76, -1, AC76, 0)</f>
        <v>0</v>
      </c>
      <c r="S76" s="12" cm="1">
        <f t="array" ref="S76" xml:space="preserve"> _xlfn.SWITCH(S$5, 1, AA76, -1, AC76, 0)</f>
        <v>0</v>
      </c>
      <c r="T76" s="12" cm="1">
        <f t="array" ref="T76" xml:space="preserve"> _xlfn.SWITCH(T$5, 1, AA76, -1, AC76, 0)</f>
        <v>0</v>
      </c>
      <c r="U76" s="12" cm="1">
        <f t="array" ref="U76" xml:space="preserve"> _xlfn.SWITCH(U$5, 1, AA76, -1, AC76, 0)</f>
        <v>0</v>
      </c>
      <c r="V76" s="12" cm="1">
        <f t="array" ref="V76" xml:space="preserve"> _xlfn.SWITCH(V$5, 1, AA76, -1, AC76, 0)</f>
        <v>0</v>
      </c>
      <c r="W76" s="12" cm="1">
        <f t="array" ref="W76" xml:space="preserve"> _xlfn.SWITCH(W$5, 1, AA76, -1, AC76, 0)</f>
        <v>0</v>
      </c>
      <c r="X76" s="12" cm="1">
        <f t="array" ref="X76" xml:space="preserve"> _xlfn.SWITCH(X$5, 1, AA76, -1, AC76, 0)</f>
        <v>0</v>
      </c>
      <c r="Z76" s="16" t="s">
        <v>1303</v>
      </c>
      <c r="AA76">
        <f>_xlfn.XLOOKUP(Z76,'KPI Impacts'!$B$2:$H$2,'KPI Impacts'!$B76:$H76)</f>
        <v>0</v>
      </c>
      <c r="AB76" s="16" t="s">
        <v>1303</v>
      </c>
      <c r="AC76">
        <f>_xlfn.XLOOKUP(AB76,'KPI Impacts'!$B$2:$H$2,'KPI Impacts'!$B76:$H76)</f>
        <v>0</v>
      </c>
      <c r="AF76" s="12" cm="1">
        <f t="array" ref="AF76" xml:space="preserve"> _xlfn.SWITCH(AF$5, 1, AQ76, -1, AS76, 0)</f>
        <v>0</v>
      </c>
      <c r="AG76" s="12" cm="1">
        <f t="array" ref="AG76" xml:space="preserve"> _xlfn.SWITCH(AG$5, 1, AQ76, -1, AS76, 0)</f>
        <v>0</v>
      </c>
      <c r="AH76" s="12" cm="1">
        <f t="array" ref="AH76" xml:space="preserve"> _xlfn.SWITCH(AH$5, 1, AQ76, -1, AS76, 0)</f>
        <v>0</v>
      </c>
      <c r="AI76" s="12" cm="1">
        <f t="array" ref="AI76" xml:space="preserve"> _xlfn.SWITCH(AI$5, 1, AQ76, -1, AS76, 0)</f>
        <v>0</v>
      </c>
      <c r="AJ76" s="12" cm="1">
        <f t="array" ref="AJ76" xml:space="preserve"> _xlfn.SWITCH(AJ$5, 1, AQ76, -1, AS76, 0)</f>
        <v>0</v>
      </c>
      <c r="AK76" s="12" cm="1">
        <f t="array" ref="AK76" xml:space="preserve"> _xlfn.SWITCH(AK$5, 1, AQ76, -1, AS76, 0)</f>
        <v>0</v>
      </c>
      <c r="AL76" s="12" cm="1">
        <f t="array" ref="AL76" xml:space="preserve"> _xlfn.SWITCH(AL$5, 1, AQ76, -1, AS76, 0)</f>
        <v>0</v>
      </c>
      <c r="AM76" s="12" cm="1">
        <f t="array" ref="AM76" xml:space="preserve"> _xlfn.SWITCH(AM$5, 1, AQ76, -1, AS76, 0)</f>
        <v>0</v>
      </c>
      <c r="AN76" s="12" cm="1">
        <f t="array" ref="AN76" xml:space="preserve"> _xlfn.SWITCH(AN$5, 1, AQ76, -1, AS76, 0)</f>
        <v>0</v>
      </c>
      <c r="AP76" s="16" t="s">
        <v>1303</v>
      </c>
      <c r="AQ76">
        <f>_xlfn.XLOOKUP(AP76,'KPI Impacts'!$B$2:$H$2,'KPI Impacts'!$B76:$H76)</f>
        <v>0</v>
      </c>
      <c r="AR76" s="16" t="s">
        <v>1303</v>
      </c>
      <c r="AS76">
        <f>_xlfn.XLOOKUP(AR76,'KPI Impacts'!$B$2:$H$2,'KPI Impacts'!$B76:$H76)</f>
        <v>0</v>
      </c>
      <c r="AV76" s="12" cm="1">
        <f t="array" ref="AV76" xml:space="preserve"> _xlfn.SWITCH(AV$5, 1, BG76, -1, BI76, 0)</f>
        <v>0</v>
      </c>
      <c r="AW76" s="12" cm="1">
        <f t="array" ref="AW76" xml:space="preserve"> _xlfn.SWITCH(AW$5, 1, BG76, -1, BI76, 0)</f>
        <v>0</v>
      </c>
      <c r="AX76" s="12" cm="1">
        <f t="array" ref="AX76" xml:space="preserve"> _xlfn.SWITCH(AX$5, 1, BG76, -1, BI76, 0)</f>
        <v>0</v>
      </c>
      <c r="AY76" s="12" cm="1">
        <f t="array" ref="AY76" xml:space="preserve"> _xlfn.SWITCH(AY$5, 1, BG76, -1, BI76, 0)</f>
        <v>0</v>
      </c>
      <c r="AZ76" s="12" cm="1">
        <f t="array" ref="AZ76" xml:space="preserve"> _xlfn.SWITCH(AZ$5, 1, BG76, -1, BI76, 0)</f>
        <v>0</v>
      </c>
      <c r="BA76" s="12" cm="1">
        <f t="array" ref="BA76" xml:space="preserve"> _xlfn.SWITCH(BA$5, 1, BG76, -1, BI76, 0)</f>
        <v>0</v>
      </c>
      <c r="BB76" s="12" cm="1">
        <f t="array" ref="BB76" xml:space="preserve"> _xlfn.SWITCH(BB$5, 1, BG76, -1, BI76, 0)</f>
        <v>0</v>
      </c>
      <c r="BC76" s="12" cm="1">
        <f t="array" ref="BC76" xml:space="preserve"> _xlfn.SWITCH(BC$5, 1, BG76, -1, BI76, 0)</f>
        <v>0</v>
      </c>
      <c r="BD76" s="12" cm="1">
        <f t="array" ref="BD76" xml:space="preserve"> _xlfn.SWITCH(BD$5, 1, BG76, -1, BI76, 0)</f>
        <v>0</v>
      </c>
      <c r="BF76" s="16" t="s">
        <v>1303</v>
      </c>
      <c r="BG76">
        <f>_xlfn.XLOOKUP(BF76,'KPI Impacts'!$B$2:$H$2,'KPI Impacts'!$B76:$H76)</f>
        <v>0</v>
      </c>
      <c r="BH76" s="16" t="s">
        <v>1303</v>
      </c>
      <c r="BI76">
        <f>_xlfn.XLOOKUP(BH76,'KPI Impacts'!$B$2:$H$2,'KPI Impacts'!$B76:$H76)</f>
        <v>0</v>
      </c>
      <c r="BL76" s="12" cm="1">
        <f t="array" ref="BL76" xml:space="preserve"> _xlfn.SWITCH(BL$5, 1, BW76, -1, BY76, 0)</f>
        <v>0</v>
      </c>
      <c r="BM76" s="12" cm="1">
        <f t="array" ref="BM76" xml:space="preserve"> _xlfn.SWITCH(BM$5, 1, BW76, -1, BY76, 0)</f>
        <v>0</v>
      </c>
      <c r="BN76" s="12" cm="1">
        <f t="array" ref="BN76" xml:space="preserve"> _xlfn.SWITCH(BN$5, 1, BW76, -1, BY76, 0)</f>
        <v>0</v>
      </c>
      <c r="BO76" s="12" cm="1">
        <f t="array" ref="BO76" xml:space="preserve"> _xlfn.SWITCH(BO$5, 1, BW76, -1, BY76, 0)</f>
        <v>0</v>
      </c>
      <c r="BP76" s="12" cm="1">
        <f t="array" ref="BP76" xml:space="preserve"> _xlfn.SWITCH(BP$5, 1, BW76, -1, BY76, 0)</f>
        <v>0</v>
      </c>
      <c r="BQ76" s="12" cm="1">
        <f t="array" ref="BQ76" xml:space="preserve"> _xlfn.SWITCH(BQ$5, 1, BW76, -1, BY76, 0)</f>
        <v>0</v>
      </c>
      <c r="BR76" s="12" cm="1">
        <f t="array" ref="BR76" xml:space="preserve"> _xlfn.SWITCH(BR$5, 1, BW76, -1, BY76, 0)</f>
        <v>0</v>
      </c>
      <c r="BS76" s="12" cm="1">
        <f t="array" ref="BS76" xml:space="preserve"> _xlfn.SWITCH(BS$5, 1, BW76, -1, BY76, 0)</f>
        <v>0</v>
      </c>
      <c r="BT76" s="12" cm="1">
        <f t="array" ref="BT76" xml:space="preserve"> _xlfn.SWITCH(BT$5, 1, BW76, -1, BY76, 0)</f>
        <v>0</v>
      </c>
      <c r="BV76" s="16" t="s">
        <v>1303</v>
      </c>
      <c r="BW76">
        <f>_xlfn.XLOOKUP(BV76,'KPI Impacts'!$B$2:$H$2,'KPI Impacts'!$B76:$H76)</f>
        <v>0</v>
      </c>
      <c r="BX76" s="16" t="s">
        <v>1303</v>
      </c>
      <c r="BY76">
        <f>_xlfn.XLOOKUP(BX76,'KPI Impacts'!$B$2:$H$2,'KPI Impacts'!$B76:$H76)</f>
        <v>0</v>
      </c>
      <c r="CB76" s="12" cm="1">
        <f t="array" ref="CB76" xml:space="preserve"> _xlfn.SWITCH(CB$5, 1, CM76, -1, CO76, 0)</f>
        <v>0</v>
      </c>
      <c r="CC76" s="12" cm="1">
        <f t="array" ref="CC76" xml:space="preserve"> _xlfn.SWITCH(CC$5, 1, CM76, -1, CO76, 0)</f>
        <v>0</v>
      </c>
      <c r="CD76" s="12" cm="1">
        <f t="array" ref="CD76" xml:space="preserve"> _xlfn.SWITCH(CD$5, 1, CM76, -1, CO76, 0)</f>
        <v>0</v>
      </c>
      <c r="CE76" s="12" cm="1">
        <f t="array" ref="CE76" xml:space="preserve"> _xlfn.SWITCH(CE$5, 1, CM76, -1, CO76, 0)</f>
        <v>0</v>
      </c>
      <c r="CF76" s="12" cm="1">
        <f t="array" ref="CF76" xml:space="preserve"> _xlfn.SWITCH(CF$5, 1, CM76, -1, CO76, 0)</f>
        <v>0</v>
      </c>
      <c r="CG76" s="12" cm="1">
        <f t="array" ref="CG76" xml:space="preserve"> _xlfn.SWITCH(CG$5, 1, CM76, -1, CO76, 0)</f>
        <v>0</v>
      </c>
      <c r="CH76" s="12" cm="1">
        <f t="array" ref="CH76" xml:space="preserve"> _xlfn.SWITCH(CH$5, 1, CM76, -1, CO76, 0)</f>
        <v>0</v>
      </c>
      <c r="CI76" s="12" cm="1">
        <f t="array" ref="CI76" xml:space="preserve"> _xlfn.SWITCH(CI$5, 1, CM76, -1, CO76, 0)</f>
        <v>0</v>
      </c>
      <c r="CJ76" s="12" cm="1">
        <f t="array" ref="CJ76" xml:space="preserve"> _xlfn.SWITCH(CJ$5, 1, CM76, -1, CO76, 0)</f>
        <v>0</v>
      </c>
      <c r="CL76" s="16" t="s">
        <v>1303</v>
      </c>
      <c r="CM76">
        <f>_xlfn.XLOOKUP(CL76,'KPI Impacts'!$B$2:$H$2,'KPI Impacts'!$B76:$H76)</f>
        <v>0</v>
      </c>
      <c r="CN76" s="16" t="s">
        <v>1303</v>
      </c>
      <c r="CO76">
        <f>_xlfn.XLOOKUP(CN76,'KPI Impacts'!$B$2:$H$2,'KPI Impacts'!$B76:$H76)</f>
        <v>0</v>
      </c>
      <c r="CR76" s="12" cm="1">
        <f t="array" ref="CR76" xml:space="preserve"> _xlfn.SWITCH(CR$5, 1, DC76, -1, DE76, 0)</f>
        <v>0</v>
      </c>
      <c r="CS76" s="12" cm="1">
        <f t="array" ref="CS76" xml:space="preserve"> _xlfn.SWITCH(CS$5, 1, DC76, -1, DE76, 0)</f>
        <v>0</v>
      </c>
      <c r="CT76" s="12" cm="1">
        <f t="array" ref="CT76" xml:space="preserve"> _xlfn.SWITCH(CT$5, 1, DC76, -1, DE76, 0)</f>
        <v>0</v>
      </c>
      <c r="CU76" s="12" cm="1">
        <f t="array" ref="CU76" xml:space="preserve"> _xlfn.SWITCH(CU$5, 1, DC76, -1, DE76, 0)</f>
        <v>0</v>
      </c>
      <c r="CV76" s="12" cm="1">
        <f t="array" ref="CV76" xml:space="preserve"> _xlfn.SWITCH(CV$5, 1, DC76, -1, DE76, 0)</f>
        <v>0</v>
      </c>
      <c r="CW76" s="12" cm="1">
        <f t="array" ref="CW76" xml:space="preserve"> _xlfn.SWITCH(CW$5, 1, DC76, -1, DE76, 0)</f>
        <v>0</v>
      </c>
      <c r="CX76" s="12" cm="1">
        <f t="array" ref="CX76" xml:space="preserve"> _xlfn.SWITCH(CX$5, 1, DC76, -1, DE76, 0)</f>
        <v>0</v>
      </c>
      <c r="CY76" s="12" cm="1">
        <f t="array" ref="CY76" xml:space="preserve"> _xlfn.SWITCH(CY$5, 1, DC76, -1, DE76, 0)</f>
        <v>0</v>
      </c>
      <c r="CZ76" s="12" cm="1">
        <f t="array" ref="CZ76" xml:space="preserve"> _xlfn.SWITCH(CZ$5, 1, DC76, -1, DE76, 0)</f>
        <v>0</v>
      </c>
      <c r="DB76" s="16" t="s">
        <v>1303</v>
      </c>
      <c r="DC76">
        <f>_xlfn.XLOOKUP(DB76,'KPI Impacts'!$B$2:$H$2,'KPI Impacts'!$B76:$H76)</f>
        <v>0</v>
      </c>
      <c r="DD76" s="16" t="s">
        <v>1303</v>
      </c>
      <c r="DE76">
        <f>_xlfn.XLOOKUP(DD76,'KPI Impacts'!$B$2:$H$2,'KPI Impacts'!$B76:$H76)</f>
        <v>0</v>
      </c>
      <c r="DI76" s="12"/>
      <c r="DJ76" s="12"/>
      <c r="DK76" s="12"/>
      <c r="DL76" s="12"/>
      <c r="DM76" s="12"/>
      <c r="DN76" s="12"/>
      <c r="DO76" s="12"/>
      <c r="DP76" s="12"/>
      <c r="DQ76" s="12"/>
    </row>
    <row r="77" spans="1:121" x14ac:dyDescent="0.2">
      <c r="A77" t="s">
        <v>54</v>
      </c>
      <c r="B77" s="19" t="s">
        <v>1318</v>
      </c>
      <c r="C77" s="19" t="s">
        <v>1318</v>
      </c>
      <c r="D77" s="19" t="s">
        <v>1318</v>
      </c>
      <c r="E77" s="19" t="s">
        <v>1318</v>
      </c>
      <c r="F77" s="19" t="s">
        <v>1318</v>
      </c>
      <c r="G77" s="19" t="s">
        <v>1318</v>
      </c>
      <c r="H77" s="19" t="s">
        <v>1318</v>
      </c>
      <c r="I77" s="19" t="s">
        <v>1318</v>
      </c>
      <c r="J77" s="19" t="s">
        <v>1318</v>
      </c>
      <c r="Z77" s="16"/>
      <c r="AB77" s="16"/>
      <c r="AP77" s="16"/>
      <c r="AR77" s="16"/>
      <c r="BF77" s="16"/>
      <c r="BH77" s="16"/>
      <c r="BV77" s="16"/>
      <c r="BX77" s="16"/>
      <c r="CL77" s="16"/>
      <c r="CN77" s="16"/>
      <c r="DB77" s="16"/>
      <c r="DD77" s="16"/>
      <c r="DL77" s="12"/>
      <c r="DM77" s="12"/>
    </row>
    <row r="78" spans="1:121" hidden="1" x14ac:dyDescent="0.2">
      <c r="Z78" s="16"/>
      <c r="AB78" s="16"/>
      <c r="AP78" s="16"/>
      <c r="AR78" s="16"/>
      <c r="BF78" s="16"/>
      <c r="BH78" s="16"/>
      <c r="BV78" s="16"/>
      <c r="BX78" s="16"/>
      <c r="CL78" s="16"/>
      <c r="CN78" s="16"/>
      <c r="DB78" s="16"/>
      <c r="DD78" s="16"/>
      <c r="DL78" s="12"/>
      <c r="DM78" s="12"/>
    </row>
    <row r="79" spans="1:121" hidden="1" x14ac:dyDescent="0.2">
      <c r="Z79" s="16"/>
      <c r="AB79" s="16"/>
      <c r="AP79" s="16"/>
      <c r="AR79" s="16"/>
      <c r="BF79" s="16"/>
      <c r="BH79" s="16"/>
      <c r="BV79" s="16"/>
      <c r="BX79" s="16"/>
      <c r="CL79" s="16"/>
      <c r="CN79" s="16"/>
      <c r="DB79" s="16"/>
      <c r="DD79" s="16"/>
      <c r="DL79" s="12"/>
      <c r="DM79" s="12"/>
    </row>
    <row r="80" spans="1:121" x14ac:dyDescent="0.2">
      <c r="Z80" s="16"/>
      <c r="AB80" s="16"/>
      <c r="AP80" s="16"/>
      <c r="AR80" s="16"/>
      <c r="BF80" s="16"/>
      <c r="BH80" s="16"/>
      <c r="BV80" s="16"/>
      <c r="BX80" s="16"/>
      <c r="CL80" s="16"/>
      <c r="CN80" s="16"/>
      <c r="DB80" s="16"/>
      <c r="DD80" s="16"/>
      <c r="DL80" s="12"/>
      <c r="DM80" s="12"/>
    </row>
    <row r="81" spans="1:121" x14ac:dyDescent="0.2">
      <c r="A81" s="5" t="s">
        <v>51</v>
      </c>
      <c r="Z81" s="16"/>
      <c r="AB81" s="16"/>
      <c r="AP81" s="16"/>
      <c r="AR81" s="16"/>
      <c r="BF81" s="16"/>
      <c r="BH81" s="16"/>
      <c r="BV81" s="16"/>
      <c r="BX81" s="16"/>
      <c r="CL81" s="16"/>
      <c r="CN81" s="16"/>
      <c r="DB81" s="16"/>
      <c r="DD81" s="16"/>
      <c r="DL81" s="12"/>
      <c r="DM81" s="12"/>
    </row>
    <row r="82" spans="1:121" x14ac:dyDescent="0.2">
      <c r="A82" s="17" t="s">
        <v>1312</v>
      </c>
      <c r="B82" s="19" t="s">
        <v>1318</v>
      </c>
      <c r="C82" s="19" t="s">
        <v>1318</v>
      </c>
      <c r="D82" s="19" t="s">
        <v>1318</v>
      </c>
      <c r="E82" s="19" t="s">
        <v>1318</v>
      </c>
      <c r="F82" s="19" t="s">
        <v>1318</v>
      </c>
      <c r="G82" s="19" t="s">
        <v>1318</v>
      </c>
      <c r="H82" s="19" t="s">
        <v>1318</v>
      </c>
      <c r="I82" s="19" t="s">
        <v>1318</v>
      </c>
      <c r="J82" s="19" t="s">
        <v>1318</v>
      </c>
      <c r="P82" s="12"/>
      <c r="Q82" s="12"/>
      <c r="R82" s="12"/>
      <c r="S82" s="12"/>
      <c r="T82" s="12"/>
      <c r="U82" s="12"/>
      <c r="V82" s="12"/>
      <c r="W82" s="12"/>
      <c r="X82" s="12"/>
      <c r="Z82" s="16"/>
      <c r="AB82" s="16"/>
      <c r="AF82" s="12"/>
      <c r="AG82" s="12"/>
      <c r="AH82" s="12"/>
      <c r="AI82" s="12"/>
      <c r="AJ82" s="12"/>
      <c r="AK82" s="12"/>
      <c r="AL82" s="12"/>
      <c r="AM82" s="12"/>
      <c r="AN82" s="12"/>
      <c r="AP82" s="16"/>
      <c r="AR82" s="16"/>
      <c r="AV82" s="12"/>
      <c r="AW82" s="12"/>
      <c r="AX82" s="12"/>
      <c r="AY82" s="12"/>
      <c r="AZ82" s="12"/>
      <c r="BA82" s="12"/>
      <c r="BB82" s="12"/>
      <c r="BC82" s="12"/>
      <c r="BD82" s="12"/>
      <c r="BF82" s="16"/>
      <c r="BH82" s="16"/>
      <c r="BL82" s="12"/>
      <c r="BM82" s="12"/>
      <c r="BN82" s="12"/>
      <c r="BO82" s="12"/>
      <c r="BP82" s="12"/>
      <c r="BQ82" s="12"/>
      <c r="BR82" s="12"/>
      <c r="BS82" s="12"/>
      <c r="BT82" s="12"/>
      <c r="BV82" s="16"/>
      <c r="BX82" s="16"/>
      <c r="CB82" s="12"/>
      <c r="CC82" s="12"/>
      <c r="CD82" s="12"/>
      <c r="CE82" s="12"/>
      <c r="CF82" s="12"/>
      <c r="CG82" s="12"/>
      <c r="CH82" s="12"/>
      <c r="CI82" s="12"/>
      <c r="CJ82" s="12"/>
      <c r="CL82" s="16"/>
      <c r="CN82" s="16"/>
      <c r="CR82" s="12"/>
      <c r="CS82" s="12"/>
      <c r="CT82" s="12"/>
      <c r="CU82" s="12"/>
      <c r="CV82" s="12"/>
      <c r="CW82" s="12"/>
      <c r="CX82" s="12"/>
      <c r="CY82" s="12"/>
      <c r="CZ82" s="12"/>
      <c r="DB82" s="16"/>
      <c r="DD82" s="16"/>
      <c r="DI82" s="12"/>
      <c r="DJ82" s="12"/>
      <c r="DK82" s="12"/>
      <c r="DL82" s="12"/>
      <c r="DM82" s="12"/>
      <c r="DN82" s="12"/>
      <c r="DO82" s="12"/>
      <c r="DP82" s="12"/>
      <c r="DQ82" s="12"/>
    </row>
    <row r="83" spans="1:121" x14ac:dyDescent="0.2">
      <c r="A83" s="17" t="s">
        <v>1313</v>
      </c>
      <c r="B83" s="19" t="s">
        <v>1318</v>
      </c>
      <c r="C83" s="19" t="s">
        <v>1318</v>
      </c>
      <c r="D83" s="19" t="s">
        <v>1318</v>
      </c>
      <c r="E83" s="19" t="s">
        <v>1318</v>
      </c>
      <c r="F83" s="19" t="s">
        <v>1318</v>
      </c>
      <c r="G83" s="19" t="s">
        <v>1318</v>
      </c>
      <c r="H83" s="19" t="s">
        <v>1318</v>
      </c>
      <c r="I83" s="19" t="s">
        <v>1318</v>
      </c>
      <c r="J83" s="19" t="s">
        <v>1318</v>
      </c>
      <c r="P83" s="12"/>
      <c r="Q83" s="12"/>
      <c r="R83" s="12"/>
      <c r="S83" s="12"/>
      <c r="T83" s="12"/>
      <c r="U83" s="12"/>
      <c r="V83" s="12"/>
      <c r="W83" s="12"/>
      <c r="X83" s="12"/>
      <c r="Z83" s="16"/>
      <c r="AB83" s="16"/>
      <c r="AF83" s="12"/>
      <c r="AG83" s="12"/>
      <c r="AH83" s="12"/>
      <c r="AI83" s="12"/>
      <c r="AJ83" s="12"/>
      <c r="AK83" s="12"/>
      <c r="AL83" s="12"/>
      <c r="AM83" s="12"/>
      <c r="AN83" s="12"/>
      <c r="AP83" s="16"/>
      <c r="AR83" s="16"/>
      <c r="AV83" s="12"/>
      <c r="AW83" s="12"/>
      <c r="AX83" s="12"/>
      <c r="AY83" s="12"/>
      <c r="AZ83" s="12"/>
      <c r="BA83" s="12"/>
      <c r="BB83" s="12"/>
      <c r="BC83" s="12"/>
      <c r="BD83" s="12"/>
      <c r="BF83" s="16"/>
      <c r="BH83" s="16"/>
      <c r="BL83" s="12"/>
      <c r="BM83" s="12"/>
      <c r="BN83" s="12"/>
      <c r="BO83" s="12"/>
      <c r="BP83" s="12"/>
      <c r="BQ83" s="12"/>
      <c r="BR83" s="12"/>
      <c r="BS83" s="12"/>
      <c r="BT83" s="12"/>
      <c r="BV83" s="16"/>
      <c r="BX83" s="16"/>
      <c r="CB83" s="12"/>
      <c r="CC83" s="12"/>
      <c r="CD83" s="12"/>
      <c r="CE83" s="12"/>
      <c r="CF83" s="12"/>
      <c r="CG83" s="12"/>
      <c r="CH83" s="12"/>
      <c r="CI83" s="12"/>
      <c r="CJ83" s="12"/>
      <c r="CL83" s="16"/>
      <c r="CN83" s="16"/>
      <c r="CR83" s="12"/>
      <c r="CS83" s="12"/>
      <c r="CT83" s="12"/>
      <c r="CU83" s="12"/>
      <c r="CV83" s="12"/>
      <c r="CW83" s="12"/>
      <c r="CX83" s="12"/>
      <c r="CY83" s="12"/>
      <c r="CZ83" s="12"/>
      <c r="DB83" s="16"/>
      <c r="DD83" s="16"/>
      <c r="DI83" s="12"/>
      <c r="DJ83" s="12"/>
      <c r="DK83" s="12"/>
      <c r="DL83" s="12"/>
      <c r="DM83" s="12"/>
      <c r="DN83" s="12"/>
      <c r="DO83" s="12"/>
      <c r="DP83" s="12"/>
      <c r="DQ83" s="12"/>
    </row>
    <row r="84" spans="1:121" x14ac:dyDescent="0.2">
      <c r="A84" s="17" t="s">
        <v>1709</v>
      </c>
      <c r="B84" s="12">
        <f>P84+AF84+AV84+BL84+CB84+CR84</f>
        <v>0</v>
      </c>
      <c r="C84" s="12">
        <f t="shared" ref="C84:C86" si="25">Q84+AG84+AW84+BM84+CC84+CS84</f>
        <v>0</v>
      </c>
      <c r="D84" s="12">
        <f t="shared" ref="D84:D86" si="26">R84+AH84+AX84+BN84+CD84+CT84</f>
        <v>0</v>
      </c>
      <c r="E84" s="12">
        <f t="shared" ref="E84:E86" si="27">S84+AI84+AY84+BO84+CE84+CU84</f>
        <v>0</v>
      </c>
      <c r="F84" s="12">
        <f t="shared" ref="F84:F86" si="28">T84+AJ84+AZ84+BP84+CF84+CV84</f>
        <v>0</v>
      </c>
      <c r="G84" s="12">
        <f>U84+AK84+BA84+BQ84+CG84+CW84</f>
        <v>0</v>
      </c>
      <c r="H84" s="12">
        <f t="shared" ref="H84:H86" si="29">V84+AL84+BB84+BR84+CH84+CX84</f>
        <v>0</v>
      </c>
      <c r="I84" s="12">
        <f>W84+AM84+BC84+BS84+CI84+CY84</f>
        <v>0</v>
      </c>
      <c r="J84" s="12">
        <f t="shared" ref="J84:J86" si="30">X84+AN84+BD84+BT84+CJ84+CZ84</f>
        <v>0</v>
      </c>
      <c r="P84" s="12" cm="1">
        <f t="array" ref="P84" xml:space="preserve"> _xlfn.SWITCH(P$5, 1, AA84, -1, AC84, 0)</f>
        <v>0</v>
      </c>
      <c r="Q84" s="12" cm="1">
        <f t="array" ref="Q84" xml:space="preserve"> _xlfn.SWITCH(Q$5, 1, AA84, -1, AC84, 0)</f>
        <v>0</v>
      </c>
      <c r="R84" s="12" cm="1">
        <f t="array" ref="R84" xml:space="preserve"> _xlfn.SWITCH(R$5, 1, AA84, -1, AC84, 0)</f>
        <v>0</v>
      </c>
      <c r="S84" s="12" cm="1">
        <f t="array" ref="S84" xml:space="preserve"> _xlfn.SWITCH(S$5, 1, AA84, -1, AC84, 0)</f>
        <v>0</v>
      </c>
      <c r="T84" s="12" cm="1">
        <f t="array" ref="T84" xml:space="preserve"> _xlfn.SWITCH(T$5, 1, AA84, -1, AC84, 0)</f>
        <v>0</v>
      </c>
      <c r="U84" s="12" cm="1">
        <f t="array" ref="U84" xml:space="preserve"> _xlfn.SWITCH(U$5, 1, AA84, -1, AC84, 0)</f>
        <v>0</v>
      </c>
      <c r="V84" s="12" cm="1">
        <f t="array" ref="V84" xml:space="preserve"> _xlfn.SWITCH(V$5, 1, AA84, -1, AC84, 0)</f>
        <v>0</v>
      </c>
      <c r="W84" s="12" cm="1">
        <f t="array" ref="W84" xml:space="preserve"> _xlfn.SWITCH(W$5, 1, AA84, -1, AC84, 0)</f>
        <v>0</v>
      </c>
      <c r="X84" s="12" cm="1">
        <f t="array" ref="X84" xml:space="preserve"> _xlfn.SWITCH(X$5, 1, AA84, -1, AC84, 0)</f>
        <v>0</v>
      </c>
      <c r="Z84" s="29" t="s">
        <v>1305</v>
      </c>
      <c r="AA84">
        <f>_xlfn.XLOOKUP(Z84,'KPI Impacts'!$B$2:$H$2,'KPI Impacts'!$B84:$H84)</f>
        <v>-3.2</v>
      </c>
      <c r="AB84" s="16" t="s">
        <v>1303</v>
      </c>
      <c r="AC84">
        <f>_xlfn.XLOOKUP(AB84,'KPI Impacts'!$B$2:$H$2,'KPI Impacts'!$B84:$H84)</f>
        <v>0</v>
      </c>
      <c r="AF84" s="12" cm="1">
        <f t="array" ref="AF84" xml:space="preserve"> _xlfn.SWITCH(AF$5, 1, AQ84, -1, AS84, 0)</f>
        <v>0</v>
      </c>
      <c r="AG84" s="12" cm="1">
        <f t="array" ref="AG84" xml:space="preserve"> _xlfn.SWITCH(AG$5, 1, AQ84, -1, AS84, 0)</f>
        <v>0</v>
      </c>
      <c r="AH84" s="12" cm="1">
        <f t="array" ref="AH84" xml:space="preserve"> _xlfn.SWITCH(AH$5, 1, AQ84, -1, AS84, 0)</f>
        <v>0</v>
      </c>
      <c r="AI84" s="12" cm="1">
        <f t="array" ref="AI84" xml:space="preserve"> _xlfn.SWITCH(AI$5, 1, AQ84, -1, AS84, 0)</f>
        <v>0</v>
      </c>
      <c r="AJ84" s="12" cm="1">
        <f t="array" ref="AJ84" xml:space="preserve"> _xlfn.SWITCH(AJ$5, 1, AQ84, -1, AS84, 0)</f>
        <v>0</v>
      </c>
      <c r="AK84" s="12" cm="1">
        <f t="array" ref="AK84" xml:space="preserve"> _xlfn.SWITCH(AK$5, 1, AQ84, -1, AS84, 0)</f>
        <v>0</v>
      </c>
      <c r="AL84" s="12" cm="1">
        <f t="array" ref="AL84" xml:space="preserve"> _xlfn.SWITCH(AL$5, 1, AQ84, -1, AS84, 0)</f>
        <v>0</v>
      </c>
      <c r="AM84" s="12" cm="1">
        <f t="array" ref="AM84" xml:space="preserve"> _xlfn.SWITCH(AM$5, 1, AQ84, -1, AS84, 0)</f>
        <v>0</v>
      </c>
      <c r="AN84" s="12" cm="1">
        <f t="array" ref="AN84" xml:space="preserve"> _xlfn.SWITCH(AN$5, 1, AQ84, -1, AS84, 0)</f>
        <v>0</v>
      </c>
      <c r="AP84" s="16" t="s">
        <v>1303</v>
      </c>
      <c r="AQ84">
        <f>_xlfn.XLOOKUP(AP84,'KPI Impacts'!$B$2:$H$2,'KPI Impacts'!$B84:$H84)</f>
        <v>0</v>
      </c>
      <c r="AR84" s="16" t="s">
        <v>1303</v>
      </c>
      <c r="AS84">
        <f>_xlfn.XLOOKUP(AR84,'KPI Impacts'!$B$2:$H$2,'KPI Impacts'!$B84:$H84)</f>
        <v>0</v>
      </c>
      <c r="AV84" s="12" cm="1">
        <f t="array" ref="AV84" xml:space="preserve"> _xlfn.SWITCH(AV$5, 1, BG84, -1, BI84, 0)</f>
        <v>0</v>
      </c>
      <c r="AW84" s="12" cm="1">
        <f t="array" ref="AW84" xml:space="preserve"> _xlfn.SWITCH(AW$5, 1, BG84, -1, BI84, 0)</f>
        <v>0</v>
      </c>
      <c r="AX84" s="12" cm="1">
        <f t="array" ref="AX84" xml:space="preserve"> _xlfn.SWITCH(AX$5, 1, BG84, -1, BI84, 0)</f>
        <v>0</v>
      </c>
      <c r="AY84" s="12" cm="1">
        <f t="array" ref="AY84" xml:space="preserve"> _xlfn.SWITCH(AY$5, 1, BG84, -1, BI84, 0)</f>
        <v>0</v>
      </c>
      <c r="AZ84" s="12" cm="1">
        <f t="array" ref="AZ84" xml:space="preserve"> _xlfn.SWITCH(AZ$5, 1, BG84, -1, BI84, 0)</f>
        <v>0</v>
      </c>
      <c r="BA84" s="12" cm="1">
        <f t="array" ref="BA84" xml:space="preserve"> _xlfn.SWITCH(BA$5, 1, BG84, -1, BI84, 0)</f>
        <v>0</v>
      </c>
      <c r="BB84" s="12" cm="1">
        <f t="array" ref="BB84" xml:space="preserve"> _xlfn.SWITCH(BB$5, 1, BG84, -1, BI84, 0)</f>
        <v>0</v>
      </c>
      <c r="BC84" s="12" cm="1">
        <f t="array" ref="BC84" xml:space="preserve"> _xlfn.SWITCH(BC$5, 1, BG84, -1, BI84, 0)</f>
        <v>0</v>
      </c>
      <c r="BD84" s="12" cm="1">
        <f t="array" ref="BD84" xml:space="preserve"> _xlfn.SWITCH(BD$5, 1, BG84, -1, BI84, 0)</f>
        <v>0</v>
      </c>
      <c r="BF84" s="29" t="s">
        <v>1304</v>
      </c>
      <c r="BG84">
        <f>_xlfn.XLOOKUP(BF84,'KPI Impacts'!$B$2:$H$2,'KPI Impacts'!$B84:$H84)</f>
        <v>-0.8</v>
      </c>
      <c r="BH84" s="16" t="s">
        <v>1303</v>
      </c>
      <c r="BI84">
        <f>_xlfn.XLOOKUP(BH84,'KPI Impacts'!$B$2:$H$2,'KPI Impacts'!$B84:$H84)</f>
        <v>0</v>
      </c>
      <c r="BL84" s="12" cm="1">
        <f t="array" ref="BL84" xml:space="preserve"> _xlfn.SWITCH(BL$5, 1, BW84, -1, BY84, 0)</f>
        <v>0</v>
      </c>
      <c r="BM84" s="12" cm="1">
        <f t="array" ref="BM84" xml:space="preserve"> _xlfn.SWITCH(BM$5, 1, BW84, -1, BY84, 0)</f>
        <v>0</v>
      </c>
      <c r="BN84" s="12" cm="1">
        <f t="array" ref="BN84" xml:space="preserve"> _xlfn.SWITCH(BN$5, 1, BW84, -1, BY84, 0)</f>
        <v>0</v>
      </c>
      <c r="BO84" s="12" cm="1">
        <f t="array" ref="BO84" xml:space="preserve"> _xlfn.SWITCH(BO$5, 1, BW84, -1, BY84, 0)</f>
        <v>0</v>
      </c>
      <c r="BP84" s="12" cm="1">
        <f t="array" ref="BP84" xml:space="preserve"> _xlfn.SWITCH(BP$5, 1, BW84, -1, BY84, 0)</f>
        <v>0</v>
      </c>
      <c r="BQ84" s="12" cm="1">
        <f t="array" ref="BQ84" xml:space="preserve"> _xlfn.SWITCH(BQ$5, 1, BW84, -1, BY84, 0)</f>
        <v>0</v>
      </c>
      <c r="BR84" s="12" cm="1">
        <f t="array" ref="BR84" xml:space="preserve"> _xlfn.SWITCH(BR$5, 1, BW84, -1, BY84, 0)</f>
        <v>0</v>
      </c>
      <c r="BS84" s="12" cm="1">
        <f t="array" ref="BS84" xml:space="preserve"> _xlfn.SWITCH(BS$5, 1, BW84, -1, BY84, 0)</f>
        <v>0</v>
      </c>
      <c r="BT84" s="12" cm="1">
        <f t="array" ref="BT84" xml:space="preserve"> _xlfn.SWITCH(BT$5, 1, BW84, -1, BY84, 0)</f>
        <v>0</v>
      </c>
      <c r="BV84" s="16" t="s">
        <v>1303</v>
      </c>
      <c r="BW84">
        <f>_xlfn.XLOOKUP(BV84,'KPI Impacts'!$B$2:$H$2,'KPI Impacts'!$B84:$H84)</f>
        <v>0</v>
      </c>
      <c r="BX84" s="16" t="s">
        <v>1303</v>
      </c>
      <c r="BY84">
        <f>_xlfn.XLOOKUP(BX84,'KPI Impacts'!$B$2:$H$2,'KPI Impacts'!$B84:$H84)</f>
        <v>0</v>
      </c>
      <c r="CB84" s="12" cm="1">
        <f t="array" ref="CB84" xml:space="preserve"> _xlfn.SWITCH(CB$5, 1, CM84, -1, CO84, 0)</f>
        <v>0</v>
      </c>
      <c r="CC84" s="12" cm="1">
        <f t="array" ref="CC84" xml:space="preserve"> _xlfn.SWITCH(CC$5, 1, CM84, -1, CO84, 0)</f>
        <v>0</v>
      </c>
      <c r="CD84" s="12" cm="1">
        <f t="array" ref="CD84" xml:space="preserve"> _xlfn.SWITCH(CD$5, 1, CM84, -1, CO84, 0)</f>
        <v>0</v>
      </c>
      <c r="CE84" s="12" cm="1">
        <f t="array" ref="CE84" xml:space="preserve"> _xlfn.SWITCH(CE$5, 1, CM84, -1, CO84, 0)</f>
        <v>0</v>
      </c>
      <c r="CF84" s="12" cm="1">
        <f t="array" ref="CF84" xml:space="preserve"> _xlfn.SWITCH(CF$5, 1, CM84, -1, CO84, 0)</f>
        <v>0</v>
      </c>
      <c r="CG84" s="12" cm="1">
        <f t="array" ref="CG84" xml:space="preserve"> _xlfn.SWITCH(CG$5, 1, CM84, -1, CO84, 0)</f>
        <v>0</v>
      </c>
      <c r="CH84" s="12" cm="1">
        <f t="array" ref="CH84" xml:space="preserve"> _xlfn.SWITCH(CH$5, 1, CM84, -1, CO84, 0)</f>
        <v>0</v>
      </c>
      <c r="CI84" s="12" cm="1">
        <f t="array" ref="CI84" xml:space="preserve"> _xlfn.SWITCH(CI$5, 1, CM84, -1, CO84, 0)</f>
        <v>0</v>
      </c>
      <c r="CJ84" s="12" cm="1">
        <f t="array" ref="CJ84" xml:space="preserve"> _xlfn.SWITCH(CJ$5, 1, CM84, -1, CO84, 0)</f>
        <v>0</v>
      </c>
      <c r="CL84" s="16" t="s">
        <v>1303</v>
      </c>
      <c r="CM84">
        <f>_xlfn.XLOOKUP(CL84,'KPI Impacts'!$B$2:$H$2,'KPI Impacts'!$B84:$H84)</f>
        <v>0</v>
      </c>
      <c r="CN84" s="16" t="s">
        <v>1303</v>
      </c>
      <c r="CO84">
        <f>_xlfn.XLOOKUP(CN84,'KPI Impacts'!$B$2:$H$2,'KPI Impacts'!$B84:$H84)</f>
        <v>0</v>
      </c>
      <c r="CR84" s="12" cm="1">
        <f t="array" ref="CR84" xml:space="preserve"> _xlfn.SWITCH(CR$5, 1, DC84, -1, DE84, 0)</f>
        <v>0</v>
      </c>
      <c r="CS84" s="12" cm="1">
        <f t="array" ref="CS84" xml:space="preserve"> _xlfn.SWITCH(CS$5, 1, DC84, -1, DE84, 0)</f>
        <v>0</v>
      </c>
      <c r="CT84" s="12" cm="1">
        <f t="array" ref="CT84" xml:space="preserve"> _xlfn.SWITCH(CT$5, 1, DC84, -1, DE84, 0)</f>
        <v>0</v>
      </c>
      <c r="CU84" s="12" cm="1">
        <f t="array" ref="CU84" xml:space="preserve"> _xlfn.SWITCH(CU$5, 1, DC84, -1, DE84, 0)</f>
        <v>0</v>
      </c>
      <c r="CV84" s="12" cm="1">
        <f t="array" ref="CV84" xml:space="preserve"> _xlfn.SWITCH(CV$5, 1, DC84, -1, DE84, 0)</f>
        <v>0</v>
      </c>
      <c r="CW84" s="12" cm="1">
        <f t="array" ref="CW84" xml:space="preserve"> _xlfn.SWITCH(CW$5, 1, DC84, -1, DE84, 0)</f>
        <v>0</v>
      </c>
      <c r="CX84" s="12" cm="1">
        <f t="array" ref="CX84" xml:space="preserve"> _xlfn.SWITCH(CX$5, 1, DC84, -1, DE84, 0)</f>
        <v>0</v>
      </c>
      <c r="CY84" s="12" cm="1">
        <f t="array" ref="CY84" xml:space="preserve"> _xlfn.SWITCH(CY$5, 1, DC84, -1, DE84, 0)</f>
        <v>0</v>
      </c>
      <c r="CZ84" s="12" cm="1">
        <f t="array" ref="CZ84" xml:space="preserve"> _xlfn.SWITCH(CZ$5, 1, DC84, -1, DE84, 0)</f>
        <v>0</v>
      </c>
      <c r="DB84" s="16" t="s">
        <v>1303</v>
      </c>
      <c r="DC84">
        <f>_xlfn.XLOOKUP(DB84,'KPI Impacts'!$B$2:$H$2,'KPI Impacts'!$B84:$H84)</f>
        <v>0</v>
      </c>
      <c r="DD84" s="16" t="s">
        <v>1303</v>
      </c>
      <c r="DE84">
        <f>_xlfn.XLOOKUP(DD84,'KPI Impacts'!$B$2:$H$2,'KPI Impacts'!$B84:$H84)</f>
        <v>0</v>
      </c>
      <c r="DL84" s="12"/>
      <c r="DM84" s="12"/>
    </row>
    <row r="85" spans="1:121" x14ac:dyDescent="0.2">
      <c r="A85" s="9" t="s">
        <v>1314</v>
      </c>
      <c r="B85" s="12">
        <f>P85+AF85+AV85+BL85+CB85+CR85</f>
        <v>0</v>
      </c>
      <c r="C85" s="12">
        <f t="shared" si="25"/>
        <v>0</v>
      </c>
      <c r="D85" s="12">
        <f t="shared" si="26"/>
        <v>0</v>
      </c>
      <c r="E85" s="12">
        <f t="shared" si="27"/>
        <v>0</v>
      </c>
      <c r="F85" s="12">
        <f t="shared" si="28"/>
        <v>0</v>
      </c>
      <c r="G85" s="12">
        <f>U85+AK85+BA85+BQ85+CG85+CW85</f>
        <v>0</v>
      </c>
      <c r="H85" s="12">
        <f t="shared" si="29"/>
        <v>0</v>
      </c>
      <c r="I85" s="12">
        <f>W85+AM85+BC85+BS85+CI85+CY85</f>
        <v>0</v>
      </c>
      <c r="J85" s="12">
        <f t="shared" si="30"/>
        <v>0</v>
      </c>
      <c r="P85" s="12" cm="1">
        <f t="array" ref="P85" xml:space="preserve"> _xlfn.SWITCH(P$5, 1, AA85, -1, AC85, 0)</f>
        <v>0</v>
      </c>
      <c r="Q85" s="12" cm="1">
        <f t="array" ref="Q85" xml:space="preserve"> _xlfn.SWITCH(Q$5, 1, AA85, -1, AC85, 0)</f>
        <v>0</v>
      </c>
      <c r="R85" s="12" cm="1">
        <f t="array" ref="R85" xml:space="preserve"> _xlfn.SWITCH(R$5, 1, AA85, -1, AC85, 0)</f>
        <v>0</v>
      </c>
      <c r="S85" s="12" cm="1">
        <f t="array" ref="S85" xml:space="preserve"> _xlfn.SWITCH(S$5, 1, AA85, -1, AC85, 0)</f>
        <v>0</v>
      </c>
      <c r="T85" s="12" cm="1">
        <f t="array" ref="T85" xml:space="preserve"> _xlfn.SWITCH(T$5, 1, AA85, -1, AC85, 0)</f>
        <v>0</v>
      </c>
      <c r="U85" s="12" cm="1">
        <f t="array" ref="U85" xml:space="preserve"> _xlfn.SWITCH(U$5, 1, AA85, -1, AC85, 0)</f>
        <v>0</v>
      </c>
      <c r="V85" s="12" cm="1">
        <f t="array" ref="V85" xml:space="preserve"> _xlfn.SWITCH(V$5, 1, AA85, -1, AC85, 0)</f>
        <v>0</v>
      </c>
      <c r="W85" s="12" cm="1">
        <f t="array" ref="W85" xml:space="preserve"> _xlfn.SWITCH(W$5, 1, AA85, -1, AC85, 0)</f>
        <v>0</v>
      </c>
      <c r="X85" s="12" cm="1">
        <f t="array" ref="X85" xml:space="preserve"> _xlfn.SWITCH(X$5, 1, AA85, -1, AC85, 0)</f>
        <v>0</v>
      </c>
      <c r="Z85" s="16" t="s">
        <v>1303</v>
      </c>
      <c r="AA85">
        <f>_xlfn.XLOOKUP(Z85,'KPI Impacts'!$B$2:$H$2,'KPI Impacts'!$B85:$H85)</f>
        <v>0</v>
      </c>
      <c r="AB85" s="16" t="s">
        <v>1303</v>
      </c>
      <c r="AC85">
        <f>_xlfn.XLOOKUP(AB85,'KPI Impacts'!$B$2:$H$2,'KPI Impacts'!$B85:$H85)</f>
        <v>0</v>
      </c>
      <c r="AF85" s="12" cm="1">
        <f t="array" ref="AF85" xml:space="preserve"> _xlfn.SWITCH(AF$5, 1, AQ85, -1, AS85, 0)</f>
        <v>0</v>
      </c>
      <c r="AG85" s="12" cm="1">
        <f t="array" ref="AG85" xml:space="preserve"> _xlfn.SWITCH(AG$5, 1, AQ85, -1, AS85, 0)</f>
        <v>0</v>
      </c>
      <c r="AH85" s="12" cm="1">
        <f t="array" ref="AH85" xml:space="preserve"> _xlfn.SWITCH(AH$5, 1, AQ85, -1, AS85, 0)</f>
        <v>0</v>
      </c>
      <c r="AI85" s="12" cm="1">
        <f t="array" ref="AI85" xml:space="preserve"> _xlfn.SWITCH(AI$5, 1, AQ85, -1, AS85, 0)</f>
        <v>0</v>
      </c>
      <c r="AJ85" s="12" cm="1">
        <f t="array" ref="AJ85" xml:space="preserve"> _xlfn.SWITCH(AJ$5, 1, AQ85, -1, AS85, 0)</f>
        <v>0</v>
      </c>
      <c r="AK85" s="12" cm="1">
        <f t="array" ref="AK85" xml:space="preserve"> _xlfn.SWITCH(AK$5, 1, AQ85, -1, AS85, 0)</f>
        <v>0</v>
      </c>
      <c r="AL85" s="12" cm="1">
        <f t="array" ref="AL85" xml:space="preserve"> _xlfn.SWITCH(AL$5, 1, AQ85, -1, AS85, 0)</f>
        <v>0</v>
      </c>
      <c r="AM85" s="12" cm="1">
        <f t="array" ref="AM85" xml:space="preserve"> _xlfn.SWITCH(AM$5, 1, AQ85, -1, AS85, 0)</f>
        <v>0</v>
      </c>
      <c r="AN85" s="12" cm="1">
        <f t="array" ref="AN85" xml:space="preserve"> _xlfn.SWITCH(AN$5, 1, AQ85, -1, AS85, 0)</f>
        <v>0</v>
      </c>
      <c r="AP85" s="16" t="s">
        <v>1303</v>
      </c>
      <c r="AQ85">
        <f>_xlfn.XLOOKUP(AP85,'KPI Impacts'!$B$2:$H$2,'KPI Impacts'!$B85:$H85)</f>
        <v>0</v>
      </c>
      <c r="AR85" s="16" t="s">
        <v>1303</v>
      </c>
      <c r="AS85">
        <f>_xlfn.XLOOKUP(AR85,'KPI Impacts'!$B$2:$H$2,'KPI Impacts'!$B85:$H85)</f>
        <v>0</v>
      </c>
      <c r="AV85" s="12" cm="1">
        <f t="array" ref="AV85" xml:space="preserve"> _xlfn.SWITCH(AV$5, 1, BG85, -1, BI85, 0)</f>
        <v>0</v>
      </c>
      <c r="AW85" s="12" cm="1">
        <f t="array" ref="AW85" xml:space="preserve"> _xlfn.SWITCH(AW$5, 1, BG85, -1, BI85, 0)</f>
        <v>0</v>
      </c>
      <c r="AX85" s="12" cm="1">
        <f t="array" ref="AX85" xml:space="preserve"> _xlfn.SWITCH(AX$5, 1, BG85, -1, BI85, 0)</f>
        <v>0</v>
      </c>
      <c r="AY85" s="12" cm="1">
        <f t="array" ref="AY85" xml:space="preserve"> _xlfn.SWITCH(AY$5, 1, BG85, -1, BI85, 0)</f>
        <v>0</v>
      </c>
      <c r="AZ85" s="12" cm="1">
        <f t="array" ref="AZ85" xml:space="preserve"> _xlfn.SWITCH(AZ$5, 1, BG85, -1, BI85, 0)</f>
        <v>0</v>
      </c>
      <c r="BA85" s="12" cm="1">
        <f t="array" ref="BA85" xml:space="preserve"> _xlfn.SWITCH(BA$5, 1, BG85, -1, BI85, 0)</f>
        <v>0</v>
      </c>
      <c r="BB85" s="12" cm="1">
        <f t="array" ref="BB85" xml:space="preserve"> _xlfn.SWITCH(BB$5, 1, BG85, -1, BI85, 0)</f>
        <v>0</v>
      </c>
      <c r="BC85" s="12" cm="1">
        <f t="array" ref="BC85" xml:space="preserve"> _xlfn.SWITCH(BC$5, 1, BG85, -1, BI85, 0)</f>
        <v>0</v>
      </c>
      <c r="BD85" s="12" cm="1">
        <f t="array" ref="BD85" xml:space="preserve"> _xlfn.SWITCH(BD$5, 1, BG85, -1, BI85, 0)</f>
        <v>0</v>
      </c>
      <c r="BF85" s="16" t="s">
        <v>1303</v>
      </c>
      <c r="BG85">
        <f>_xlfn.XLOOKUP(BF85,'KPI Impacts'!$B$2:$H$2,'KPI Impacts'!$B85:$H85)</f>
        <v>0</v>
      </c>
      <c r="BH85" s="16" t="s">
        <v>1303</v>
      </c>
      <c r="BI85">
        <f>_xlfn.XLOOKUP(BH85,'KPI Impacts'!$B$2:$H$2,'KPI Impacts'!$B85:$H85)</f>
        <v>0</v>
      </c>
      <c r="BL85" s="12" cm="1">
        <f t="array" ref="BL85" xml:space="preserve"> _xlfn.SWITCH(BL$5, 1, BW85, -1, BY85, 0)</f>
        <v>0</v>
      </c>
      <c r="BM85" s="12" cm="1">
        <f t="array" ref="BM85" xml:space="preserve"> _xlfn.SWITCH(BM$5, 1, BW85, -1, BY85, 0)</f>
        <v>0</v>
      </c>
      <c r="BN85" s="12" cm="1">
        <f t="array" ref="BN85" xml:space="preserve"> _xlfn.SWITCH(BN$5, 1, BW85, -1, BY85, 0)</f>
        <v>0</v>
      </c>
      <c r="BO85" s="12" cm="1">
        <f t="array" ref="BO85" xml:space="preserve"> _xlfn.SWITCH(BO$5, 1, BW85, -1, BY85, 0)</f>
        <v>0</v>
      </c>
      <c r="BP85" s="12" cm="1">
        <f t="array" ref="BP85" xml:space="preserve"> _xlfn.SWITCH(BP$5, 1, BW85, -1, BY85, 0)</f>
        <v>0</v>
      </c>
      <c r="BQ85" s="12" cm="1">
        <f t="array" ref="BQ85" xml:space="preserve"> _xlfn.SWITCH(BQ$5, 1, BW85, -1, BY85, 0)</f>
        <v>0</v>
      </c>
      <c r="BR85" s="12" cm="1">
        <f t="array" ref="BR85" xml:space="preserve"> _xlfn.SWITCH(BR$5, 1, BW85, -1, BY85, 0)</f>
        <v>0</v>
      </c>
      <c r="BS85" s="12" cm="1">
        <f t="array" ref="BS85" xml:space="preserve"> _xlfn.SWITCH(BS$5, 1, BW85, -1, BY85, 0)</f>
        <v>0</v>
      </c>
      <c r="BT85" s="12" cm="1">
        <f t="array" ref="BT85" xml:space="preserve"> _xlfn.SWITCH(BT$5, 1, BW85, -1, BY85, 0)</f>
        <v>0</v>
      </c>
      <c r="BV85" s="16" t="s">
        <v>1303</v>
      </c>
      <c r="BW85">
        <f>_xlfn.XLOOKUP(BV85,'KPI Impacts'!$B$2:$H$2,'KPI Impacts'!$B85:$H85)</f>
        <v>0</v>
      </c>
      <c r="BX85" s="16" t="s">
        <v>1303</v>
      </c>
      <c r="BY85">
        <f>_xlfn.XLOOKUP(BX85,'KPI Impacts'!$B$2:$H$2,'KPI Impacts'!$B85:$H85)</f>
        <v>0</v>
      </c>
      <c r="CB85" s="12" cm="1">
        <f t="array" ref="CB85" xml:space="preserve"> _xlfn.SWITCH(CB$5, 1, CM85, -1, CO85, 0)</f>
        <v>0</v>
      </c>
      <c r="CC85" s="12" cm="1">
        <f t="array" ref="CC85" xml:space="preserve"> _xlfn.SWITCH(CC$5, 1, CM85, -1, CO85, 0)</f>
        <v>0</v>
      </c>
      <c r="CD85" s="12" cm="1">
        <f t="array" ref="CD85" xml:space="preserve"> _xlfn.SWITCH(CD$5, 1, CM85, -1, CO85, 0)</f>
        <v>0</v>
      </c>
      <c r="CE85" s="12" cm="1">
        <f t="array" ref="CE85" xml:space="preserve"> _xlfn.SWITCH(CE$5, 1, CM85, -1, CO85, 0)</f>
        <v>0</v>
      </c>
      <c r="CF85" s="12" cm="1">
        <f t="array" ref="CF85" xml:space="preserve"> _xlfn.SWITCH(CF$5, 1, CM85, -1, CO85, 0)</f>
        <v>0</v>
      </c>
      <c r="CG85" s="12" cm="1">
        <f t="array" ref="CG85" xml:space="preserve"> _xlfn.SWITCH(CG$5, 1, CM85, -1, CO85, 0)</f>
        <v>0</v>
      </c>
      <c r="CH85" s="12" cm="1">
        <f t="array" ref="CH85" xml:space="preserve"> _xlfn.SWITCH(CH$5, 1, CM85, -1, CO85, 0)</f>
        <v>0</v>
      </c>
      <c r="CI85" s="12" cm="1">
        <f t="array" ref="CI85" xml:space="preserve"> _xlfn.SWITCH(CI$5, 1, CM85, -1, CO85, 0)</f>
        <v>0</v>
      </c>
      <c r="CJ85" s="12" cm="1">
        <f t="array" ref="CJ85" xml:space="preserve"> _xlfn.SWITCH(CJ$5, 1, CM85, -1, CO85, 0)</f>
        <v>0</v>
      </c>
      <c r="CL85" s="16" t="s">
        <v>1303</v>
      </c>
      <c r="CM85">
        <f>_xlfn.XLOOKUP(CL85,'KPI Impacts'!$B$2:$H$2,'KPI Impacts'!$B85:$H85)</f>
        <v>0</v>
      </c>
      <c r="CN85" s="16" t="s">
        <v>1303</v>
      </c>
      <c r="CO85">
        <f>_xlfn.XLOOKUP(CN85,'KPI Impacts'!$B$2:$H$2,'KPI Impacts'!$B85:$H85)</f>
        <v>0</v>
      </c>
      <c r="CR85" s="12" cm="1">
        <f t="array" ref="CR85" xml:space="preserve"> _xlfn.SWITCH(CR$5, 1, DC85, -1, DE85, 0)</f>
        <v>0</v>
      </c>
      <c r="CS85" s="12" cm="1">
        <f t="array" ref="CS85" xml:space="preserve"> _xlfn.SWITCH(CS$5, 1, DC85, -1, DE85, 0)</f>
        <v>0</v>
      </c>
      <c r="CT85" s="12" cm="1">
        <f t="array" ref="CT85" xml:space="preserve"> _xlfn.SWITCH(CT$5, 1, DC85, -1, DE85, 0)</f>
        <v>0</v>
      </c>
      <c r="CU85" s="12" cm="1">
        <f t="array" ref="CU85" xml:space="preserve"> _xlfn.SWITCH(CU$5, 1, DC85, -1, DE85, 0)</f>
        <v>0</v>
      </c>
      <c r="CV85" s="12" cm="1">
        <f t="array" ref="CV85" xml:space="preserve"> _xlfn.SWITCH(CV$5, 1, DC85, -1, DE85, 0)</f>
        <v>0</v>
      </c>
      <c r="CW85" s="12" cm="1">
        <f t="array" ref="CW85" xml:space="preserve"> _xlfn.SWITCH(CW$5, 1, DC85, -1, DE85, 0)</f>
        <v>0</v>
      </c>
      <c r="CX85" s="12" cm="1">
        <f t="array" ref="CX85" xml:space="preserve"> _xlfn.SWITCH(CX$5, 1, DC85, -1, DE85, 0)</f>
        <v>0</v>
      </c>
      <c r="CY85" s="12" cm="1">
        <f t="array" ref="CY85" xml:space="preserve"> _xlfn.SWITCH(CY$5, 1, DC85, -1, DE85, 0)</f>
        <v>0</v>
      </c>
      <c r="CZ85" s="12" cm="1">
        <f t="array" ref="CZ85" xml:space="preserve"> _xlfn.SWITCH(CZ$5, 1, DC85, -1, DE85, 0)</f>
        <v>0</v>
      </c>
      <c r="DB85" s="16" t="s">
        <v>1303</v>
      </c>
      <c r="DC85">
        <f>_xlfn.XLOOKUP(DB85,'KPI Impacts'!$B$2:$H$2,'KPI Impacts'!$B85:$H85)</f>
        <v>0</v>
      </c>
      <c r="DD85" s="16" t="s">
        <v>1303</v>
      </c>
      <c r="DE85">
        <f>_xlfn.XLOOKUP(DD85,'KPI Impacts'!$B$2:$H$2,'KPI Impacts'!$B85:$H85)</f>
        <v>0</v>
      </c>
      <c r="DI85" s="12"/>
      <c r="DJ85" s="12"/>
      <c r="DK85" s="12"/>
      <c r="DL85" s="12"/>
      <c r="DM85" s="12"/>
      <c r="DN85" s="12"/>
      <c r="DO85" s="12"/>
      <c r="DP85" s="12"/>
      <c r="DQ85" s="12"/>
    </row>
    <row r="86" spans="1:121" x14ac:dyDescent="0.2">
      <c r="A86" s="9" t="s">
        <v>1315</v>
      </c>
      <c r="B86" s="12">
        <f>P86+AF86+AV86+BL86+CB86+CR86</f>
        <v>0</v>
      </c>
      <c r="C86" s="12">
        <f t="shared" si="25"/>
        <v>0</v>
      </c>
      <c r="D86" s="12">
        <f t="shared" si="26"/>
        <v>0</v>
      </c>
      <c r="E86" s="12">
        <f t="shared" si="27"/>
        <v>0</v>
      </c>
      <c r="F86" s="12">
        <f t="shared" si="28"/>
        <v>0</v>
      </c>
      <c r="G86" s="12">
        <f>U86+AK86+BA86+BQ86+CG86+CW86</f>
        <v>0</v>
      </c>
      <c r="H86" s="12">
        <f t="shared" si="29"/>
        <v>0</v>
      </c>
      <c r="I86" s="12">
        <f>W86+AM86+BC86+BS86+CI86+CY86</f>
        <v>0</v>
      </c>
      <c r="J86" s="12">
        <f t="shared" si="30"/>
        <v>0</v>
      </c>
      <c r="P86" s="12" cm="1">
        <f t="array" ref="P86" xml:space="preserve"> _xlfn.SWITCH(P$5, 1, AA86, -1, AC86, 0)</f>
        <v>0</v>
      </c>
      <c r="Q86" s="12" cm="1">
        <f t="array" ref="Q86" xml:space="preserve"> _xlfn.SWITCH(Q$5, 1, AA86, -1, AC86, 0)</f>
        <v>0</v>
      </c>
      <c r="R86" s="12" cm="1">
        <f t="array" ref="R86" xml:space="preserve"> _xlfn.SWITCH(R$5, 1, AA86, -1, AC86, 0)</f>
        <v>0</v>
      </c>
      <c r="S86" s="12" cm="1">
        <f t="array" ref="S86" xml:space="preserve"> _xlfn.SWITCH(S$5, 1, AA86, -1, AC86, 0)</f>
        <v>0</v>
      </c>
      <c r="T86" s="12" cm="1">
        <f t="array" ref="T86" xml:space="preserve"> _xlfn.SWITCH(T$5, 1, AA86, -1, AC86, 0)</f>
        <v>0</v>
      </c>
      <c r="U86" s="12" cm="1">
        <f t="array" ref="U86" xml:space="preserve"> _xlfn.SWITCH(U$5, 1, AA86, -1, AC86, 0)</f>
        <v>0</v>
      </c>
      <c r="V86" s="12" cm="1">
        <f t="array" ref="V86" xml:space="preserve"> _xlfn.SWITCH(V$5, 1, AA86, -1, AC86, 0)</f>
        <v>0</v>
      </c>
      <c r="W86" s="12" cm="1">
        <f t="array" ref="W86" xml:space="preserve"> _xlfn.SWITCH(W$5, 1, AA86, -1, AC86, 0)</f>
        <v>0</v>
      </c>
      <c r="X86" s="12" cm="1">
        <f t="array" ref="X86" xml:space="preserve"> _xlfn.SWITCH(X$5, 1, AA86, -1, AC86, 0)</f>
        <v>0</v>
      </c>
      <c r="Z86" s="16" t="s">
        <v>1303</v>
      </c>
      <c r="AA86">
        <f>_xlfn.XLOOKUP(Z86,'KPI Impacts'!$B$2:$H$2,'KPI Impacts'!$B86:$H86)</f>
        <v>0</v>
      </c>
      <c r="AB86" s="16" t="s">
        <v>1303</v>
      </c>
      <c r="AC86">
        <f>_xlfn.XLOOKUP(AB86,'KPI Impacts'!$B$2:$H$2,'KPI Impacts'!$B86:$H86)</f>
        <v>0</v>
      </c>
      <c r="AF86" s="12" cm="1">
        <f t="array" ref="AF86" xml:space="preserve"> _xlfn.SWITCH(AF$5, 1, AQ86, -1, AS86, 0)</f>
        <v>0</v>
      </c>
      <c r="AG86" s="12" cm="1">
        <f t="array" ref="AG86" xml:space="preserve"> _xlfn.SWITCH(AG$5, 1, AQ86, -1, AS86, 0)</f>
        <v>0</v>
      </c>
      <c r="AH86" s="12" cm="1">
        <f t="array" ref="AH86" xml:space="preserve"> _xlfn.SWITCH(AH$5, 1, AQ86, -1, AS86, 0)</f>
        <v>0</v>
      </c>
      <c r="AI86" s="12" cm="1">
        <f t="array" ref="AI86" xml:space="preserve"> _xlfn.SWITCH(AI$5, 1, AQ86, -1, AS86, 0)</f>
        <v>0</v>
      </c>
      <c r="AJ86" s="12" cm="1">
        <f t="array" ref="AJ86" xml:space="preserve"> _xlfn.SWITCH(AJ$5, 1, AQ86, -1, AS86, 0)</f>
        <v>0</v>
      </c>
      <c r="AK86" s="12" cm="1">
        <f t="array" ref="AK86" xml:space="preserve"> _xlfn.SWITCH(AK$5, 1, AQ86, -1, AS86, 0)</f>
        <v>0</v>
      </c>
      <c r="AL86" s="12" cm="1">
        <f t="array" ref="AL86" xml:space="preserve"> _xlfn.SWITCH(AL$5, 1, AQ86, -1, AS86, 0)</f>
        <v>0</v>
      </c>
      <c r="AM86" s="12" cm="1">
        <f t="array" ref="AM86" xml:space="preserve"> _xlfn.SWITCH(AM$5, 1, AQ86, -1, AS86, 0)</f>
        <v>0</v>
      </c>
      <c r="AN86" s="12" cm="1">
        <f t="array" ref="AN86" xml:space="preserve"> _xlfn.SWITCH(AN$5, 1, AQ86, -1, AS86, 0)</f>
        <v>0</v>
      </c>
      <c r="AP86" s="16" t="s">
        <v>1303</v>
      </c>
      <c r="AQ86">
        <f>_xlfn.XLOOKUP(AP86,'KPI Impacts'!$B$2:$H$2,'KPI Impacts'!$B86:$H86)</f>
        <v>0</v>
      </c>
      <c r="AR86" s="16" t="s">
        <v>1303</v>
      </c>
      <c r="AS86">
        <f>_xlfn.XLOOKUP(AR86,'KPI Impacts'!$B$2:$H$2,'KPI Impacts'!$B86:$H86)</f>
        <v>0</v>
      </c>
      <c r="AV86" s="12" cm="1">
        <f t="array" ref="AV86" xml:space="preserve"> _xlfn.SWITCH(AV$5, 1, BG86, -1, BI86, 0)</f>
        <v>0</v>
      </c>
      <c r="AW86" s="12" cm="1">
        <f t="array" ref="AW86" xml:space="preserve"> _xlfn.SWITCH(AW$5, 1, BG86, -1, BI86, 0)</f>
        <v>0</v>
      </c>
      <c r="AX86" s="12" cm="1">
        <f t="array" ref="AX86" xml:space="preserve"> _xlfn.SWITCH(AX$5, 1, BG86, -1, BI86, 0)</f>
        <v>0</v>
      </c>
      <c r="AY86" s="12" cm="1">
        <f t="array" ref="AY86" xml:space="preserve"> _xlfn.SWITCH(AY$5, 1, BG86, -1, BI86, 0)</f>
        <v>0</v>
      </c>
      <c r="AZ86" s="12" cm="1">
        <f t="array" ref="AZ86" xml:space="preserve"> _xlfn.SWITCH(AZ$5, 1, BG86, -1, BI86, 0)</f>
        <v>0</v>
      </c>
      <c r="BA86" s="12" cm="1">
        <f t="array" ref="BA86" xml:space="preserve"> _xlfn.SWITCH(BA$5, 1, BG86, -1, BI86, 0)</f>
        <v>0</v>
      </c>
      <c r="BB86" s="12" cm="1">
        <f t="array" ref="BB86" xml:space="preserve"> _xlfn.SWITCH(BB$5, 1, BG86, -1, BI86, 0)</f>
        <v>0</v>
      </c>
      <c r="BC86" s="12" cm="1">
        <f t="array" ref="BC86" xml:space="preserve"> _xlfn.SWITCH(BC$5, 1, BG86, -1, BI86, 0)</f>
        <v>0</v>
      </c>
      <c r="BD86" s="12" cm="1">
        <f t="array" ref="BD86" xml:space="preserve"> _xlfn.SWITCH(BD$5, 1, BG86, -1, BI86, 0)</f>
        <v>0</v>
      </c>
      <c r="BF86" s="16" t="s">
        <v>1303</v>
      </c>
      <c r="BG86">
        <f>_xlfn.XLOOKUP(BF86,'KPI Impacts'!$B$2:$H$2,'KPI Impacts'!$B86:$H86)</f>
        <v>0</v>
      </c>
      <c r="BH86" s="16" t="s">
        <v>1303</v>
      </c>
      <c r="BI86">
        <f>_xlfn.XLOOKUP(BH86,'KPI Impacts'!$B$2:$H$2,'KPI Impacts'!$B86:$H86)</f>
        <v>0</v>
      </c>
      <c r="BL86" s="12" cm="1">
        <f t="array" ref="BL86" xml:space="preserve"> _xlfn.SWITCH(BL$5, 1, BW86, -1, BY86, 0)</f>
        <v>0</v>
      </c>
      <c r="BM86" s="12" cm="1">
        <f t="array" ref="BM86" xml:space="preserve"> _xlfn.SWITCH(BM$5, 1, BW86, -1, BY86, 0)</f>
        <v>0</v>
      </c>
      <c r="BN86" s="12" cm="1">
        <f t="array" ref="BN86" xml:space="preserve"> _xlfn.SWITCH(BN$5, 1, BW86, -1, BY86, 0)</f>
        <v>0</v>
      </c>
      <c r="BO86" s="12" cm="1">
        <f t="array" ref="BO86" xml:space="preserve"> _xlfn.SWITCH(BO$5, 1, BW86, -1, BY86, 0)</f>
        <v>0</v>
      </c>
      <c r="BP86" s="12" cm="1">
        <f t="array" ref="BP86" xml:space="preserve"> _xlfn.SWITCH(BP$5, 1, BW86, -1, BY86, 0)</f>
        <v>0</v>
      </c>
      <c r="BQ86" s="12" cm="1">
        <f t="array" ref="BQ86" xml:space="preserve"> _xlfn.SWITCH(BQ$5, 1, BW86, -1, BY86, 0)</f>
        <v>0</v>
      </c>
      <c r="BR86" s="12" cm="1">
        <f t="array" ref="BR86" xml:space="preserve"> _xlfn.SWITCH(BR$5, 1, BW86, -1, BY86, 0)</f>
        <v>0</v>
      </c>
      <c r="BS86" s="12" cm="1">
        <f t="array" ref="BS86" xml:space="preserve"> _xlfn.SWITCH(BS$5, 1, BW86, -1, BY86, 0)</f>
        <v>0</v>
      </c>
      <c r="BT86" s="12" cm="1">
        <f t="array" ref="BT86" xml:space="preserve"> _xlfn.SWITCH(BT$5, 1, BW86, -1, BY86, 0)</f>
        <v>0</v>
      </c>
      <c r="BV86" s="16" t="s">
        <v>1303</v>
      </c>
      <c r="BW86">
        <f>_xlfn.XLOOKUP(BV86,'KPI Impacts'!$B$2:$H$2,'KPI Impacts'!$B86:$H86)</f>
        <v>0</v>
      </c>
      <c r="BX86" s="16" t="s">
        <v>1303</v>
      </c>
      <c r="BY86">
        <f>_xlfn.XLOOKUP(BX86,'KPI Impacts'!$B$2:$H$2,'KPI Impacts'!$B86:$H86)</f>
        <v>0</v>
      </c>
      <c r="CB86" s="12" cm="1">
        <f t="array" ref="CB86" xml:space="preserve"> _xlfn.SWITCH(CB$5, 1, CM86, -1, CO86, 0)</f>
        <v>0</v>
      </c>
      <c r="CC86" s="12" cm="1">
        <f t="array" ref="CC86" xml:space="preserve"> _xlfn.SWITCH(CC$5, 1, CM86, -1, CO86, 0)</f>
        <v>0</v>
      </c>
      <c r="CD86" s="12" cm="1">
        <f t="array" ref="CD86" xml:space="preserve"> _xlfn.SWITCH(CD$5, 1, CM86, -1, CO86, 0)</f>
        <v>0</v>
      </c>
      <c r="CE86" s="12" cm="1">
        <f t="array" ref="CE86" xml:space="preserve"> _xlfn.SWITCH(CE$5, 1, CM86, -1, CO86, 0)</f>
        <v>0</v>
      </c>
      <c r="CF86" s="12" cm="1">
        <f t="array" ref="CF86" xml:space="preserve"> _xlfn.SWITCH(CF$5, 1, CM86, -1, CO86, 0)</f>
        <v>0</v>
      </c>
      <c r="CG86" s="12" cm="1">
        <f t="array" ref="CG86" xml:space="preserve"> _xlfn.SWITCH(CG$5, 1, CM86, -1, CO86, 0)</f>
        <v>0</v>
      </c>
      <c r="CH86" s="12" cm="1">
        <f t="array" ref="CH86" xml:space="preserve"> _xlfn.SWITCH(CH$5, 1, CM86, -1, CO86, 0)</f>
        <v>0</v>
      </c>
      <c r="CI86" s="12" cm="1">
        <f t="array" ref="CI86" xml:space="preserve"> _xlfn.SWITCH(CI$5, 1, CM86, -1, CO86, 0)</f>
        <v>0</v>
      </c>
      <c r="CJ86" s="12" cm="1">
        <f t="array" ref="CJ86" xml:space="preserve"> _xlfn.SWITCH(CJ$5, 1, CM86, -1, CO86, 0)</f>
        <v>0</v>
      </c>
      <c r="CL86" s="16" t="s">
        <v>1303</v>
      </c>
      <c r="CM86">
        <f>_xlfn.XLOOKUP(CL86,'KPI Impacts'!$B$2:$H$2,'KPI Impacts'!$B86:$H86)</f>
        <v>0</v>
      </c>
      <c r="CN86" s="16" t="s">
        <v>1303</v>
      </c>
      <c r="CO86">
        <f>_xlfn.XLOOKUP(CN86,'KPI Impacts'!$B$2:$H$2,'KPI Impacts'!$B86:$H86)</f>
        <v>0</v>
      </c>
      <c r="CR86" s="12" cm="1">
        <f t="array" ref="CR86" xml:space="preserve"> _xlfn.SWITCH(CR$5, 1, DC86, -1, DE86, 0)</f>
        <v>0</v>
      </c>
      <c r="CS86" s="12" cm="1">
        <f t="array" ref="CS86" xml:space="preserve"> _xlfn.SWITCH(CS$5, 1, DC86, -1, DE86, 0)</f>
        <v>0</v>
      </c>
      <c r="CT86" s="12" cm="1">
        <f t="array" ref="CT86" xml:space="preserve"> _xlfn.SWITCH(CT$5, 1, DC86, -1, DE86, 0)</f>
        <v>0</v>
      </c>
      <c r="CU86" s="12" cm="1">
        <f t="array" ref="CU86" xml:space="preserve"> _xlfn.SWITCH(CU$5, 1, DC86, -1, DE86, 0)</f>
        <v>0</v>
      </c>
      <c r="CV86" s="12" cm="1">
        <f t="array" ref="CV86" xml:space="preserve"> _xlfn.SWITCH(CV$5, 1, DC86, -1, DE86, 0)</f>
        <v>0</v>
      </c>
      <c r="CW86" s="12" cm="1">
        <f t="array" ref="CW86" xml:space="preserve"> _xlfn.SWITCH(CW$5, 1, DC86, -1, DE86, 0)</f>
        <v>0</v>
      </c>
      <c r="CX86" s="12" cm="1">
        <f t="array" ref="CX86" xml:space="preserve"> _xlfn.SWITCH(CX$5, 1, DC86, -1, DE86, 0)</f>
        <v>0</v>
      </c>
      <c r="CY86" s="12" cm="1">
        <f t="array" ref="CY86" xml:space="preserve"> _xlfn.SWITCH(CY$5, 1, DC86, -1, DE86, 0)</f>
        <v>0</v>
      </c>
      <c r="CZ86" s="12" cm="1">
        <f t="array" ref="CZ86" xml:space="preserve"> _xlfn.SWITCH(CZ$5, 1, DC86, -1, DE86, 0)</f>
        <v>0</v>
      </c>
      <c r="DB86" s="16" t="s">
        <v>1303</v>
      </c>
      <c r="DC86">
        <f>_xlfn.XLOOKUP(DB86,'KPI Impacts'!$B$2:$H$2,'KPI Impacts'!$B86:$H86)</f>
        <v>0</v>
      </c>
      <c r="DD86" s="16" t="s">
        <v>1303</v>
      </c>
      <c r="DE86">
        <f>_xlfn.XLOOKUP(DD86,'KPI Impacts'!$B$2:$H$2,'KPI Impacts'!$B86:$H86)</f>
        <v>0</v>
      </c>
      <c r="DI86" s="12"/>
      <c r="DJ86" s="12"/>
      <c r="DK86" s="12"/>
      <c r="DL86" s="12"/>
      <c r="DM86" s="12"/>
      <c r="DN86" s="12"/>
      <c r="DO86" s="12"/>
      <c r="DP86" s="12"/>
      <c r="DQ86" s="12"/>
    </row>
    <row r="87" spans="1:121" x14ac:dyDescent="0.2">
      <c r="A87" s="9" t="s">
        <v>1293</v>
      </c>
      <c r="B87" s="19" t="s">
        <v>1318</v>
      </c>
      <c r="C87" s="19" t="s">
        <v>1318</v>
      </c>
      <c r="D87" s="19" t="s">
        <v>1318</v>
      </c>
      <c r="E87" s="19" t="s">
        <v>1318</v>
      </c>
      <c r="F87" s="19" t="s">
        <v>1318</v>
      </c>
      <c r="G87" s="19" t="s">
        <v>1318</v>
      </c>
      <c r="H87" s="19" t="s">
        <v>1318</v>
      </c>
      <c r="I87" s="19" t="s">
        <v>1318</v>
      </c>
      <c r="J87" s="19" t="s">
        <v>1318</v>
      </c>
      <c r="Z87" s="16"/>
      <c r="AB87" s="16"/>
      <c r="AP87" s="16"/>
      <c r="AR87" s="16"/>
      <c r="BF87" s="16"/>
      <c r="BH87" s="16"/>
      <c r="BV87" s="16"/>
      <c r="BX87" s="16"/>
      <c r="CL87" s="16"/>
      <c r="CN87" s="16"/>
      <c r="DB87" s="16"/>
      <c r="DD87" s="16"/>
      <c r="DL87" s="12"/>
      <c r="DM87" s="12"/>
    </row>
    <row r="88" spans="1:121" x14ac:dyDescent="0.2">
      <c r="A88" s="9" t="s">
        <v>1290</v>
      </c>
      <c r="B88" s="12">
        <f>P88+AF88+AV88+BL88+CB88+CR88</f>
        <v>0</v>
      </c>
      <c r="C88" s="12">
        <f t="shared" ref="C88" si="31">Q88+AG88+AW88+BM88+CC88+CS88</f>
        <v>0</v>
      </c>
      <c r="D88" s="12">
        <f t="shared" ref="D88" si="32">R88+AH88+AX88+BN88+CD88+CT88</f>
        <v>0</v>
      </c>
      <c r="E88" s="12">
        <f t="shared" ref="E88" si="33">S88+AI88+AY88+BO88+CE88+CU88</f>
        <v>0</v>
      </c>
      <c r="F88" s="12">
        <f t="shared" ref="F88" si="34">T88+AJ88+AZ88+BP88+CF88+CV88</f>
        <v>0</v>
      </c>
      <c r="G88" s="12">
        <f>U88+AK88+BA88+BQ88+CG88+CW88</f>
        <v>0</v>
      </c>
      <c r="H88" s="12">
        <f t="shared" ref="H88" si="35">V88+AL88+BB88+BR88+CH88+CX88</f>
        <v>0</v>
      </c>
      <c r="I88" s="12">
        <f>W88+AM88+BC88+BS88+CI88+CY88</f>
        <v>0</v>
      </c>
      <c r="J88" s="12">
        <f t="shared" ref="J88" si="36">X88+AN88+BD88+BT88+CJ88+CZ88</f>
        <v>0</v>
      </c>
      <c r="P88" s="12" cm="1">
        <f t="array" ref="P88" xml:space="preserve"> _xlfn.SWITCH(P$5, 1, AA88, -1, AC88, 0)</f>
        <v>0</v>
      </c>
      <c r="Q88" s="12" cm="1">
        <f t="array" ref="Q88" xml:space="preserve"> _xlfn.SWITCH(Q$5, 1, AA88, -1, AC88, 0)</f>
        <v>0</v>
      </c>
      <c r="R88" s="12" cm="1">
        <f t="array" ref="R88" xml:space="preserve"> _xlfn.SWITCH(R$5, 1, AA88, -1, AC88, 0)</f>
        <v>0</v>
      </c>
      <c r="S88" s="12" cm="1">
        <f t="array" ref="S88" xml:space="preserve"> _xlfn.SWITCH(S$5, 1, AA88, -1, AC88, 0)</f>
        <v>0</v>
      </c>
      <c r="T88" s="12" cm="1">
        <f t="array" ref="T88" xml:space="preserve"> _xlfn.SWITCH(T$5, 1, AA88, -1, AC88, 0)</f>
        <v>0</v>
      </c>
      <c r="U88" s="12" cm="1">
        <f t="array" ref="U88" xml:space="preserve"> _xlfn.SWITCH(U$5, 1, AA88, -1, AC88, 0)</f>
        <v>0</v>
      </c>
      <c r="V88" s="12" cm="1">
        <f t="array" ref="V88" xml:space="preserve"> _xlfn.SWITCH(V$5, 1, AA88, -1, AC88, 0)</f>
        <v>0</v>
      </c>
      <c r="W88" s="12" cm="1">
        <f t="array" ref="W88" xml:space="preserve"> _xlfn.SWITCH(W$5, 1, AA88, -1, AC88, 0)</f>
        <v>0</v>
      </c>
      <c r="X88" s="12" cm="1">
        <f t="array" ref="X88" xml:space="preserve"> _xlfn.SWITCH(X$5, 1, AA88, -1, AC88, 0)</f>
        <v>0</v>
      </c>
      <c r="Z88" s="16" t="s">
        <v>1303</v>
      </c>
      <c r="AA88">
        <f>_xlfn.XLOOKUP(Z88,'KPI Impacts'!$B$2:$H$2,'KPI Impacts'!$B88:$H88)</f>
        <v>0</v>
      </c>
      <c r="AB88" s="16" t="s">
        <v>1303</v>
      </c>
      <c r="AC88">
        <f>_xlfn.XLOOKUP(AB88,'KPI Impacts'!$B$2:$H$2,'KPI Impacts'!$B88:$H88)</f>
        <v>0</v>
      </c>
      <c r="AF88" s="12" cm="1">
        <f t="array" ref="AF88" xml:space="preserve"> _xlfn.SWITCH(AF$5, 1, AQ88, -1, AS88, 0)</f>
        <v>0</v>
      </c>
      <c r="AG88" s="12" cm="1">
        <f t="array" ref="AG88" xml:space="preserve"> _xlfn.SWITCH(AG$5, 1, AQ88, -1, AS88, 0)</f>
        <v>0</v>
      </c>
      <c r="AH88" s="12" cm="1">
        <f t="array" ref="AH88" xml:space="preserve"> _xlfn.SWITCH(AH$5, 1, AQ88, -1, AS88, 0)</f>
        <v>0</v>
      </c>
      <c r="AI88" s="12" cm="1">
        <f t="array" ref="AI88" xml:space="preserve"> _xlfn.SWITCH(AI$5, 1, AQ88, -1, AS88, 0)</f>
        <v>0</v>
      </c>
      <c r="AJ88" s="12" cm="1">
        <f t="array" ref="AJ88" xml:space="preserve"> _xlfn.SWITCH(AJ$5, 1, AQ88, -1, AS88, 0)</f>
        <v>0</v>
      </c>
      <c r="AK88" s="12" cm="1">
        <f t="array" ref="AK88" xml:space="preserve"> _xlfn.SWITCH(AK$5, 1, AQ88, -1, AS88, 0)</f>
        <v>0</v>
      </c>
      <c r="AL88" s="12" cm="1">
        <f t="array" ref="AL88" xml:space="preserve"> _xlfn.SWITCH(AL$5, 1, AQ88, -1, AS88, 0)</f>
        <v>0</v>
      </c>
      <c r="AM88" s="12" cm="1">
        <f t="array" ref="AM88" xml:space="preserve"> _xlfn.SWITCH(AM$5, 1, AQ88, -1, AS88, 0)</f>
        <v>0</v>
      </c>
      <c r="AN88" s="12" cm="1">
        <f t="array" ref="AN88" xml:space="preserve"> _xlfn.SWITCH(AN$5, 1, AQ88, -1, AS88, 0)</f>
        <v>0</v>
      </c>
      <c r="AP88" s="16" t="s">
        <v>1303</v>
      </c>
      <c r="AQ88">
        <f>_xlfn.XLOOKUP(AP88,'KPI Impacts'!$B$2:$H$2,'KPI Impacts'!$B88:$H88)</f>
        <v>0</v>
      </c>
      <c r="AR88" s="16" t="s">
        <v>1303</v>
      </c>
      <c r="AS88">
        <f>_xlfn.XLOOKUP(AR88,'KPI Impacts'!$B$2:$H$2,'KPI Impacts'!$B88:$H88)</f>
        <v>0</v>
      </c>
      <c r="AV88" s="12" cm="1">
        <f t="array" ref="AV88" xml:space="preserve"> _xlfn.SWITCH(AV$5, 1, BG88, -1, BI88, 0)</f>
        <v>0</v>
      </c>
      <c r="AW88" s="12" cm="1">
        <f t="array" ref="AW88" xml:space="preserve"> _xlfn.SWITCH(AW$5, 1, BG88, -1, BI88, 0)</f>
        <v>0</v>
      </c>
      <c r="AX88" s="12" cm="1">
        <f t="array" ref="AX88" xml:space="preserve"> _xlfn.SWITCH(AX$5, 1, BG88, -1, BI88, 0)</f>
        <v>0</v>
      </c>
      <c r="AY88" s="12" cm="1">
        <f t="array" ref="AY88" xml:space="preserve"> _xlfn.SWITCH(AY$5, 1, BG88, -1, BI88, 0)</f>
        <v>0</v>
      </c>
      <c r="AZ88" s="12" cm="1">
        <f t="array" ref="AZ88" xml:space="preserve"> _xlfn.SWITCH(AZ$5, 1, BG88, -1, BI88, 0)</f>
        <v>0</v>
      </c>
      <c r="BA88" s="12" cm="1">
        <f t="array" ref="BA88" xml:space="preserve"> _xlfn.SWITCH(BA$5, 1, BG88, -1, BI88, 0)</f>
        <v>0</v>
      </c>
      <c r="BB88" s="12" cm="1">
        <f t="array" ref="BB88" xml:space="preserve"> _xlfn.SWITCH(BB$5, 1, BG88, -1, BI88, 0)</f>
        <v>0</v>
      </c>
      <c r="BC88" s="12" cm="1">
        <f t="array" ref="BC88" xml:space="preserve"> _xlfn.SWITCH(BC$5, 1, BG88, -1, BI88, 0)</f>
        <v>0</v>
      </c>
      <c r="BD88" s="12" cm="1">
        <f t="array" ref="BD88" xml:space="preserve"> _xlfn.SWITCH(BD$5, 1, BG88, -1, BI88, 0)</f>
        <v>0</v>
      </c>
      <c r="BF88" s="16" t="s">
        <v>1303</v>
      </c>
      <c r="BG88">
        <f>_xlfn.XLOOKUP(BF88,'KPI Impacts'!$B$2:$H$2,'KPI Impacts'!$B88:$H88)</f>
        <v>0</v>
      </c>
      <c r="BH88" s="16" t="s">
        <v>1303</v>
      </c>
      <c r="BI88">
        <f>_xlfn.XLOOKUP(BH88,'KPI Impacts'!$B$2:$H$2,'KPI Impacts'!$B88:$H88)</f>
        <v>0</v>
      </c>
      <c r="BL88" s="12" cm="1">
        <f t="array" ref="BL88" xml:space="preserve"> _xlfn.SWITCH(BL$5, 1, BW88, -1, BY88, 0)</f>
        <v>0</v>
      </c>
      <c r="BM88" s="12" cm="1">
        <f t="array" ref="BM88" xml:space="preserve"> _xlfn.SWITCH(BM$5, 1, BW88, -1, BY88, 0)</f>
        <v>0</v>
      </c>
      <c r="BN88" s="12" cm="1">
        <f t="array" ref="BN88" xml:space="preserve"> _xlfn.SWITCH(BN$5, 1, BW88, -1, BY88, 0)</f>
        <v>0</v>
      </c>
      <c r="BO88" s="12" cm="1">
        <f t="array" ref="BO88" xml:space="preserve"> _xlfn.SWITCH(BO$5, 1, BW88, -1, BY88, 0)</f>
        <v>0</v>
      </c>
      <c r="BP88" s="12" cm="1">
        <f t="array" ref="BP88" xml:space="preserve"> _xlfn.SWITCH(BP$5, 1, BW88, -1, BY88, 0)</f>
        <v>0</v>
      </c>
      <c r="BQ88" s="12" cm="1">
        <f t="array" ref="BQ88" xml:space="preserve"> _xlfn.SWITCH(BQ$5, 1, BW88, -1, BY88, 0)</f>
        <v>0</v>
      </c>
      <c r="BR88" s="12" cm="1">
        <f t="array" ref="BR88" xml:space="preserve"> _xlfn.SWITCH(BR$5, 1, BW88, -1, BY88, 0)</f>
        <v>0</v>
      </c>
      <c r="BS88" s="12" cm="1">
        <f t="array" ref="BS88" xml:space="preserve"> _xlfn.SWITCH(BS$5, 1, BW88, -1, BY88, 0)</f>
        <v>0</v>
      </c>
      <c r="BT88" s="12" cm="1">
        <f t="array" ref="BT88" xml:space="preserve"> _xlfn.SWITCH(BT$5, 1, BW88, -1, BY88, 0)</f>
        <v>0</v>
      </c>
      <c r="BV88" s="16" t="s">
        <v>1303</v>
      </c>
      <c r="BW88">
        <f>_xlfn.XLOOKUP(BV88,'KPI Impacts'!$B$2:$H$2,'KPI Impacts'!$B88:$H88)</f>
        <v>0</v>
      </c>
      <c r="BX88" s="16" t="s">
        <v>1303</v>
      </c>
      <c r="BY88">
        <f>_xlfn.XLOOKUP(BX88,'KPI Impacts'!$B$2:$H$2,'KPI Impacts'!$B88:$H88)</f>
        <v>0</v>
      </c>
      <c r="CB88" s="12" cm="1">
        <f t="array" ref="CB88" xml:space="preserve"> _xlfn.SWITCH(CB$5, 1, CM88, -1, CO88, 0)</f>
        <v>0</v>
      </c>
      <c r="CC88" s="12" cm="1">
        <f t="array" ref="CC88" xml:space="preserve"> _xlfn.SWITCH(CC$5, 1, CM88, -1, CO88, 0)</f>
        <v>0</v>
      </c>
      <c r="CD88" s="12" cm="1">
        <f t="array" ref="CD88" xml:space="preserve"> _xlfn.SWITCH(CD$5, 1, CM88, -1, CO88, 0)</f>
        <v>0</v>
      </c>
      <c r="CE88" s="12" cm="1">
        <f t="array" ref="CE88" xml:space="preserve"> _xlfn.SWITCH(CE$5, 1, CM88, -1, CO88, 0)</f>
        <v>0</v>
      </c>
      <c r="CF88" s="12" cm="1">
        <f t="array" ref="CF88" xml:space="preserve"> _xlfn.SWITCH(CF$5, 1, CM88, -1, CO88, 0)</f>
        <v>0</v>
      </c>
      <c r="CG88" s="12" cm="1">
        <f t="array" ref="CG88" xml:space="preserve"> _xlfn.SWITCH(CG$5, 1, CM88, -1, CO88, 0)</f>
        <v>0</v>
      </c>
      <c r="CH88" s="12" cm="1">
        <f t="array" ref="CH88" xml:space="preserve"> _xlfn.SWITCH(CH$5, 1, CM88, -1, CO88, 0)</f>
        <v>0</v>
      </c>
      <c r="CI88" s="12" cm="1">
        <f t="array" ref="CI88" xml:space="preserve"> _xlfn.SWITCH(CI$5, 1, CM88, -1, CO88, 0)</f>
        <v>0</v>
      </c>
      <c r="CJ88" s="12" cm="1">
        <f t="array" ref="CJ88" xml:space="preserve"> _xlfn.SWITCH(CJ$5, 1, CM88, -1, CO88, 0)</f>
        <v>0</v>
      </c>
      <c r="CL88" s="16" t="s">
        <v>1303</v>
      </c>
      <c r="CM88">
        <f>_xlfn.XLOOKUP(CL88,'KPI Impacts'!$B$2:$H$2,'KPI Impacts'!$B88:$H88)</f>
        <v>0</v>
      </c>
      <c r="CN88" s="16" t="s">
        <v>1303</v>
      </c>
      <c r="CO88">
        <f>_xlfn.XLOOKUP(CN88,'KPI Impacts'!$B$2:$H$2,'KPI Impacts'!$B88:$H88)</f>
        <v>0</v>
      </c>
      <c r="CR88" s="12" cm="1">
        <f t="array" ref="CR88" xml:space="preserve"> _xlfn.SWITCH(CR$5, 1, DC88, -1, DE88, 0)</f>
        <v>0</v>
      </c>
      <c r="CS88" s="12" cm="1">
        <f t="array" ref="CS88" xml:space="preserve"> _xlfn.SWITCH(CS$5, 1, DC88, -1, DE88, 0)</f>
        <v>0</v>
      </c>
      <c r="CT88" s="12" cm="1">
        <f t="array" ref="CT88" xml:space="preserve"> _xlfn.SWITCH(CT$5, 1, DC88, -1, DE88, 0)</f>
        <v>0</v>
      </c>
      <c r="CU88" s="12" cm="1">
        <f t="array" ref="CU88" xml:space="preserve"> _xlfn.SWITCH(CU$5, 1, DC88, -1, DE88, 0)</f>
        <v>0</v>
      </c>
      <c r="CV88" s="12" cm="1">
        <f t="array" ref="CV88" xml:space="preserve"> _xlfn.SWITCH(CV$5, 1, DC88, -1, DE88, 0)</f>
        <v>0</v>
      </c>
      <c r="CW88" s="12" cm="1">
        <f t="array" ref="CW88" xml:space="preserve"> _xlfn.SWITCH(CW$5, 1, DC88, -1, DE88, 0)</f>
        <v>0</v>
      </c>
      <c r="CX88" s="12" cm="1">
        <f t="array" ref="CX88" xml:space="preserve"> _xlfn.SWITCH(CX$5, 1, DC88, -1, DE88, 0)</f>
        <v>0</v>
      </c>
      <c r="CY88" s="12" cm="1">
        <f t="array" ref="CY88" xml:space="preserve"> _xlfn.SWITCH(CY$5, 1, DC88, -1, DE88, 0)</f>
        <v>0</v>
      </c>
      <c r="CZ88" s="12" cm="1">
        <f t="array" ref="CZ88" xml:space="preserve"> _xlfn.SWITCH(CZ$5, 1, DC88, -1, DE88, 0)</f>
        <v>0</v>
      </c>
      <c r="DB88" s="16" t="s">
        <v>1303</v>
      </c>
      <c r="DC88">
        <f>_xlfn.XLOOKUP(DB88,'KPI Impacts'!$B$2:$H$2,'KPI Impacts'!$B88:$H88)</f>
        <v>0</v>
      </c>
      <c r="DD88" s="16" t="s">
        <v>1303</v>
      </c>
      <c r="DE88">
        <f>_xlfn.XLOOKUP(DD88,'KPI Impacts'!$B$2:$H$2,'KPI Impacts'!$B88:$H88)</f>
        <v>0</v>
      </c>
      <c r="DI88" s="12"/>
      <c r="DJ88" s="12"/>
      <c r="DK88" s="12"/>
      <c r="DL88" s="12"/>
      <c r="DM88" s="12"/>
      <c r="DN88" s="12"/>
      <c r="DO88" s="12"/>
      <c r="DP88" s="12"/>
      <c r="DQ88" s="12"/>
    </row>
    <row r="89" spans="1:121" hidden="1" x14ac:dyDescent="0.2">
      <c r="Z89" s="16"/>
      <c r="AA89">
        <v>1</v>
      </c>
      <c r="AB89" s="16"/>
      <c r="AC89">
        <v>1</v>
      </c>
      <c r="AP89" s="16"/>
      <c r="AQ89">
        <v>1</v>
      </c>
      <c r="AR89" s="16"/>
      <c r="AS89">
        <v>1</v>
      </c>
      <c r="BF89" s="16"/>
      <c r="BG89">
        <v>1</v>
      </c>
      <c r="BH89" s="16"/>
      <c r="BI89">
        <v>1</v>
      </c>
      <c r="BV89" s="16"/>
      <c r="BW89">
        <v>1</v>
      </c>
      <c r="BX89" s="16"/>
      <c r="BY89">
        <v>1</v>
      </c>
      <c r="CL89" s="16"/>
      <c r="CM89">
        <v>1</v>
      </c>
      <c r="CN89" s="16"/>
      <c r="CO89">
        <v>1</v>
      </c>
      <c r="DB89" s="16"/>
      <c r="DC89">
        <v>1</v>
      </c>
      <c r="DD89" s="16"/>
      <c r="DE89">
        <v>1</v>
      </c>
      <c r="DL89" s="12"/>
      <c r="DM89" s="12"/>
    </row>
    <row r="90" spans="1:121" hidden="1" x14ac:dyDescent="0.2">
      <c r="Z90" s="16"/>
      <c r="AA90">
        <v>1</v>
      </c>
      <c r="AB90" s="16"/>
      <c r="AC90">
        <v>1</v>
      </c>
      <c r="AP90" s="16"/>
      <c r="AQ90">
        <v>1</v>
      </c>
      <c r="AR90" s="16"/>
      <c r="AS90">
        <v>1</v>
      </c>
      <c r="BF90" s="16"/>
      <c r="BG90">
        <v>1</v>
      </c>
      <c r="BH90" s="16"/>
      <c r="BI90">
        <v>1</v>
      </c>
      <c r="BV90" s="16"/>
      <c r="BW90">
        <v>1</v>
      </c>
      <c r="BX90" s="16"/>
      <c r="BY90">
        <v>1</v>
      </c>
      <c r="CL90" s="16"/>
      <c r="CM90">
        <v>1</v>
      </c>
      <c r="CN90" s="16"/>
      <c r="CO90">
        <v>1</v>
      </c>
      <c r="DB90" s="16"/>
      <c r="DC90">
        <v>1</v>
      </c>
      <c r="DD90" s="16"/>
      <c r="DE90">
        <v>1</v>
      </c>
      <c r="DL90" s="12"/>
      <c r="DM90" s="12"/>
    </row>
    <row r="91" spans="1:121" x14ac:dyDescent="0.2">
      <c r="Z91" s="16"/>
      <c r="AB91" s="16"/>
      <c r="AP91" s="16"/>
      <c r="AR91" s="16"/>
      <c r="BF91" s="16"/>
      <c r="BH91" s="16"/>
      <c r="BV91" s="16"/>
      <c r="BX91" s="16"/>
      <c r="CL91" s="16"/>
      <c r="CN91" s="16"/>
      <c r="DB91" s="16"/>
      <c r="DD91" s="16"/>
      <c r="DL91" s="12"/>
      <c r="DM91" s="12"/>
    </row>
    <row r="92" spans="1:121" x14ac:dyDescent="0.2">
      <c r="A92" s="5" t="s">
        <v>52</v>
      </c>
      <c r="Z92" s="16"/>
      <c r="AB92" s="16"/>
      <c r="AP92" s="16"/>
      <c r="AR92" s="16"/>
      <c r="BF92" s="16"/>
      <c r="BH92" s="16"/>
      <c r="BV92" s="16"/>
      <c r="BX92" s="16"/>
      <c r="CL92" s="16"/>
      <c r="CN92" s="16"/>
      <c r="DB92" s="16"/>
      <c r="DD92" s="16"/>
      <c r="DL92" s="12"/>
      <c r="DM92" s="12"/>
    </row>
    <row r="93" spans="1:121" x14ac:dyDescent="0.2">
      <c r="A93" t="s">
        <v>56</v>
      </c>
      <c r="B93" s="12">
        <f>P93+AF93+AV93+BL93+CB93+CR93</f>
        <v>0</v>
      </c>
      <c r="C93" s="12">
        <f t="shared" ref="C93:C96" si="37">Q93+AG93+AW93+BM93+CC93+CS93</f>
        <v>0</v>
      </c>
      <c r="D93" s="12">
        <f t="shared" ref="D93:D96" si="38">R93+AH93+AX93+BN93+CD93+CT93</f>
        <v>0</v>
      </c>
      <c r="E93" s="12">
        <f t="shared" ref="E93:E96" si="39">S93+AI93+AY93+BO93+CE93+CU93</f>
        <v>0</v>
      </c>
      <c r="F93" s="12">
        <f t="shared" ref="F93:F96" si="40">T93+AJ93+AZ93+BP93+CF93+CV93</f>
        <v>0</v>
      </c>
      <c r="G93" s="12">
        <f>U93+AK93+BA93+BQ93+CG93+CW93</f>
        <v>0</v>
      </c>
      <c r="H93" s="12">
        <f t="shared" ref="H93:H96" si="41">V93+AL93+BB93+BR93+CH93+CX93</f>
        <v>0</v>
      </c>
      <c r="I93" s="12">
        <f>W93+AM93+BC93+BS93+CI93+CY93</f>
        <v>0</v>
      </c>
      <c r="J93" s="12">
        <f t="shared" ref="J93:J96" si="42">X93+AN93+BD93+BT93+CJ93+CZ93</f>
        <v>0</v>
      </c>
      <c r="P93" s="12" cm="1">
        <f t="array" ref="P93" xml:space="preserve"> _xlfn.SWITCH(P$5, 1, AA93, -1, AC93, 0)</f>
        <v>0</v>
      </c>
      <c r="Q93" s="12" cm="1">
        <f t="array" ref="Q93" xml:space="preserve"> _xlfn.SWITCH(Q$5, 1, AA93, -1, AC93, 0)</f>
        <v>0</v>
      </c>
      <c r="R93" s="12" cm="1">
        <f t="array" ref="R93" xml:space="preserve"> _xlfn.SWITCH(R$5, 1, AA93, -1, AC93, 0)</f>
        <v>0</v>
      </c>
      <c r="S93" s="12" cm="1">
        <f t="array" ref="S93" xml:space="preserve"> _xlfn.SWITCH(S$5, 1, AA93, -1, AC93, 0)</f>
        <v>0</v>
      </c>
      <c r="T93" s="12" cm="1">
        <f t="array" ref="T93" xml:space="preserve"> _xlfn.SWITCH(T$5, 1, AA93, -1, AC93, 0)</f>
        <v>0</v>
      </c>
      <c r="U93" s="12" cm="1">
        <f t="array" ref="U93" xml:space="preserve"> _xlfn.SWITCH(U$5, 1, AA93, -1, AC93, 0)</f>
        <v>0</v>
      </c>
      <c r="V93" s="12" cm="1">
        <f t="array" ref="V93" xml:space="preserve"> _xlfn.SWITCH(V$5, 1, AA93, -1, AC93, 0)</f>
        <v>0</v>
      </c>
      <c r="W93" s="12" cm="1">
        <f t="array" ref="W93" xml:space="preserve"> _xlfn.SWITCH(W$5, 1, AA93, -1, AC93, 0)</f>
        <v>0</v>
      </c>
      <c r="X93" s="12" cm="1">
        <f t="array" ref="X93" xml:space="preserve"> _xlfn.SWITCH(X$5, 1, AA93, -1, AC93, 0)</f>
        <v>0</v>
      </c>
      <c r="Z93" s="16" t="s">
        <v>1303</v>
      </c>
      <c r="AA93">
        <f>_xlfn.XLOOKUP(Z93,'KPI Impacts'!$B$2:$H$2,'KPI Impacts'!$B93:$H93)</f>
        <v>0</v>
      </c>
      <c r="AB93" s="16" t="s">
        <v>1303</v>
      </c>
      <c r="AC93">
        <f>_xlfn.XLOOKUP(AB93,'KPI Impacts'!$B$2:$H$2,'KPI Impacts'!$B93:$H93)</f>
        <v>0</v>
      </c>
      <c r="AF93" s="12" cm="1">
        <f t="array" ref="AF93" xml:space="preserve"> _xlfn.SWITCH(AF$5, 1, AQ93, -1, AS93, 0)</f>
        <v>0</v>
      </c>
      <c r="AG93" s="12" cm="1">
        <f t="array" ref="AG93" xml:space="preserve"> _xlfn.SWITCH(AG$5, 1, AQ93, -1, AS93, 0)</f>
        <v>0</v>
      </c>
      <c r="AH93" s="12" cm="1">
        <f t="array" ref="AH93" xml:space="preserve"> _xlfn.SWITCH(AH$5, 1, AQ93, -1, AS93, 0)</f>
        <v>0</v>
      </c>
      <c r="AI93" s="12" cm="1">
        <f t="array" ref="AI93" xml:space="preserve"> _xlfn.SWITCH(AI$5, 1, AQ93, -1, AS93, 0)</f>
        <v>0</v>
      </c>
      <c r="AJ93" s="12" cm="1">
        <f t="array" ref="AJ93" xml:space="preserve"> _xlfn.SWITCH(AJ$5, 1, AQ93, -1, AS93, 0)</f>
        <v>0</v>
      </c>
      <c r="AK93" s="12" cm="1">
        <f t="array" ref="AK93" xml:space="preserve"> _xlfn.SWITCH(AK$5, 1, AQ93, -1, AS93, 0)</f>
        <v>0</v>
      </c>
      <c r="AL93" s="12" cm="1">
        <f t="array" ref="AL93" xml:space="preserve"> _xlfn.SWITCH(AL$5, 1, AQ93, -1, AS93, 0)</f>
        <v>0</v>
      </c>
      <c r="AM93" s="12" cm="1">
        <f t="array" ref="AM93" xml:space="preserve"> _xlfn.SWITCH(AM$5, 1, AQ93, -1, AS93, 0)</f>
        <v>0</v>
      </c>
      <c r="AN93" s="12" cm="1">
        <f t="array" ref="AN93" xml:space="preserve"> _xlfn.SWITCH(AN$5, 1, AQ93, -1, AS93, 0)</f>
        <v>0</v>
      </c>
      <c r="AP93" s="29" t="s">
        <v>1304</v>
      </c>
      <c r="AQ93">
        <f>_xlfn.XLOOKUP(AP93,'KPI Impacts'!$B$2:$H$2,'KPI Impacts'!$B93:$H93)</f>
        <v>-0.8</v>
      </c>
      <c r="AR93" s="16" t="s">
        <v>1303</v>
      </c>
      <c r="AS93">
        <f>_xlfn.XLOOKUP(AR93,'KPI Impacts'!$B$2:$H$2,'KPI Impacts'!$B93:$H93)</f>
        <v>0</v>
      </c>
      <c r="AV93" s="12" cm="1">
        <f t="array" ref="AV93" xml:space="preserve"> _xlfn.SWITCH(AV$5, 1, BG93, -1, BI93, 0)</f>
        <v>0</v>
      </c>
      <c r="AW93" s="12" cm="1">
        <f t="array" ref="AW93" xml:space="preserve"> _xlfn.SWITCH(AW$5, 1, BG93, -1, BI93, 0)</f>
        <v>0</v>
      </c>
      <c r="AX93" s="12" cm="1">
        <f t="array" ref="AX93" xml:space="preserve"> _xlfn.SWITCH(AX$5, 1, BG93, -1, BI93, 0)</f>
        <v>0</v>
      </c>
      <c r="AY93" s="12" cm="1">
        <f t="array" ref="AY93" xml:space="preserve"> _xlfn.SWITCH(AY$5, 1, BG93, -1, BI93, 0)</f>
        <v>0</v>
      </c>
      <c r="AZ93" s="12" cm="1">
        <f t="array" ref="AZ93" xml:space="preserve"> _xlfn.SWITCH(AZ$5, 1, BG93, -1, BI93, 0)</f>
        <v>0</v>
      </c>
      <c r="BA93" s="12" cm="1">
        <f t="array" ref="BA93" xml:space="preserve"> _xlfn.SWITCH(BA$5, 1, BG93, -1, BI93, 0)</f>
        <v>0</v>
      </c>
      <c r="BB93" s="12" cm="1">
        <f t="array" ref="BB93" xml:space="preserve"> _xlfn.SWITCH(BB$5, 1, BG93, -1, BI93, 0)</f>
        <v>0</v>
      </c>
      <c r="BC93" s="12" cm="1">
        <f t="array" ref="BC93" xml:space="preserve"> _xlfn.SWITCH(BC$5, 1, BG93, -1, BI93, 0)</f>
        <v>0</v>
      </c>
      <c r="BD93" s="12" cm="1">
        <f t="array" ref="BD93" xml:space="preserve"> _xlfn.SWITCH(BD$5, 1, BG93, -1, BI93, 0)</f>
        <v>0</v>
      </c>
      <c r="BF93" s="16" t="s">
        <v>1303</v>
      </c>
      <c r="BG93">
        <f>_xlfn.XLOOKUP(BF93,'KPI Impacts'!$B$2:$H$2,'KPI Impacts'!$B93:$H93)</f>
        <v>0</v>
      </c>
      <c r="BH93" s="16" t="s">
        <v>1303</v>
      </c>
      <c r="BI93">
        <f>_xlfn.XLOOKUP(BH93,'KPI Impacts'!$B$2:$H$2,'KPI Impacts'!$B93:$H93)</f>
        <v>0</v>
      </c>
      <c r="BL93" s="12" cm="1">
        <f t="array" ref="BL93" xml:space="preserve"> _xlfn.SWITCH(BL$5, 1, BW93, -1, BY93, 0)</f>
        <v>0</v>
      </c>
      <c r="BM93" s="12" cm="1">
        <f t="array" ref="BM93" xml:space="preserve"> _xlfn.SWITCH(BM$5, 1, BW93, -1, BY93, 0)</f>
        <v>0</v>
      </c>
      <c r="BN93" s="12" cm="1">
        <f t="array" ref="BN93" xml:space="preserve"> _xlfn.SWITCH(BN$5, 1, BW93, -1, BY93, 0)</f>
        <v>0</v>
      </c>
      <c r="BO93" s="12" cm="1">
        <f t="array" ref="BO93" xml:space="preserve"> _xlfn.SWITCH(BO$5, 1, BW93, -1, BY93, 0)</f>
        <v>0</v>
      </c>
      <c r="BP93" s="12" cm="1">
        <f t="array" ref="BP93" xml:space="preserve"> _xlfn.SWITCH(BP$5, 1, BW93, -1, BY93, 0)</f>
        <v>0</v>
      </c>
      <c r="BQ93" s="12" cm="1">
        <f t="array" ref="BQ93" xml:space="preserve"> _xlfn.SWITCH(BQ$5, 1, BW93, -1, BY93, 0)</f>
        <v>0</v>
      </c>
      <c r="BR93" s="12" cm="1">
        <f t="array" ref="BR93" xml:space="preserve"> _xlfn.SWITCH(BR$5, 1, BW93, -1, BY93, 0)</f>
        <v>0</v>
      </c>
      <c r="BS93" s="12" cm="1">
        <f t="array" ref="BS93" xml:space="preserve"> _xlfn.SWITCH(BS$5, 1, BW93, -1, BY93, 0)</f>
        <v>0</v>
      </c>
      <c r="BT93" s="12" cm="1">
        <f t="array" ref="BT93" xml:space="preserve"> _xlfn.SWITCH(BT$5, 1, BW93, -1, BY93, 0)</f>
        <v>0</v>
      </c>
      <c r="BV93" s="16" t="s">
        <v>1303</v>
      </c>
      <c r="BW93">
        <f>_xlfn.XLOOKUP(BV93,'KPI Impacts'!$B$2:$H$2,'KPI Impacts'!$B93:$H93)</f>
        <v>0</v>
      </c>
      <c r="BX93" s="16" t="s">
        <v>1303</v>
      </c>
      <c r="BY93">
        <f>_xlfn.XLOOKUP(BX93,'KPI Impacts'!$B$2:$H$2,'KPI Impacts'!$B93:$H93)</f>
        <v>0</v>
      </c>
      <c r="CB93" s="12" cm="1">
        <f t="array" ref="CB93" xml:space="preserve"> _xlfn.SWITCH(CB$5, 1, CM93, -1, CO93, 0)</f>
        <v>0</v>
      </c>
      <c r="CC93" s="12" cm="1">
        <f t="array" ref="CC93" xml:space="preserve"> _xlfn.SWITCH(CC$5, 1, CM93, -1, CO93, 0)</f>
        <v>0</v>
      </c>
      <c r="CD93" s="12" cm="1">
        <f t="array" ref="CD93" xml:space="preserve"> _xlfn.SWITCH(CD$5, 1, CM93, -1, CO93, 0)</f>
        <v>0</v>
      </c>
      <c r="CE93" s="12" cm="1">
        <f t="array" ref="CE93" xml:space="preserve"> _xlfn.SWITCH(CE$5, 1, CM93, -1, CO93, 0)</f>
        <v>0</v>
      </c>
      <c r="CF93" s="12" cm="1">
        <f t="array" ref="CF93" xml:space="preserve"> _xlfn.SWITCH(CF$5, 1, CM93, -1, CO93, 0)</f>
        <v>0</v>
      </c>
      <c r="CG93" s="12" cm="1">
        <f t="array" ref="CG93" xml:space="preserve"> _xlfn.SWITCH(CG$5, 1, CM93, -1, CO93, 0)</f>
        <v>0</v>
      </c>
      <c r="CH93" s="12" cm="1">
        <f t="array" ref="CH93" xml:space="preserve"> _xlfn.SWITCH(CH$5, 1, CM93, -1, CO93, 0)</f>
        <v>0</v>
      </c>
      <c r="CI93" s="12" cm="1">
        <f t="array" ref="CI93" xml:space="preserve"> _xlfn.SWITCH(CI$5, 1, CM93, -1, CO93, 0)</f>
        <v>0</v>
      </c>
      <c r="CJ93" s="12" cm="1">
        <f t="array" ref="CJ93" xml:space="preserve"> _xlfn.SWITCH(CJ$5, 1, CM93, -1, CO93, 0)</f>
        <v>0</v>
      </c>
      <c r="CL93" s="16" t="s">
        <v>1303</v>
      </c>
      <c r="CM93">
        <f>_xlfn.XLOOKUP(CL93,'KPI Impacts'!$B$2:$H$2,'KPI Impacts'!$B93:$H93)</f>
        <v>0</v>
      </c>
      <c r="CN93" s="16" t="s">
        <v>1303</v>
      </c>
      <c r="CO93">
        <f>_xlfn.XLOOKUP(CN93,'KPI Impacts'!$B$2:$H$2,'KPI Impacts'!$B93:$H93)</f>
        <v>0</v>
      </c>
      <c r="CR93" s="12" cm="1">
        <f t="array" ref="CR93" xml:space="preserve"> _xlfn.SWITCH(CR$5, 1, DC93, -1, DE93, 0)</f>
        <v>0</v>
      </c>
      <c r="CS93" s="12" cm="1">
        <f t="array" ref="CS93" xml:space="preserve"> _xlfn.SWITCH(CS$5, 1, DC93, -1, DE93, 0)</f>
        <v>0</v>
      </c>
      <c r="CT93" s="12" cm="1">
        <f t="array" ref="CT93" xml:space="preserve"> _xlfn.SWITCH(CT$5, 1, DC93, -1, DE93, 0)</f>
        <v>0</v>
      </c>
      <c r="CU93" s="12" cm="1">
        <f t="array" ref="CU93" xml:space="preserve"> _xlfn.SWITCH(CU$5, 1, DC93, -1, DE93, 0)</f>
        <v>0</v>
      </c>
      <c r="CV93" s="12" cm="1">
        <f t="array" ref="CV93" xml:space="preserve"> _xlfn.SWITCH(CV$5, 1, DC93, -1, DE93, 0)</f>
        <v>0</v>
      </c>
      <c r="CW93" s="12" cm="1">
        <f t="array" ref="CW93" xml:space="preserve"> _xlfn.SWITCH(CW$5, 1, DC93, -1, DE93, 0)</f>
        <v>0</v>
      </c>
      <c r="CX93" s="12" cm="1">
        <f t="array" ref="CX93" xml:space="preserve"> _xlfn.SWITCH(CX$5, 1, DC93, -1, DE93, 0)</f>
        <v>0</v>
      </c>
      <c r="CY93" s="12" cm="1">
        <f t="array" ref="CY93" xml:space="preserve"> _xlfn.SWITCH(CY$5, 1, DC93, -1, DE93, 0)</f>
        <v>0</v>
      </c>
      <c r="CZ93" s="12" cm="1">
        <f t="array" ref="CZ93" xml:space="preserve"> _xlfn.SWITCH(CZ$5, 1, DC93, -1, DE93, 0)</f>
        <v>0</v>
      </c>
      <c r="DB93" s="16" t="s">
        <v>1303</v>
      </c>
      <c r="DC93">
        <f>_xlfn.XLOOKUP(DB93,'KPI Impacts'!$B$2:$H$2,'KPI Impacts'!$B93:$H93)</f>
        <v>0</v>
      </c>
      <c r="DD93" s="16" t="s">
        <v>1303</v>
      </c>
      <c r="DE93">
        <f>_xlfn.XLOOKUP(DD93,'KPI Impacts'!$B$2:$H$2,'KPI Impacts'!$B93:$H93)</f>
        <v>0</v>
      </c>
      <c r="DI93" s="12"/>
      <c r="DJ93" s="12"/>
      <c r="DK93" s="12"/>
      <c r="DL93" s="12"/>
      <c r="DM93" s="12"/>
      <c r="DN93" s="12"/>
      <c r="DO93" s="12"/>
      <c r="DP93" s="12"/>
      <c r="DQ93" s="12"/>
    </row>
    <row r="94" spans="1:121" x14ac:dyDescent="0.2">
      <c r="A94" s="9" t="s">
        <v>1711</v>
      </c>
      <c r="B94" s="12">
        <f>P94+AF94+AV94+BL94+CB94+CR94</f>
        <v>0</v>
      </c>
      <c r="C94" s="12">
        <f t="shared" si="37"/>
        <v>0</v>
      </c>
      <c r="D94" s="12">
        <f t="shared" si="38"/>
        <v>-0.8</v>
      </c>
      <c r="E94" s="12">
        <f t="shared" si="39"/>
        <v>-0.8</v>
      </c>
      <c r="F94" s="12">
        <f t="shared" si="40"/>
        <v>-0.8</v>
      </c>
      <c r="G94" s="12">
        <f>U94+AK94+BA94+BQ94+CG94+CW94</f>
        <v>-0.8</v>
      </c>
      <c r="H94" s="12">
        <f t="shared" si="41"/>
        <v>-0.8</v>
      </c>
      <c r="I94" s="12">
        <f>W94+AM94+BC94+BS94+CI94+CY94</f>
        <v>-0.8</v>
      </c>
      <c r="J94" s="12">
        <f t="shared" si="42"/>
        <v>-0.8</v>
      </c>
      <c r="P94" s="12" cm="1">
        <f t="array" ref="P94" xml:space="preserve"> _xlfn.SWITCH(P$5, 1, AA94, -1, AC94, 0)</f>
        <v>0</v>
      </c>
      <c r="Q94" s="12" cm="1">
        <f t="array" ref="Q94" xml:space="preserve"> _xlfn.SWITCH(Q$5, 1, AA94, -1, AC94, 0)</f>
        <v>0</v>
      </c>
      <c r="R94" s="12" cm="1">
        <f t="array" ref="R94" xml:space="preserve"> _xlfn.SWITCH(R$5, 1, AA94, -1, AC94, 0)</f>
        <v>0</v>
      </c>
      <c r="S94" s="12" cm="1">
        <f t="array" ref="S94" xml:space="preserve"> _xlfn.SWITCH(S$5, 1, AA94, -1, AC94, 0)</f>
        <v>0</v>
      </c>
      <c r="T94" s="12" cm="1">
        <f t="array" ref="T94" xml:space="preserve"> _xlfn.SWITCH(T$5, 1, AA94, -1, AC94, 0)</f>
        <v>0</v>
      </c>
      <c r="U94" s="12" cm="1">
        <f t="array" ref="U94" xml:space="preserve"> _xlfn.SWITCH(U$5, 1, AA94, -1, AC94, 0)</f>
        <v>0</v>
      </c>
      <c r="V94" s="12" cm="1">
        <f t="array" ref="V94" xml:space="preserve"> _xlfn.SWITCH(V$5, 1, AA94, -1, AC94, 0)</f>
        <v>0</v>
      </c>
      <c r="W94" s="12" cm="1">
        <f t="array" ref="W94" xml:space="preserve"> _xlfn.SWITCH(W$5, 1, AA94, -1, AC94, 0)</f>
        <v>0</v>
      </c>
      <c r="X94" s="12" cm="1">
        <f t="array" ref="X94" xml:space="preserve"> _xlfn.SWITCH(X$5, 1, AA94, -1, AC94, 0)</f>
        <v>0</v>
      </c>
      <c r="Z94" s="16" t="s">
        <v>1303</v>
      </c>
      <c r="AA94">
        <f>_xlfn.XLOOKUP(Z94,'KPI Impacts'!$B$2:$H$2,'KPI Impacts'!$B94:$H94)</f>
        <v>0</v>
      </c>
      <c r="AB94" s="16" t="s">
        <v>1303</v>
      </c>
      <c r="AC94">
        <f>_xlfn.XLOOKUP(AB94,'KPI Impacts'!$B$2:$H$2,'KPI Impacts'!$B94:$H94)</f>
        <v>0</v>
      </c>
      <c r="AF94" s="12" cm="1">
        <f t="array" ref="AF94" xml:space="preserve"> _xlfn.SWITCH(AF$5, 1, AQ94, -1, AS94, 0)</f>
        <v>0</v>
      </c>
      <c r="AG94" s="12" cm="1">
        <f t="array" ref="AG94" xml:space="preserve"> _xlfn.SWITCH(AG$5, 1, AQ94, -1, AS94, 0)</f>
        <v>0</v>
      </c>
      <c r="AH94" s="12" cm="1">
        <f t="array" ref="AH94" xml:space="preserve"> _xlfn.SWITCH(AH$5, 1, AQ94, -1, AS94, 0)</f>
        <v>-0.8</v>
      </c>
      <c r="AI94" s="12" cm="1">
        <f t="array" ref="AI94" xml:space="preserve"> _xlfn.SWITCH(AI$5, 1, AQ94, -1, AS94, 0)</f>
        <v>-0.8</v>
      </c>
      <c r="AJ94" s="12" cm="1">
        <f t="array" ref="AJ94" xml:space="preserve"> _xlfn.SWITCH(AJ$5, 1, AQ94, -1, AS94, 0)</f>
        <v>-0.8</v>
      </c>
      <c r="AK94" s="12" cm="1">
        <f t="array" ref="AK94" xml:space="preserve"> _xlfn.SWITCH(AK$5, 1, AQ94, -1, AS94, 0)</f>
        <v>-0.8</v>
      </c>
      <c r="AL94" s="12" cm="1">
        <f t="array" ref="AL94" xml:space="preserve"> _xlfn.SWITCH(AL$5, 1, AQ94, -1, AS94, 0)</f>
        <v>-0.8</v>
      </c>
      <c r="AM94" s="12" cm="1">
        <f t="array" ref="AM94" xml:space="preserve"> _xlfn.SWITCH(AM$5, 1, AQ94, -1, AS94, 0)</f>
        <v>-0.8</v>
      </c>
      <c r="AN94" s="12" cm="1">
        <f t="array" ref="AN94" xml:space="preserve"> _xlfn.SWITCH(AN$5, 1, AQ94, -1, AS94, 0)</f>
        <v>-0.8</v>
      </c>
      <c r="AP94" s="29" t="s">
        <v>1304</v>
      </c>
      <c r="AQ94">
        <f>_xlfn.XLOOKUP(AP94,'KPI Impacts'!$B$2:$H$2,'KPI Impacts'!$B94:$H94)</f>
        <v>-0.8</v>
      </c>
      <c r="AR94" s="29" t="s">
        <v>1304</v>
      </c>
      <c r="AS94">
        <f>_xlfn.XLOOKUP(AR94,'KPI Impacts'!$B$2:$H$2,'KPI Impacts'!$B94:$H94)</f>
        <v>-0.8</v>
      </c>
      <c r="AV94" s="12" cm="1">
        <f t="array" ref="AV94" xml:space="preserve"> _xlfn.SWITCH(AV$5, 1, BG94, -1, BI94, 0)</f>
        <v>0</v>
      </c>
      <c r="AW94" s="12" cm="1">
        <f t="array" ref="AW94" xml:space="preserve"> _xlfn.SWITCH(AW$5, 1, BG94, -1, BI94, 0)</f>
        <v>0</v>
      </c>
      <c r="AX94" s="12" cm="1">
        <f t="array" ref="AX94" xml:space="preserve"> _xlfn.SWITCH(AX$5, 1, BG94, -1, BI94, 0)</f>
        <v>0</v>
      </c>
      <c r="AY94" s="12" cm="1">
        <f t="array" ref="AY94" xml:space="preserve"> _xlfn.SWITCH(AY$5, 1, BG94, -1, BI94, 0)</f>
        <v>0</v>
      </c>
      <c r="AZ94" s="12" cm="1">
        <f t="array" ref="AZ94" xml:space="preserve"> _xlfn.SWITCH(AZ$5, 1, BG94, -1, BI94, 0)</f>
        <v>0</v>
      </c>
      <c r="BA94" s="12" cm="1">
        <f t="array" ref="BA94" xml:space="preserve"> _xlfn.SWITCH(BA$5, 1, BG94, -1, BI94, 0)</f>
        <v>0</v>
      </c>
      <c r="BB94" s="12" cm="1">
        <f t="array" ref="BB94" xml:space="preserve"> _xlfn.SWITCH(BB$5, 1, BG94, -1, BI94, 0)</f>
        <v>0</v>
      </c>
      <c r="BC94" s="12" cm="1">
        <f t="array" ref="BC94" xml:space="preserve"> _xlfn.SWITCH(BC$5, 1, BG94, -1, BI94, 0)</f>
        <v>0</v>
      </c>
      <c r="BD94" s="12" cm="1">
        <f t="array" ref="BD94" xml:space="preserve"> _xlfn.SWITCH(BD$5, 1, BG94, -1, BI94, 0)</f>
        <v>0</v>
      </c>
      <c r="BF94" s="16" t="s">
        <v>1303</v>
      </c>
      <c r="BG94">
        <f>_xlfn.XLOOKUP(BF94,'KPI Impacts'!$B$2:$H$2,'KPI Impacts'!$B94:$H94)</f>
        <v>0</v>
      </c>
      <c r="BH94" s="16" t="s">
        <v>1303</v>
      </c>
      <c r="BI94">
        <f>_xlfn.XLOOKUP(BH94,'KPI Impacts'!$B$2:$H$2,'KPI Impacts'!$B94:$H94)</f>
        <v>0</v>
      </c>
      <c r="BL94" s="12" cm="1">
        <f t="array" ref="BL94" xml:space="preserve"> _xlfn.SWITCH(BL$5, 1, BW94, -1, BY94, 0)</f>
        <v>0</v>
      </c>
      <c r="BM94" s="12" cm="1">
        <f t="array" ref="BM94" xml:space="preserve"> _xlfn.SWITCH(BM$5, 1, BW94, -1, BY94, 0)</f>
        <v>0</v>
      </c>
      <c r="BN94" s="12" cm="1">
        <f t="array" ref="BN94" xml:space="preserve"> _xlfn.SWITCH(BN$5, 1, BW94, -1, BY94, 0)</f>
        <v>0</v>
      </c>
      <c r="BO94" s="12" cm="1">
        <f t="array" ref="BO94" xml:space="preserve"> _xlfn.SWITCH(BO$5, 1, BW94, -1, BY94, 0)</f>
        <v>0</v>
      </c>
      <c r="BP94" s="12" cm="1">
        <f t="array" ref="BP94" xml:space="preserve"> _xlfn.SWITCH(BP$5, 1, BW94, -1, BY94, 0)</f>
        <v>0</v>
      </c>
      <c r="BQ94" s="12" cm="1">
        <f t="array" ref="BQ94" xml:space="preserve"> _xlfn.SWITCH(BQ$5, 1, BW94, -1, BY94, 0)</f>
        <v>0</v>
      </c>
      <c r="BR94" s="12" cm="1">
        <f t="array" ref="BR94" xml:space="preserve"> _xlfn.SWITCH(BR$5, 1, BW94, -1, BY94, 0)</f>
        <v>0</v>
      </c>
      <c r="BS94" s="12" cm="1">
        <f t="array" ref="BS94" xml:space="preserve"> _xlfn.SWITCH(BS$5, 1, BW94, -1, BY94, 0)</f>
        <v>0</v>
      </c>
      <c r="BT94" s="12" cm="1">
        <f t="array" ref="BT94" xml:space="preserve"> _xlfn.SWITCH(BT$5, 1, BW94, -1, BY94, 0)</f>
        <v>0</v>
      </c>
      <c r="BV94" s="16" t="s">
        <v>1303</v>
      </c>
      <c r="BW94">
        <f>_xlfn.XLOOKUP(BV94,'KPI Impacts'!$B$2:$H$2,'KPI Impacts'!$B94:$H94)</f>
        <v>0</v>
      </c>
      <c r="BX94" s="16" t="s">
        <v>1303</v>
      </c>
      <c r="BY94">
        <f>_xlfn.XLOOKUP(BX94,'KPI Impacts'!$B$2:$H$2,'KPI Impacts'!$B94:$H94)</f>
        <v>0</v>
      </c>
      <c r="CB94" s="12" cm="1">
        <f t="array" ref="CB94" xml:space="preserve"> _xlfn.SWITCH(CB$5, 1, CM94, -1, CO94, 0)</f>
        <v>0</v>
      </c>
      <c r="CC94" s="12" cm="1">
        <f t="array" ref="CC94" xml:space="preserve"> _xlfn.SWITCH(CC$5, 1, CM94, -1, CO94, 0)</f>
        <v>0</v>
      </c>
      <c r="CD94" s="12" cm="1">
        <f t="array" ref="CD94" xml:space="preserve"> _xlfn.SWITCH(CD$5, 1, CM94, -1, CO94, 0)</f>
        <v>0</v>
      </c>
      <c r="CE94" s="12" cm="1">
        <f t="array" ref="CE94" xml:space="preserve"> _xlfn.SWITCH(CE$5, 1, CM94, -1, CO94, 0)</f>
        <v>0</v>
      </c>
      <c r="CF94" s="12" cm="1">
        <f t="array" ref="CF94" xml:space="preserve"> _xlfn.SWITCH(CF$5, 1, CM94, -1, CO94, 0)</f>
        <v>0</v>
      </c>
      <c r="CG94" s="12" cm="1">
        <f t="array" ref="CG94" xml:space="preserve"> _xlfn.SWITCH(CG$5, 1, CM94, -1, CO94, 0)</f>
        <v>0</v>
      </c>
      <c r="CH94" s="12" cm="1">
        <f t="array" ref="CH94" xml:space="preserve"> _xlfn.SWITCH(CH$5, 1, CM94, -1, CO94, 0)</f>
        <v>0</v>
      </c>
      <c r="CI94" s="12" cm="1">
        <f t="array" ref="CI94" xml:space="preserve"> _xlfn.SWITCH(CI$5, 1, CM94, -1, CO94, 0)</f>
        <v>0</v>
      </c>
      <c r="CJ94" s="12" cm="1">
        <f t="array" ref="CJ94" xml:space="preserve"> _xlfn.SWITCH(CJ$5, 1, CM94, -1, CO94, 0)</f>
        <v>0</v>
      </c>
      <c r="CL94" s="16" t="s">
        <v>1303</v>
      </c>
      <c r="CM94">
        <f>_xlfn.XLOOKUP(CL94,'KPI Impacts'!$B$2:$H$2,'KPI Impacts'!$B94:$H94)</f>
        <v>0</v>
      </c>
      <c r="CN94" s="16" t="s">
        <v>1303</v>
      </c>
      <c r="CO94">
        <f>_xlfn.XLOOKUP(CN94,'KPI Impacts'!$B$2:$H$2,'KPI Impacts'!$B94:$H94)</f>
        <v>0</v>
      </c>
      <c r="CR94" s="12" cm="1">
        <f t="array" ref="CR94" xml:space="preserve"> _xlfn.SWITCH(CR$5, 1, DC94, -1, DE94, 0)</f>
        <v>0</v>
      </c>
      <c r="CS94" s="12" cm="1">
        <f t="array" ref="CS94" xml:space="preserve"> _xlfn.SWITCH(CS$5, 1, DC94, -1, DE94, 0)</f>
        <v>0</v>
      </c>
      <c r="CT94" s="12" cm="1">
        <f t="array" ref="CT94" xml:space="preserve"> _xlfn.SWITCH(CT$5, 1, DC94, -1, DE94, 0)</f>
        <v>0</v>
      </c>
      <c r="CU94" s="12" cm="1">
        <f t="array" ref="CU94" xml:space="preserve"> _xlfn.SWITCH(CU$5, 1, DC94, -1, DE94, 0)</f>
        <v>0</v>
      </c>
      <c r="CV94" s="12" cm="1">
        <f t="array" ref="CV94" xml:space="preserve"> _xlfn.SWITCH(CV$5, 1, DC94, -1, DE94, 0)</f>
        <v>0</v>
      </c>
      <c r="CW94" s="12" cm="1">
        <f t="array" ref="CW94" xml:space="preserve"> _xlfn.SWITCH(CW$5, 1, DC94, -1, DE94, 0)</f>
        <v>0</v>
      </c>
      <c r="CX94" s="12" cm="1">
        <f t="array" ref="CX94" xml:space="preserve"> _xlfn.SWITCH(CX$5, 1, DC94, -1, DE94, 0)</f>
        <v>0</v>
      </c>
      <c r="CY94" s="12" cm="1">
        <f t="array" ref="CY94" xml:space="preserve"> _xlfn.SWITCH(CY$5, 1, DC94, -1, DE94, 0)</f>
        <v>0</v>
      </c>
      <c r="CZ94" s="12" cm="1">
        <f t="array" ref="CZ94" xml:space="preserve"> _xlfn.SWITCH(CZ$5, 1, DC94, -1, DE94, 0)</f>
        <v>0</v>
      </c>
      <c r="DB94" s="16" t="s">
        <v>1303</v>
      </c>
      <c r="DC94">
        <f>_xlfn.XLOOKUP(DB94,'KPI Impacts'!$B$2:$H$2,'KPI Impacts'!$B94:$H94)</f>
        <v>0</v>
      </c>
      <c r="DD94" s="16" t="s">
        <v>1303</v>
      </c>
      <c r="DE94">
        <f>_xlfn.XLOOKUP(DD94,'KPI Impacts'!$B$2:$H$2,'KPI Impacts'!$B94:$H94)</f>
        <v>0</v>
      </c>
      <c r="DI94" s="12"/>
      <c r="DJ94" s="12"/>
      <c r="DK94" s="12"/>
      <c r="DL94" s="12"/>
      <c r="DM94" s="12"/>
      <c r="DN94" s="12"/>
      <c r="DO94" s="12"/>
      <c r="DP94" s="12"/>
      <c r="DQ94" s="12"/>
    </row>
    <row r="95" spans="1:121" x14ac:dyDescent="0.2">
      <c r="A95" t="s">
        <v>1316</v>
      </c>
      <c r="B95" s="12">
        <f>P95+AF95+AV95+BL95+CB95+CR95</f>
        <v>0</v>
      </c>
      <c r="C95" s="12">
        <f t="shared" si="37"/>
        <v>0</v>
      </c>
      <c r="D95" s="12">
        <f t="shared" si="38"/>
        <v>0</v>
      </c>
      <c r="E95" s="12">
        <f t="shared" si="39"/>
        <v>0</v>
      </c>
      <c r="F95" s="12">
        <f t="shared" si="40"/>
        <v>0</v>
      </c>
      <c r="G95" s="12">
        <f>U95+AK95+BA95+BQ95+CG95+CW95</f>
        <v>0</v>
      </c>
      <c r="H95" s="12">
        <f t="shared" si="41"/>
        <v>0</v>
      </c>
      <c r="I95" s="12">
        <f>W95+AM95+BC95+BS95+CI95+CY95</f>
        <v>0</v>
      </c>
      <c r="J95" s="12">
        <f t="shared" si="42"/>
        <v>0</v>
      </c>
      <c r="P95" s="12" cm="1">
        <f t="array" ref="P95" xml:space="preserve"> _xlfn.SWITCH(P$5, 1, AA95, -1, AC95, 0)</f>
        <v>0</v>
      </c>
      <c r="Q95" s="12" cm="1">
        <f t="array" ref="Q95" xml:space="preserve"> _xlfn.SWITCH(Q$5, 1, AA95, -1, AC95, 0)</f>
        <v>0</v>
      </c>
      <c r="R95" s="12" cm="1">
        <f t="array" ref="R95" xml:space="preserve"> _xlfn.SWITCH(R$5, 1, AA95, -1, AC95, 0)</f>
        <v>0</v>
      </c>
      <c r="S95" s="12" cm="1">
        <f t="array" ref="S95" xml:space="preserve"> _xlfn.SWITCH(S$5, 1, AA95, -1, AC95, 0)</f>
        <v>0</v>
      </c>
      <c r="T95" s="12" cm="1">
        <f t="array" ref="T95" xml:space="preserve"> _xlfn.SWITCH(T$5, 1, AA95, -1, AC95, 0)</f>
        <v>0</v>
      </c>
      <c r="U95" s="12" cm="1">
        <f t="array" ref="U95" xml:space="preserve"> _xlfn.SWITCH(U$5, 1, AA95, -1, AC95, 0)</f>
        <v>0</v>
      </c>
      <c r="V95" s="12" cm="1">
        <f t="array" ref="V95" xml:space="preserve"> _xlfn.SWITCH(V$5, 1, AA95, -1, AC95, 0)</f>
        <v>0</v>
      </c>
      <c r="W95" s="12" cm="1">
        <f t="array" ref="W95" xml:space="preserve"> _xlfn.SWITCH(W$5, 1, AA95, -1, AC95, 0)</f>
        <v>0</v>
      </c>
      <c r="X95" s="12" cm="1">
        <f t="array" ref="X95" xml:space="preserve"> _xlfn.SWITCH(X$5, 1, AA95, -1, AC95, 0)</f>
        <v>0</v>
      </c>
      <c r="Z95" s="16" t="s">
        <v>1303</v>
      </c>
      <c r="AA95">
        <f>_xlfn.XLOOKUP(Z95,'KPI Impacts'!$B$2:$H$2,'KPI Impacts'!$B95:$H95)</f>
        <v>0</v>
      </c>
      <c r="AB95" s="16" t="s">
        <v>1303</v>
      </c>
      <c r="AC95">
        <f>_xlfn.XLOOKUP(AB95,'KPI Impacts'!$B$2:$H$2,'KPI Impacts'!$B95:$H95)</f>
        <v>0</v>
      </c>
      <c r="AF95" s="12" cm="1">
        <f t="array" ref="AF95" xml:space="preserve"> _xlfn.SWITCH(AF$5, 1, AQ95, -1, AS95, 0)</f>
        <v>0</v>
      </c>
      <c r="AG95" s="12" cm="1">
        <f t="array" ref="AG95" xml:space="preserve"> _xlfn.SWITCH(AG$5, 1, AQ95, -1, AS95, 0)</f>
        <v>0</v>
      </c>
      <c r="AH95" s="12" cm="1">
        <f t="array" ref="AH95" xml:space="preserve"> _xlfn.SWITCH(AH$5, 1, AQ95, -1, AS95, 0)</f>
        <v>0</v>
      </c>
      <c r="AI95" s="12" cm="1">
        <f t="array" ref="AI95" xml:space="preserve"> _xlfn.SWITCH(AI$5, 1, AQ95, -1, AS95, 0)</f>
        <v>0</v>
      </c>
      <c r="AJ95" s="12" cm="1">
        <f t="array" ref="AJ95" xml:space="preserve"> _xlfn.SWITCH(AJ$5, 1, AQ95, -1, AS95, 0)</f>
        <v>0</v>
      </c>
      <c r="AK95" s="12" cm="1">
        <f t="array" ref="AK95" xml:space="preserve"> _xlfn.SWITCH(AK$5, 1, AQ95, -1, AS95, 0)</f>
        <v>0</v>
      </c>
      <c r="AL95" s="12" cm="1">
        <f t="array" ref="AL95" xml:space="preserve"> _xlfn.SWITCH(AL$5, 1, AQ95, -1, AS95, 0)</f>
        <v>0</v>
      </c>
      <c r="AM95" s="12" cm="1">
        <f t="array" ref="AM95" xml:space="preserve"> _xlfn.SWITCH(AM$5, 1, AQ95, -1, AS95, 0)</f>
        <v>0</v>
      </c>
      <c r="AN95" s="12" cm="1">
        <f t="array" ref="AN95" xml:space="preserve"> _xlfn.SWITCH(AN$5, 1, AQ95, -1, AS95, 0)</f>
        <v>0</v>
      </c>
      <c r="AP95" s="29" t="s">
        <v>1304</v>
      </c>
      <c r="AQ95">
        <f>_xlfn.XLOOKUP(AP95,'KPI Impacts'!$B$2:$H$2,'KPI Impacts'!$B95:$H95)</f>
        <v>-320000000</v>
      </c>
      <c r="AR95" s="16" t="s">
        <v>1303</v>
      </c>
      <c r="AS95">
        <f>_xlfn.XLOOKUP(AR95,'KPI Impacts'!$B$2:$H$2,'KPI Impacts'!$B95:$H95)</f>
        <v>0</v>
      </c>
      <c r="AV95" s="12" cm="1">
        <f t="array" ref="AV95" xml:space="preserve"> _xlfn.SWITCH(AV$5, 1, BG95, -1, BI95, 0)</f>
        <v>0</v>
      </c>
      <c r="AW95" s="12" cm="1">
        <f t="array" ref="AW95" xml:space="preserve"> _xlfn.SWITCH(AW$5, 1, BG95, -1, BI95, 0)</f>
        <v>0</v>
      </c>
      <c r="AX95" s="12" cm="1">
        <f t="array" ref="AX95" xml:space="preserve"> _xlfn.SWITCH(AX$5, 1, BG95, -1, BI95, 0)</f>
        <v>0</v>
      </c>
      <c r="AY95" s="12" cm="1">
        <f t="array" ref="AY95" xml:space="preserve"> _xlfn.SWITCH(AY$5, 1, BG95, -1, BI95, 0)</f>
        <v>0</v>
      </c>
      <c r="AZ95" s="12" cm="1">
        <f t="array" ref="AZ95" xml:space="preserve"> _xlfn.SWITCH(AZ$5, 1, BG95, -1, BI95, 0)</f>
        <v>0</v>
      </c>
      <c r="BA95" s="12" cm="1">
        <f t="array" ref="BA95" xml:space="preserve"> _xlfn.SWITCH(BA$5, 1, BG95, -1, BI95, 0)</f>
        <v>0</v>
      </c>
      <c r="BB95" s="12" cm="1">
        <f t="array" ref="BB95" xml:space="preserve"> _xlfn.SWITCH(BB$5, 1, BG95, -1, BI95, 0)</f>
        <v>0</v>
      </c>
      <c r="BC95" s="12" cm="1">
        <f t="array" ref="BC95" xml:space="preserve"> _xlfn.SWITCH(BC$5, 1, BG95, -1, BI95, 0)</f>
        <v>0</v>
      </c>
      <c r="BD95" s="12" cm="1">
        <f t="array" ref="BD95" xml:space="preserve"> _xlfn.SWITCH(BD$5, 1, BG95, -1, BI95, 0)</f>
        <v>0</v>
      </c>
      <c r="BF95" s="16" t="s">
        <v>1303</v>
      </c>
      <c r="BG95">
        <f>_xlfn.XLOOKUP(BF95,'KPI Impacts'!$B$2:$H$2,'KPI Impacts'!$B95:$H95)</f>
        <v>0</v>
      </c>
      <c r="BH95" s="16" t="s">
        <v>1303</v>
      </c>
      <c r="BI95">
        <f>_xlfn.XLOOKUP(BH95,'KPI Impacts'!$B$2:$H$2,'KPI Impacts'!$B95:$H95)</f>
        <v>0</v>
      </c>
      <c r="BL95" s="12" cm="1">
        <f t="array" ref="BL95" xml:space="preserve"> _xlfn.SWITCH(BL$5, 1, BW95, -1, BY95, 0)</f>
        <v>0</v>
      </c>
      <c r="BM95" s="12" cm="1">
        <f t="array" ref="BM95" xml:space="preserve"> _xlfn.SWITCH(BM$5, 1, BW95, -1, BY95, 0)</f>
        <v>0</v>
      </c>
      <c r="BN95" s="12" cm="1">
        <f t="array" ref="BN95" xml:space="preserve"> _xlfn.SWITCH(BN$5, 1, BW95, -1, BY95, 0)</f>
        <v>0</v>
      </c>
      <c r="BO95" s="12" cm="1">
        <f t="array" ref="BO95" xml:space="preserve"> _xlfn.SWITCH(BO$5, 1, BW95, -1, BY95, 0)</f>
        <v>0</v>
      </c>
      <c r="BP95" s="12" cm="1">
        <f t="array" ref="BP95" xml:space="preserve"> _xlfn.SWITCH(BP$5, 1, BW95, -1, BY95, 0)</f>
        <v>0</v>
      </c>
      <c r="BQ95" s="12" cm="1">
        <f t="array" ref="BQ95" xml:space="preserve"> _xlfn.SWITCH(BQ$5, 1, BW95, -1, BY95, 0)</f>
        <v>0</v>
      </c>
      <c r="BR95" s="12" cm="1">
        <f t="array" ref="BR95" xml:space="preserve"> _xlfn.SWITCH(BR$5, 1, BW95, -1, BY95, 0)</f>
        <v>0</v>
      </c>
      <c r="BS95" s="12" cm="1">
        <f t="array" ref="BS95" xml:space="preserve"> _xlfn.SWITCH(BS$5, 1, BW95, -1, BY95, 0)</f>
        <v>0</v>
      </c>
      <c r="BT95" s="12" cm="1">
        <f t="array" ref="BT95" xml:space="preserve"> _xlfn.SWITCH(BT$5, 1, BW95, -1, BY95, 0)</f>
        <v>0</v>
      </c>
      <c r="BV95" s="16" t="s">
        <v>1303</v>
      </c>
      <c r="BW95">
        <f>_xlfn.XLOOKUP(BV95,'KPI Impacts'!$B$2:$H$2,'KPI Impacts'!$B95:$H95)</f>
        <v>0</v>
      </c>
      <c r="BX95" s="16" t="s">
        <v>1303</v>
      </c>
      <c r="BY95">
        <f>_xlfn.XLOOKUP(BX95,'KPI Impacts'!$B$2:$H$2,'KPI Impacts'!$B95:$H95)</f>
        <v>0</v>
      </c>
      <c r="CB95" s="12" cm="1">
        <f t="array" ref="CB95" xml:space="preserve"> _xlfn.SWITCH(CB$5, 1, CM95, -1, CO95, 0)</f>
        <v>0</v>
      </c>
      <c r="CC95" s="12" cm="1">
        <f t="array" ref="CC95" xml:space="preserve"> _xlfn.SWITCH(CC$5, 1, CM95, -1, CO95, 0)</f>
        <v>0</v>
      </c>
      <c r="CD95" s="12" cm="1">
        <f t="array" ref="CD95" xml:space="preserve"> _xlfn.SWITCH(CD$5, 1, CM95, -1, CO95, 0)</f>
        <v>0</v>
      </c>
      <c r="CE95" s="12" cm="1">
        <f t="array" ref="CE95" xml:space="preserve"> _xlfn.SWITCH(CE$5, 1, CM95, -1, CO95, 0)</f>
        <v>0</v>
      </c>
      <c r="CF95" s="12" cm="1">
        <f t="array" ref="CF95" xml:space="preserve"> _xlfn.SWITCH(CF$5, 1, CM95, -1, CO95, 0)</f>
        <v>0</v>
      </c>
      <c r="CG95" s="12" cm="1">
        <f t="array" ref="CG95" xml:space="preserve"> _xlfn.SWITCH(CG$5, 1, CM95, -1, CO95, 0)</f>
        <v>0</v>
      </c>
      <c r="CH95" s="12" cm="1">
        <f t="array" ref="CH95" xml:space="preserve"> _xlfn.SWITCH(CH$5, 1, CM95, -1, CO95, 0)</f>
        <v>0</v>
      </c>
      <c r="CI95" s="12" cm="1">
        <f t="array" ref="CI95" xml:space="preserve"> _xlfn.SWITCH(CI$5, 1, CM95, -1, CO95, 0)</f>
        <v>0</v>
      </c>
      <c r="CJ95" s="12" cm="1">
        <f t="array" ref="CJ95" xml:space="preserve"> _xlfn.SWITCH(CJ$5, 1, CM95, -1, CO95, 0)</f>
        <v>0</v>
      </c>
      <c r="CL95" s="30" t="s">
        <v>1307</v>
      </c>
      <c r="CM95">
        <f>_xlfn.XLOOKUP(CL95,'KPI Impacts'!$B$2:$H$2,'KPI Impacts'!$B95:$H95)</f>
        <v>400000000</v>
      </c>
      <c r="CN95" s="16" t="s">
        <v>1303</v>
      </c>
      <c r="CO95">
        <f>_xlfn.XLOOKUP(CN95,'KPI Impacts'!$B$2:$H$2,'KPI Impacts'!$B95:$H95)</f>
        <v>0</v>
      </c>
      <c r="CR95" s="12" cm="1">
        <f t="array" ref="CR95" xml:space="preserve"> _xlfn.SWITCH(CR$5, 1, DC95, -1, DE95, 0)</f>
        <v>0</v>
      </c>
      <c r="CS95" s="12" cm="1">
        <f t="array" ref="CS95" xml:space="preserve"> _xlfn.SWITCH(CS$5, 1, DC95, -1, DE95, 0)</f>
        <v>0</v>
      </c>
      <c r="CT95" s="12" cm="1">
        <f t="array" ref="CT95" xml:space="preserve"> _xlfn.SWITCH(CT$5, 1, DC95, -1, DE95, 0)</f>
        <v>0</v>
      </c>
      <c r="CU95" s="12" cm="1">
        <f t="array" ref="CU95" xml:space="preserve"> _xlfn.SWITCH(CU$5, 1, DC95, -1, DE95, 0)</f>
        <v>0</v>
      </c>
      <c r="CV95" s="12" cm="1">
        <f t="array" ref="CV95" xml:space="preserve"> _xlfn.SWITCH(CV$5, 1, DC95, -1, DE95, 0)</f>
        <v>0</v>
      </c>
      <c r="CW95" s="12" cm="1">
        <f t="array" ref="CW95" xml:space="preserve"> _xlfn.SWITCH(CW$5, 1, DC95, -1, DE95, 0)</f>
        <v>0</v>
      </c>
      <c r="CX95" s="12" cm="1">
        <f t="array" ref="CX95" xml:space="preserve"> _xlfn.SWITCH(CX$5, 1, DC95, -1, DE95, 0)</f>
        <v>0</v>
      </c>
      <c r="CY95" s="12" cm="1">
        <f t="array" ref="CY95" xml:space="preserve"> _xlfn.SWITCH(CY$5, 1, DC95, -1, DE95, 0)</f>
        <v>0</v>
      </c>
      <c r="CZ95" s="12" cm="1">
        <f t="array" ref="CZ95" xml:space="preserve"> _xlfn.SWITCH(CZ$5, 1, DC95, -1, DE95, 0)</f>
        <v>0</v>
      </c>
      <c r="DB95" s="16" t="s">
        <v>1303</v>
      </c>
      <c r="DC95">
        <f>_xlfn.XLOOKUP(DB95,'KPI Impacts'!$B$2:$H$2,'KPI Impacts'!$B95:$H95)</f>
        <v>0</v>
      </c>
      <c r="DD95" s="16" t="s">
        <v>1303</v>
      </c>
      <c r="DE95">
        <f>_xlfn.XLOOKUP(DD95,'KPI Impacts'!$B$2:$H$2,'KPI Impacts'!$B95:$H95)</f>
        <v>0</v>
      </c>
      <c r="DI95" s="12"/>
      <c r="DJ95" s="12"/>
      <c r="DK95" s="12"/>
      <c r="DL95" s="12"/>
      <c r="DM95" s="12"/>
      <c r="DN95" s="12"/>
      <c r="DO95" s="12"/>
      <c r="DP95" s="12"/>
      <c r="DQ95" s="12"/>
    </row>
    <row r="96" spans="1:121" x14ac:dyDescent="0.2">
      <c r="A96" t="s">
        <v>1317</v>
      </c>
      <c r="B96" s="12">
        <f>P96+AF96+AV96+BL96+CB96+CR96</f>
        <v>0</v>
      </c>
      <c r="C96" s="12">
        <f t="shared" si="37"/>
        <v>0</v>
      </c>
      <c r="D96" s="12">
        <f t="shared" si="38"/>
        <v>-120000000</v>
      </c>
      <c r="E96" s="12">
        <f t="shared" si="39"/>
        <v>-120000000</v>
      </c>
      <c r="F96" s="12">
        <f t="shared" si="40"/>
        <v>-120000000</v>
      </c>
      <c r="G96" s="12">
        <f>U96+AK96+BA96+BQ96+CG96+CW96</f>
        <v>-120000000</v>
      </c>
      <c r="H96" s="12">
        <f t="shared" si="41"/>
        <v>-120000000</v>
      </c>
      <c r="I96" s="12">
        <f>W96+AM96+BC96+BS96+CI96+CY96</f>
        <v>-120000000</v>
      </c>
      <c r="J96" s="12">
        <f t="shared" si="42"/>
        <v>-120000000</v>
      </c>
      <c r="P96" s="12" cm="1">
        <f t="array" ref="P96" xml:space="preserve"> _xlfn.SWITCH(P$5, 1, AA96, -1, AC96, 0)</f>
        <v>0</v>
      </c>
      <c r="Q96" s="12" cm="1">
        <f t="array" ref="Q96" xml:space="preserve"> _xlfn.SWITCH(Q$5, 1, AA96, -1, AC96, 0)</f>
        <v>0</v>
      </c>
      <c r="R96" s="12" cm="1">
        <f t="array" ref="R96" xml:space="preserve"> _xlfn.SWITCH(R$5, 1, AA96, -1, AC96, 0)</f>
        <v>0</v>
      </c>
      <c r="S96" s="12" cm="1">
        <f t="array" ref="S96" xml:space="preserve"> _xlfn.SWITCH(S$5, 1, AA96, -1, AC96, 0)</f>
        <v>0</v>
      </c>
      <c r="T96" s="12" cm="1">
        <f t="array" ref="T96" xml:space="preserve"> _xlfn.SWITCH(T$5, 1, AA96, -1, AC96, 0)</f>
        <v>0</v>
      </c>
      <c r="U96" s="12" cm="1">
        <f t="array" ref="U96" xml:space="preserve"> _xlfn.SWITCH(U$5, 1, AA96, -1, AC96, 0)</f>
        <v>0</v>
      </c>
      <c r="V96" s="12" cm="1">
        <f t="array" ref="V96" xml:space="preserve"> _xlfn.SWITCH(V$5, 1, AA96, -1, AC96, 0)</f>
        <v>0</v>
      </c>
      <c r="W96" s="12" cm="1">
        <f t="array" ref="W96" xml:space="preserve"> _xlfn.SWITCH(W$5, 1, AA96, -1, AC96, 0)</f>
        <v>0</v>
      </c>
      <c r="X96" s="12" cm="1">
        <f t="array" ref="X96" xml:space="preserve"> _xlfn.SWITCH(X$5, 1, AA96, -1, AC96, 0)</f>
        <v>0</v>
      </c>
      <c r="Z96" s="16" t="s">
        <v>1303</v>
      </c>
      <c r="AA96">
        <f>_xlfn.XLOOKUP(Z96,'KPI Impacts'!$B$2:$H$2,'KPI Impacts'!$B96:$H96)</f>
        <v>0</v>
      </c>
      <c r="AB96" s="16" t="s">
        <v>1303</v>
      </c>
      <c r="AC96">
        <f>_xlfn.XLOOKUP(AB96,'KPI Impacts'!$B$2:$H$2,'KPI Impacts'!$B96:$H96)</f>
        <v>0</v>
      </c>
      <c r="AF96" s="12" cm="1">
        <f t="array" ref="AF96" xml:space="preserve"> _xlfn.SWITCH(AF$5, 1, AQ96, -1, AS96, 0)</f>
        <v>0</v>
      </c>
      <c r="AG96" s="12" cm="1">
        <f t="array" ref="AG96" xml:space="preserve"> _xlfn.SWITCH(AG$5, 1, AQ96, -1, AS96, 0)</f>
        <v>0</v>
      </c>
      <c r="AH96" s="12" cm="1">
        <f t="array" ref="AH96" xml:space="preserve"> _xlfn.SWITCH(AH$5, 1, AQ96, -1, AS96, 0)</f>
        <v>-120000000</v>
      </c>
      <c r="AI96" s="12" cm="1">
        <f t="array" ref="AI96" xml:space="preserve"> _xlfn.SWITCH(AI$5, 1, AQ96, -1, AS96, 0)</f>
        <v>-120000000</v>
      </c>
      <c r="AJ96" s="12" cm="1">
        <f t="array" ref="AJ96" xml:space="preserve"> _xlfn.SWITCH(AJ$5, 1, AQ96, -1, AS96, 0)</f>
        <v>-120000000</v>
      </c>
      <c r="AK96" s="12" cm="1">
        <f t="array" ref="AK96" xml:space="preserve"> _xlfn.SWITCH(AK$5, 1, AQ96, -1, AS96, 0)</f>
        <v>-120000000</v>
      </c>
      <c r="AL96" s="12" cm="1">
        <f t="array" ref="AL96" xml:space="preserve"> _xlfn.SWITCH(AL$5, 1, AQ96, -1, AS96, 0)</f>
        <v>-120000000</v>
      </c>
      <c r="AM96" s="12" cm="1">
        <f t="array" ref="AM96" xml:space="preserve"> _xlfn.SWITCH(AM$5, 1, AQ96, -1, AS96, 0)</f>
        <v>-120000000</v>
      </c>
      <c r="AN96" s="12" cm="1">
        <f t="array" ref="AN96" xml:space="preserve"> _xlfn.SWITCH(AN$5, 1, AQ96, -1, AS96, 0)</f>
        <v>-120000000</v>
      </c>
      <c r="AP96" s="16" t="s">
        <v>1303</v>
      </c>
      <c r="AQ96">
        <f>_xlfn.XLOOKUP(AP96,'KPI Impacts'!$B$2:$H$2,'KPI Impacts'!$B96:$H96)</f>
        <v>0</v>
      </c>
      <c r="AR96" s="29" t="s">
        <v>1304</v>
      </c>
      <c r="AS96">
        <f>_xlfn.XLOOKUP(AR96,'KPI Impacts'!$B$2:$H$2,'KPI Impacts'!$B96:$H96)</f>
        <v>-120000000</v>
      </c>
      <c r="AV96" s="12" cm="1">
        <f t="array" ref="AV96" xml:space="preserve"> _xlfn.SWITCH(AV$5, 1, BG96, -1, BI96, 0)</f>
        <v>0</v>
      </c>
      <c r="AW96" s="12" cm="1">
        <f t="array" ref="AW96" xml:space="preserve"> _xlfn.SWITCH(AW$5, 1, BG96, -1, BI96, 0)</f>
        <v>0</v>
      </c>
      <c r="AX96" s="12" cm="1">
        <f t="array" ref="AX96" xml:space="preserve"> _xlfn.SWITCH(AX$5, 1, BG96, -1, BI96, 0)</f>
        <v>0</v>
      </c>
      <c r="AY96" s="12" cm="1">
        <f t="array" ref="AY96" xml:space="preserve"> _xlfn.SWITCH(AY$5, 1, BG96, -1, BI96, 0)</f>
        <v>0</v>
      </c>
      <c r="AZ96" s="12" cm="1">
        <f t="array" ref="AZ96" xml:space="preserve"> _xlfn.SWITCH(AZ$5, 1, BG96, -1, BI96, 0)</f>
        <v>0</v>
      </c>
      <c r="BA96" s="12" cm="1">
        <f t="array" ref="BA96" xml:space="preserve"> _xlfn.SWITCH(BA$5, 1, BG96, -1, BI96, 0)</f>
        <v>0</v>
      </c>
      <c r="BB96" s="12" cm="1">
        <f t="array" ref="BB96" xml:space="preserve"> _xlfn.SWITCH(BB$5, 1, BG96, -1, BI96, 0)</f>
        <v>0</v>
      </c>
      <c r="BC96" s="12" cm="1">
        <f t="array" ref="BC96" xml:space="preserve"> _xlfn.SWITCH(BC$5, 1, BG96, -1, BI96, 0)</f>
        <v>0</v>
      </c>
      <c r="BD96" s="12" cm="1">
        <f t="array" ref="BD96" xml:space="preserve"> _xlfn.SWITCH(BD$5, 1, BG96, -1, BI96, 0)</f>
        <v>0</v>
      </c>
      <c r="BF96" s="16" t="s">
        <v>1303</v>
      </c>
      <c r="BG96">
        <f>_xlfn.XLOOKUP(BF96,'KPI Impacts'!$B$2:$H$2,'KPI Impacts'!$B96:$H96)</f>
        <v>0</v>
      </c>
      <c r="BH96" s="16" t="s">
        <v>1303</v>
      </c>
      <c r="BI96">
        <f>_xlfn.XLOOKUP(BH96,'KPI Impacts'!$B$2:$H$2,'KPI Impacts'!$B96:$H96)</f>
        <v>0</v>
      </c>
      <c r="BL96" s="12" cm="1">
        <f t="array" ref="BL96" xml:space="preserve"> _xlfn.SWITCH(BL$5, 1, BW96, -1, BY96, 0)</f>
        <v>0</v>
      </c>
      <c r="BM96" s="12" cm="1">
        <f t="array" ref="BM96" xml:space="preserve"> _xlfn.SWITCH(BM$5, 1, BW96, -1, BY96, 0)</f>
        <v>0</v>
      </c>
      <c r="BN96" s="12" cm="1">
        <f t="array" ref="BN96" xml:space="preserve"> _xlfn.SWITCH(BN$5, 1, BW96, -1, BY96, 0)</f>
        <v>0</v>
      </c>
      <c r="BO96" s="12" cm="1">
        <f t="array" ref="BO96" xml:space="preserve"> _xlfn.SWITCH(BO$5, 1, BW96, -1, BY96, 0)</f>
        <v>0</v>
      </c>
      <c r="BP96" s="12" cm="1">
        <f t="array" ref="BP96" xml:space="preserve"> _xlfn.SWITCH(BP$5, 1, BW96, -1, BY96, 0)</f>
        <v>0</v>
      </c>
      <c r="BQ96" s="12" cm="1">
        <f t="array" ref="BQ96" xml:space="preserve"> _xlfn.SWITCH(BQ$5, 1, BW96, -1, BY96, 0)</f>
        <v>0</v>
      </c>
      <c r="BR96" s="12" cm="1">
        <f t="array" ref="BR96" xml:space="preserve"> _xlfn.SWITCH(BR$5, 1, BW96, -1, BY96, 0)</f>
        <v>0</v>
      </c>
      <c r="BS96" s="12" cm="1">
        <f t="array" ref="BS96" xml:space="preserve"> _xlfn.SWITCH(BS$5, 1, BW96, -1, BY96, 0)</f>
        <v>0</v>
      </c>
      <c r="BT96" s="12" cm="1">
        <f t="array" ref="BT96" xml:space="preserve"> _xlfn.SWITCH(BT$5, 1, BW96, -1, BY96, 0)</f>
        <v>0</v>
      </c>
      <c r="BV96" s="16" t="s">
        <v>1303</v>
      </c>
      <c r="BW96">
        <f>_xlfn.XLOOKUP(BV96,'KPI Impacts'!$B$2:$H$2,'KPI Impacts'!$B96:$H96)</f>
        <v>0</v>
      </c>
      <c r="BX96" s="16" t="s">
        <v>1303</v>
      </c>
      <c r="BY96">
        <f>_xlfn.XLOOKUP(BX96,'KPI Impacts'!$B$2:$H$2,'KPI Impacts'!$B96:$H96)</f>
        <v>0</v>
      </c>
      <c r="CB96" s="12" cm="1">
        <f t="array" ref="CB96" xml:space="preserve"> _xlfn.SWITCH(CB$5, 1, CM96, -1, CO96, 0)</f>
        <v>0</v>
      </c>
      <c r="CC96" s="12" cm="1">
        <f t="array" ref="CC96" xml:space="preserve"> _xlfn.SWITCH(CC$5, 1, CM96, -1, CO96, 0)</f>
        <v>0</v>
      </c>
      <c r="CD96" s="12" cm="1">
        <f t="array" ref="CD96" xml:space="preserve"> _xlfn.SWITCH(CD$5, 1, CM96, -1, CO96, 0)</f>
        <v>0</v>
      </c>
      <c r="CE96" s="12" cm="1">
        <f t="array" ref="CE96" xml:space="preserve"> _xlfn.SWITCH(CE$5, 1, CM96, -1, CO96, 0)</f>
        <v>0</v>
      </c>
      <c r="CF96" s="12" cm="1">
        <f t="array" ref="CF96" xml:space="preserve"> _xlfn.SWITCH(CF$5, 1, CM96, -1, CO96, 0)</f>
        <v>0</v>
      </c>
      <c r="CG96" s="12" cm="1">
        <f t="array" ref="CG96" xml:space="preserve"> _xlfn.SWITCH(CG$5, 1, CM96, -1, CO96, 0)</f>
        <v>0</v>
      </c>
      <c r="CH96" s="12" cm="1">
        <f t="array" ref="CH96" xml:space="preserve"> _xlfn.SWITCH(CH$5, 1, CM96, -1, CO96, 0)</f>
        <v>0</v>
      </c>
      <c r="CI96" s="12" cm="1">
        <f t="array" ref="CI96" xml:space="preserve"> _xlfn.SWITCH(CI$5, 1, CM96, -1, CO96, 0)</f>
        <v>0</v>
      </c>
      <c r="CJ96" s="12" cm="1">
        <f t="array" ref="CJ96" xml:space="preserve"> _xlfn.SWITCH(CJ$5, 1, CM96, -1, CO96, 0)</f>
        <v>0</v>
      </c>
      <c r="CL96" s="16" t="s">
        <v>1303</v>
      </c>
      <c r="CM96">
        <f>_xlfn.XLOOKUP(CL96,'KPI Impacts'!$B$2:$H$2,'KPI Impacts'!$B96:$H96)</f>
        <v>0</v>
      </c>
      <c r="CN96" s="16" t="s">
        <v>1303</v>
      </c>
      <c r="CO96">
        <f>_xlfn.XLOOKUP(CN96,'KPI Impacts'!$B$2:$H$2,'KPI Impacts'!$B96:$H96)</f>
        <v>0</v>
      </c>
      <c r="CR96" s="12" cm="1">
        <f t="array" ref="CR96" xml:space="preserve"> _xlfn.SWITCH(CR$5, 1, DC96, -1, DE96, 0)</f>
        <v>0</v>
      </c>
      <c r="CS96" s="12" cm="1">
        <f t="array" ref="CS96" xml:space="preserve"> _xlfn.SWITCH(CS$5, 1, DC96, -1, DE96, 0)</f>
        <v>0</v>
      </c>
      <c r="CT96" s="12" cm="1">
        <f t="array" ref="CT96" xml:space="preserve"> _xlfn.SWITCH(CT$5, 1, DC96, -1, DE96, 0)</f>
        <v>0</v>
      </c>
      <c r="CU96" s="12" cm="1">
        <f t="array" ref="CU96" xml:space="preserve"> _xlfn.SWITCH(CU$5, 1, DC96, -1, DE96, 0)</f>
        <v>0</v>
      </c>
      <c r="CV96" s="12" cm="1">
        <f t="array" ref="CV96" xml:space="preserve"> _xlfn.SWITCH(CV$5, 1, DC96, -1, DE96, 0)</f>
        <v>0</v>
      </c>
      <c r="CW96" s="12" cm="1">
        <f t="array" ref="CW96" xml:space="preserve"> _xlfn.SWITCH(CW$5, 1, DC96, -1, DE96, 0)</f>
        <v>0</v>
      </c>
      <c r="CX96" s="12" cm="1">
        <f t="array" ref="CX96" xml:space="preserve"> _xlfn.SWITCH(CX$5, 1, DC96, -1, DE96, 0)</f>
        <v>0</v>
      </c>
      <c r="CY96" s="12" cm="1">
        <f t="array" ref="CY96" xml:space="preserve"> _xlfn.SWITCH(CY$5, 1, DC96, -1, DE96, 0)</f>
        <v>0</v>
      </c>
      <c r="CZ96" s="12" cm="1">
        <f t="array" ref="CZ96" xml:space="preserve"> _xlfn.SWITCH(CZ$5, 1, DC96, -1, DE96, 0)</f>
        <v>0</v>
      </c>
      <c r="DB96" s="16" t="s">
        <v>1303</v>
      </c>
      <c r="DC96">
        <f>_xlfn.XLOOKUP(DB96,'KPI Impacts'!$B$2:$H$2,'KPI Impacts'!$B96:$H96)</f>
        <v>0</v>
      </c>
      <c r="DD96" s="16" t="s">
        <v>1303</v>
      </c>
      <c r="DE96">
        <f>_xlfn.XLOOKUP(DD96,'KPI Impacts'!$B$2:$H$2,'KPI Impacts'!$B96:$H96)</f>
        <v>0</v>
      </c>
      <c r="DI96" s="12"/>
      <c r="DJ96" s="12"/>
      <c r="DK96" s="12"/>
      <c r="DL96" s="12"/>
      <c r="DM96" s="12"/>
      <c r="DN96" s="12"/>
      <c r="DO96" s="12"/>
      <c r="DP96" s="12"/>
      <c r="DQ96" s="12"/>
    </row>
    <row r="97" spans="1:121" x14ac:dyDescent="0.2">
      <c r="A97" t="s">
        <v>1294</v>
      </c>
      <c r="B97" s="19" t="s">
        <v>1318</v>
      </c>
      <c r="C97" s="19" t="s">
        <v>1318</v>
      </c>
      <c r="D97" s="19" t="s">
        <v>1318</v>
      </c>
      <c r="E97" s="19" t="s">
        <v>1318</v>
      </c>
      <c r="F97" s="19" t="s">
        <v>1318</v>
      </c>
      <c r="G97" s="19" t="s">
        <v>1318</v>
      </c>
      <c r="H97" s="19" t="s">
        <v>1318</v>
      </c>
      <c r="I97" s="19" t="s">
        <v>1318</v>
      </c>
      <c r="J97" s="19" t="s">
        <v>1318</v>
      </c>
      <c r="Z97" s="16"/>
      <c r="AB97" s="16"/>
      <c r="AP97" s="16"/>
      <c r="AR97" s="16"/>
      <c r="BF97" s="16"/>
      <c r="BH97" s="16"/>
      <c r="BV97" s="16"/>
      <c r="BX97" s="16"/>
      <c r="CL97" s="16"/>
      <c r="CN97" s="16"/>
      <c r="DB97" s="16"/>
      <c r="DD97" s="16"/>
      <c r="DL97" s="12"/>
      <c r="DM97" s="12"/>
    </row>
    <row r="98" spans="1:121" hidden="1" x14ac:dyDescent="0.2">
      <c r="Z98" s="16"/>
      <c r="AB98" s="16"/>
      <c r="AP98" s="16"/>
      <c r="AR98" s="16"/>
      <c r="BF98" s="16"/>
      <c r="BH98" s="16"/>
      <c r="BV98" s="16"/>
      <c r="BX98" s="16"/>
      <c r="CL98" s="16"/>
      <c r="CN98" s="16"/>
      <c r="DB98" s="16"/>
      <c r="DD98" s="16"/>
      <c r="DL98" s="12"/>
      <c r="DM98" s="12"/>
    </row>
    <row r="99" spans="1:121" hidden="1" x14ac:dyDescent="0.2">
      <c r="Z99" s="16"/>
      <c r="AB99" s="16"/>
      <c r="AP99" s="16"/>
      <c r="AR99" s="16"/>
      <c r="BF99" s="16"/>
      <c r="BH99" s="16"/>
      <c r="BV99" s="16"/>
      <c r="BX99" s="16"/>
      <c r="CL99" s="16"/>
      <c r="CN99" s="16"/>
      <c r="DB99" s="16"/>
      <c r="DD99" s="16"/>
      <c r="DL99" s="12"/>
      <c r="DM99" s="12"/>
    </row>
    <row r="100" spans="1:121" x14ac:dyDescent="0.2">
      <c r="Z100" s="16"/>
      <c r="AB100" s="16"/>
      <c r="AP100" s="16"/>
      <c r="AR100" s="16"/>
      <c r="BF100" s="16"/>
      <c r="BH100" s="16"/>
      <c r="BV100" s="16"/>
      <c r="BX100" s="16"/>
      <c r="CL100" s="16"/>
      <c r="CN100" s="16"/>
      <c r="DB100" s="16"/>
      <c r="DD100" s="16"/>
      <c r="DL100" s="12"/>
      <c r="DM100" s="12"/>
    </row>
    <row r="101" spans="1:121" x14ac:dyDescent="0.2">
      <c r="A101" s="5" t="s">
        <v>53</v>
      </c>
      <c r="Z101" s="16"/>
      <c r="AB101" s="16"/>
      <c r="AP101" s="16"/>
      <c r="AR101" s="16"/>
      <c r="BF101" s="16"/>
      <c r="BH101" s="16"/>
      <c r="BV101" s="16"/>
      <c r="BX101" s="16"/>
      <c r="CL101" s="16"/>
      <c r="CN101" s="16"/>
      <c r="DB101" s="16"/>
      <c r="DD101" s="16"/>
      <c r="DL101" s="12"/>
      <c r="DM101" s="12"/>
    </row>
    <row r="102" spans="1:121" x14ac:dyDescent="0.2">
      <c r="A102" t="s">
        <v>57</v>
      </c>
      <c r="B102" s="12">
        <f>P102+AF102+AV102+BL102+CB102+CR102</f>
        <v>0</v>
      </c>
      <c r="C102" s="12">
        <f t="shared" ref="C102:C104" si="43">Q102+AG102+AW102+BM102+CC102+CS102</f>
        <v>0</v>
      </c>
      <c r="D102" s="12">
        <f t="shared" ref="D102:D104" si="44">R102+AH102+AX102+BN102+CD102+CT102</f>
        <v>0</v>
      </c>
      <c r="E102" s="12">
        <f t="shared" ref="E102:E104" si="45">S102+AI102+AY102+BO102+CE102+CU102</f>
        <v>0</v>
      </c>
      <c r="F102" s="12">
        <f t="shared" ref="F102:F104" si="46">T102+AJ102+AZ102+BP102+CF102+CV102</f>
        <v>-0.8</v>
      </c>
      <c r="G102" s="12">
        <f>U102+AK102+BA102+BQ102+CG102+CW102</f>
        <v>-0.8</v>
      </c>
      <c r="H102" s="12">
        <f t="shared" ref="H102:H104" si="47">V102+AL102+BB102+BR102+CH102+CX102</f>
        <v>-0.8</v>
      </c>
      <c r="I102" s="12">
        <f>W102+AM102+BC102+BS102+CI102+CY102</f>
        <v>-0.8</v>
      </c>
      <c r="J102" s="12">
        <f t="shared" ref="J102:J104" si="48">X102+AN102+BD102+BT102+CJ102+CZ102</f>
        <v>-0.8</v>
      </c>
      <c r="P102" s="12" cm="1">
        <f t="array" ref="P102" xml:space="preserve"> _xlfn.SWITCH(P$5, 1, AA102, -1, AC102, 0)</f>
        <v>0</v>
      </c>
      <c r="Q102" s="12" cm="1">
        <f t="array" ref="Q102" xml:space="preserve"> _xlfn.SWITCH(Q$5, 1, AA102, -1, AC102, 0)</f>
        <v>0</v>
      </c>
      <c r="R102" s="12" cm="1">
        <f t="array" ref="R102" xml:space="preserve"> _xlfn.SWITCH(R$5, 1, AA102, -1, AC102, 0)</f>
        <v>0</v>
      </c>
      <c r="S102" s="12" cm="1">
        <f t="array" ref="S102" xml:space="preserve"> _xlfn.SWITCH(S$5, 1, AA102, -1, AC102, 0)</f>
        <v>0</v>
      </c>
      <c r="T102" s="12" cm="1">
        <f t="array" ref="T102" xml:space="preserve"> _xlfn.SWITCH(T$5, 1, AA102, -1, AC102, 0)</f>
        <v>0</v>
      </c>
      <c r="U102" s="12" cm="1">
        <f t="array" ref="U102" xml:space="preserve"> _xlfn.SWITCH(U$5, 1, AA102, -1, AC102, 0)</f>
        <v>0</v>
      </c>
      <c r="V102" s="12" cm="1">
        <f t="array" ref="V102" xml:space="preserve"> _xlfn.SWITCH(V$5, 1, AA102, -1, AC102, 0)</f>
        <v>0</v>
      </c>
      <c r="W102" s="12" cm="1">
        <f t="array" ref="W102" xml:space="preserve"> _xlfn.SWITCH(W$5, 1, AA102, -1, AC102, 0)</f>
        <v>0</v>
      </c>
      <c r="X102" s="12" cm="1">
        <f t="array" ref="X102" xml:space="preserve"> _xlfn.SWITCH(X$5, 1, AA102, -1, AC102, 0)</f>
        <v>0</v>
      </c>
      <c r="Z102" s="16" t="s">
        <v>1303</v>
      </c>
      <c r="AA102">
        <f>_xlfn.XLOOKUP(Z102,'KPI Impacts'!$B$2:$H$2,'KPI Impacts'!$B102:$H102)</f>
        <v>0</v>
      </c>
      <c r="AB102" s="16" t="s">
        <v>1303</v>
      </c>
      <c r="AC102">
        <f>_xlfn.XLOOKUP(AB102,'KPI Impacts'!$B$2:$H$2,'KPI Impacts'!$B102:$H102)</f>
        <v>0</v>
      </c>
      <c r="AF102" s="12" cm="1">
        <f t="array" ref="AF102" xml:space="preserve"> _xlfn.SWITCH(AF$5, 1, AQ102, -1, AS102, 0)</f>
        <v>0</v>
      </c>
      <c r="AG102" s="12" cm="1">
        <f t="array" ref="AG102" xml:space="preserve"> _xlfn.SWITCH(AG$5, 1, AQ102, -1, AS102, 0)</f>
        <v>0</v>
      </c>
      <c r="AH102" s="12" cm="1">
        <f t="array" ref="AH102" xml:space="preserve"> _xlfn.SWITCH(AH$5, 1, AQ102, -1, AS102, 0)</f>
        <v>0</v>
      </c>
      <c r="AI102" s="12" cm="1">
        <f t="array" ref="AI102" xml:space="preserve"> _xlfn.SWITCH(AI$5, 1, AQ102, -1, AS102, 0)</f>
        <v>0</v>
      </c>
      <c r="AJ102" s="12" cm="1">
        <f t="array" ref="AJ102" xml:space="preserve"> _xlfn.SWITCH(AJ$5, 1, AQ102, -1, AS102, 0)</f>
        <v>0</v>
      </c>
      <c r="AK102" s="12" cm="1">
        <f t="array" ref="AK102" xml:space="preserve"> _xlfn.SWITCH(AK$5, 1, AQ102, -1, AS102, 0)</f>
        <v>0</v>
      </c>
      <c r="AL102" s="12" cm="1">
        <f t="array" ref="AL102" xml:space="preserve"> _xlfn.SWITCH(AL$5, 1, AQ102, -1, AS102, 0)</f>
        <v>0</v>
      </c>
      <c r="AM102" s="12" cm="1">
        <f t="array" ref="AM102" xml:space="preserve"> _xlfn.SWITCH(AM$5, 1, AQ102, -1, AS102, 0)</f>
        <v>0</v>
      </c>
      <c r="AN102" s="12" cm="1">
        <f t="array" ref="AN102" xml:space="preserve"> _xlfn.SWITCH(AN$5, 1, AQ102, -1, AS102, 0)</f>
        <v>0</v>
      </c>
      <c r="AP102" s="16" t="s">
        <v>1303</v>
      </c>
      <c r="AQ102">
        <f>_xlfn.XLOOKUP(AP102,'KPI Impacts'!$B$2:$H$2,'KPI Impacts'!$B102:$H102)</f>
        <v>0</v>
      </c>
      <c r="AR102" s="16" t="s">
        <v>1303</v>
      </c>
      <c r="AS102">
        <f>_xlfn.XLOOKUP(AR102,'KPI Impacts'!$B$2:$H$2,'KPI Impacts'!$B102:$H102)</f>
        <v>0</v>
      </c>
      <c r="AV102" s="12" cm="1">
        <f t="array" ref="AV102" xml:space="preserve"> _xlfn.SWITCH(AV$5, 1, BG102, -1, BI102, 0)</f>
        <v>0</v>
      </c>
      <c r="AW102" s="12" cm="1">
        <f t="array" ref="AW102" xml:space="preserve"> _xlfn.SWITCH(AW$5, 1, BG102, -1, BI102, 0)</f>
        <v>0</v>
      </c>
      <c r="AX102" s="12" cm="1">
        <f t="array" ref="AX102" xml:space="preserve"> _xlfn.SWITCH(AX$5, 1, BG102, -1, BI102, 0)</f>
        <v>0</v>
      </c>
      <c r="AY102" s="12" cm="1">
        <f t="array" ref="AY102" xml:space="preserve"> _xlfn.SWITCH(AY$5, 1, BG102, -1, BI102, 0)</f>
        <v>0</v>
      </c>
      <c r="AZ102" s="12" cm="1">
        <f t="array" ref="AZ102" xml:space="preserve"> _xlfn.SWITCH(AZ$5, 1, BG102, -1, BI102, 0)</f>
        <v>0</v>
      </c>
      <c r="BA102" s="12" cm="1">
        <f t="array" ref="BA102" xml:space="preserve"> _xlfn.SWITCH(BA$5, 1, BG102, -1, BI102, 0)</f>
        <v>0</v>
      </c>
      <c r="BB102" s="12" cm="1">
        <f t="array" ref="BB102" xml:space="preserve"> _xlfn.SWITCH(BB$5, 1, BG102, -1, BI102, 0)</f>
        <v>0</v>
      </c>
      <c r="BC102" s="12" cm="1">
        <f t="array" ref="BC102" xml:space="preserve"> _xlfn.SWITCH(BC$5, 1, BG102, -1, BI102, 0)</f>
        <v>0</v>
      </c>
      <c r="BD102" s="12" cm="1">
        <f t="array" ref="BD102" xml:space="preserve"> _xlfn.SWITCH(BD$5, 1, BG102, -1, BI102, 0)</f>
        <v>0</v>
      </c>
      <c r="BF102" s="16" t="s">
        <v>1303</v>
      </c>
      <c r="BG102">
        <f>_xlfn.XLOOKUP(BF102,'KPI Impacts'!$B$2:$H$2,'KPI Impacts'!$B102:$H102)</f>
        <v>0</v>
      </c>
      <c r="BH102" s="16" t="s">
        <v>1303</v>
      </c>
      <c r="BI102">
        <f>_xlfn.XLOOKUP(BH102,'KPI Impacts'!$B$2:$H$2,'KPI Impacts'!$B102:$H102)</f>
        <v>0</v>
      </c>
      <c r="BL102" s="12" cm="1">
        <f t="array" ref="BL102" xml:space="preserve"> _xlfn.SWITCH(BL$5, 1, BW102, -1, BY102, 0)</f>
        <v>0</v>
      </c>
      <c r="BM102" s="12" cm="1">
        <f t="array" ref="BM102" xml:space="preserve"> _xlfn.SWITCH(BM$5, 1, BW102, -1, BY102, 0)</f>
        <v>0</v>
      </c>
      <c r="BN102" s="12" cm="1">
        <f t="array" ref="BN102" xml:space="preserve"> _xlfn.SWITCH(BN$5, 1, BW102, -1, BY102, 0)</f>
        <v>0</v>
      </c>
      <c r="BO102" s="12" cm="1">
        <f t="array" ref="BO102" xml:space="preserve"> _xlfn.SWITCH(BO$5, 1, BW102, -1, BY102, 0)</f>
        <v>0</v>
      </c>
      <c r="BP102" s="12" cm="1">
        <f t="array" ref="BP102" xml:space="preserve"> _xlfn.SWITCH(BP$5, 1, BW102, -1, BY102, 0)</f>
        <v>-0.8</v>
      </c>
      <c r="BQ102" s="12" cm="1">
        <f t="array" ref="BQ102" xml:space="preserve"> _xlfn.SWITCH(BQ$5, 1, BW102, -1, BY102, 0)</f>
        <v>-0.8</v>
      </c>
      <c r="BR102" s="12" cm="1">
        <f t="array" ref="BR102" xml:space="preserve"> _xlfn.SWITCH(BR$5, 1, BW102, -1, BY102, 0)</f>
        <v>-0.8</v>
      </c>
      <c r="BS102" s="12" cm="1">
        <f t="array" ref="BS102" xml:space="preserve"> _xlfn.SWITCH(BS$5, 1, BW102, -1, BY102, 0)</f>
        <v>-0.8</v>
      </c>
      <c r="BT102" s="12" cm="1">
        <f t="array" ref="BT102" xml:space="preserve"> _xlfn.SWITCH(BT$5, 1, BW102, -1, BY102, 0)</f>
        <v>-0.8</v>
      </c>
      <c r="BV102" s="30" t="s">
        <v>1307</v>
      </c>
      <c r="BW102">
        <f>_xlfn.XLOOKUP(BV102,'KPI Impacts'!$B$2:$H$2,'KPI Impacts'!$B102:$H102)</f>
        <v>1</v>
      </c>
      <c r="BX102" s="29" t="s">
        <v>1304</v>
      </c>
      <c r="BY102">
        <f>_xlfn.XLOOKUP(BX102,'KPI Impacts'!$B$2:$H$2,'KPI Impacts'!$B102:$H102)</f>
        <v>-0.8</v>
      </c>
      <c r="CB102" s="12" cm="1">
        <f t="array" ref="CB102" xml:space="preserve"> _xlfn.SWITCH(CB$5, 1, CM102, -1, CO102, 0)</f>
        <v>0</v>
      </c>
      <c r="CC102" s="12" cm="1">
        <f t="array" ref="CC102" xml:space="preserve"> _xlfn.SWITCH(CC$5, 1, CM102, -1, CO102, 0)</f>
        <v>0</v>
      </c>
      <c r="CD102" s="12" cm="1">
        <f t="array" ref="CD102" xml:space="preserve"> _xlfn.SWITCH(CD$5, 1, CM102, -1, CO102, 0)</f>
        <v>0</v>
      </c>
      <c r="CE102" s="12" cm="1">
        <f t="array" ref="CE102" xml:space="preserve"> _xlfn.SWITCH(CE$5, 1, CM102, -1, CO102, 0)</f>
        <v>0</v>
      </c>
      <c r="CF102" s="12" cm="1">
        <f t="array" ref="CF102" xml:space="preserve"> _xlfn.SWITCH(CF$5, 1, CM102, -1, CO102, 0)</f>
        <v>0</v>
      </c>
      <c r="CG102" s="12" cm="1">
        <f t="array" ref="CG102" xml:space="preserve"> _xlfn.SWITCH(CG$5, 1, CM102, -1, CO102, 0)</f>
        <v>0</v>
      </c>
      <c r="CH102" s="12" cm="1">
        <f t="array" ref="CH102" xml:space="preserve"> _xlfn.SWITCH(CH$5, 1, CM102, -1, CO102, 0)</f>
        <v>0</v>
      </c>
      <c r="CI102" s="12" cm="1">
        <f t="array" ref="CI102" xml:space="preserve"> _xlfn.SWITCH(CI$5, 1, CM102, -1, CO102, 0)</f>
        <v>0</v>
      </c>
      <c r="CJ102" s="12" cm="1">
        <f t="array" ref="CJ102" xml:space="preserve"> _xlfn.SWITCH(CJ$5, 1, CM102, -1, CO102, 0)</f>
        <v>0</v>
      </c>
      <c r="CL102" s="16" t="s">
        <v>1303</v>
      </c>
      <c r="CM102">
        <f>_xlfn.XLOOKUP(CL102,'KPI Impacts'!$B$2:$H$2,'KPI Impacts'!$B102:$H102)</f>
        <v>0</v>
      </c>
      <c r="CN102" s="16" t="s">
        <v>1303</v>
      </c>
      <c r="CO102">
        <f>_xlfn.XLOOKUP(CN102,'KPI Impacts'!$B$2:$H$2,'KPI Impacts'!$B102:$H102)</f>
        <v>0</v>
      </c>
      <c r="CR102" s="12" cm="1">
        <f t="array" ref="CR102" xml:space="preserve"> _xlfn.SWITCH(CR$5, 1, DC102, -1, DE102, 0)</f>
        <v>0</v>
      </c>
      <c r="CS102" s="12" cm="1">
        <f t="array" ref="CS102" xml:space="preserve"> _xlfn.SWITCH(CS$5, 1, DC102, -1, DE102, 0)</f>
        <v>0</v>
      </c>
      <c r="CT102" s="12" cm="1">
        <f t="array" ref="CT102" xml:space="preserve"> _xlfn.SWITCH(CT$5, 1, DC102, -1, DE102, 0)</f>
        <v>0</v>
      </c>
      <c r="CU102" s="12" cm="1">
        <f t="array" ref="CU102" xml:space="preserve"> _xlfn.SWITCH(CU$5, 1, DC102, -1, DE102, 0)</f>
        <v>0</v>
      </c>
      <c r="CV102" s="12" cm="1">
        <f t="array" ref="CV102" xml:space="preserve"> _xlfn.SWITCH(CV$5, 1, DC102, -1, DE102, 0)</f>
        <v>0</v>
      </c>
      <c r="CW102" s="12" cm="1">
        <f t="array" ref="CW102" xml:space="preserve"> _xlfn.SWITCH(CW$5, 1, DC102, -1, DE102, 0)</f>
        <v>0</v>
      </c>
      <c r="CX102" s="12" cm="1">
        <f t="array" ref="CX102" xml:space="preserve"> _xlfn.SWITCH(CX$5, 1, DC102, -1, DE102, 0)</f>
        <v>0</v>
      </c>
      <c r="CY102" s="12" cm="1">
        <f t="array" ref="CY102" xml:space="preserve"> _xlfn.SWITCH(CY$5, 1, DC102, -1, DE102, 0)</f>
        <v>0</v>
      </c>
      <c r="CZ102" s="12" cm="1">
        <f t="array" ref="CZ102" xml:space="preserve"> _xlfn.SWITCH(CZ$5, 1, DC102, -1, DE102, 0)</f>
        <v>0</v>
      </c>
      <c r="DB102" s="16" t="s">
        <v>1303</v>
      </c>
      <c r="DC102">
        <f>_xlfn.XLOOKUP(DB102,'KPI Impacts'!$B$2:$H$2,'KPI Impacts'!$B102:$H102)</f>
        <v>0</v>
      </c>
      <c r="DD102" s="16" t="s">
        <v>1303</v>
      </c>
      <c r="DE102">
        <f>_xlfn.XLOOKUP(DD102,'KPI Impacts'!$B$2:$H$2,'KPI Impacts'!$B102:$H102)</f>
        <v>0</v>
      </c>
      <c r="DI102" s="12"/>
      <c r="DJ102" s="12"/>
      <c r="DK102" s="12"/>
      <c r="DL102" s="12"/>
      <c r="DM102" s="12"/>
      <c r="DN102" s="12"/>
      <c r="DO102" s="12"/>
      <c r="DP102" s="12"/>
      <c r="DQ102" s="12"/>
    </row>
    <row r="103" spans="1:121" x14ac:dyDescent="0.2">
      <c r="A103" t="s">
        <v>58</v>
      </c>
      <c r="B103" s="12">
        <f>P103+AF103+AV103+BL103+CB103+CR103</f>
        <v>0</v>
      </c>
      <c r="C103" s="12">
        <f t="shared" si="43"/>
        <v>0</v>
      </c>
      <c r="D103" s="12">
        <f t="shared" si="44"/>
        <v>0</v>
      </c>
      <c r="E103" s="12">
        <f t="shared" si="45"/>
        <v>-0.4</v>
      </c>
      <c r="F103" s="12">
        <f t="shared" si="46"/>
        <v>-0.4</v>
      </c>
      <c r="G103" s="12">
        <f>U103+AK103+BA103+BQ103+CG103+CW103</f>
        <v>-0.4</v>
      </c>
      <c r="H103" s="12">
        <f t="shared" si="47"/>
        <v>9.9999999999999978E-2</v>
      </c>
      <c r="I103" s="12">
        <f>W103+AM103+BC103+BS103+CI103+CY103</f>
        <v>9.9999999999999978E-2</v>
      </c>
      <c r="J103" s="12">
        <f t="shared" si="48"/>
        <v>9.9999999999999978E-2</v>
      </c>
      <c r="P103" s="12" cm="1">
        <f t="array" ref="P103" xml:space="preserve"> _xlfn.SWITCH(P$5, 1, AA103, -1, AC103, 0)</f>
        <v>0</v>
      </c>
      <c r="Q103" s="12" cm="1">
        <f t="array" ref="Q103" xml:space="preserve"> _xlfn.SWITCH(Q$5, 1, AA103, -1, AC103, 0)</f>
        <v>0</v>
      </c>
      <c r="R103" s="12" cm="1">
        <f t="array" ref="R103" xml:space="preserve"> _xlfn.SWITCH(R$5, 1, AA103, -1, AC103, 0)</f>
        <v>0</v>
      </c>
      <c r="S103" s="12" cm="1">
        <f t="array" ref="S103" xml:space="preserve"> _xlfn.SWITCH(S$5, 1, AA103, -1, AC103, 0)</f>
        <v>0</v>
      </c>
      <c r="T103" s="12" cm="1">
        <f t="array" ref="T103" xml:space="preserve"> _xlfn.SWITCH(T$5, 1, AA103, -1, AC103, 0)</f>
        <v>0</v>
      </c>
      <c r="U103" s="12" cm="1">
        <f t="array" ref="U103" xml:space="preserve"> _xlfn.SWITCH(U$5, 1, AA103, -1, AC103, 0)</f>
        <v>0</v>
      </c>
      <c r="V103" s="12" cm="1">
        <f t="array" ref="V103" xml:space="preserve"> _xlfn.SWITCH(V$5, 1, AA103, -1, AC103, 0)</f>
        <v>0</v>
      </c>
      <c r="W103" s="12" cm="1">
        <f t="array" ref="W103" xml:space="preserve"> _xlfn.SWITCH(W$5, 1, AA103, -1, AC103, 0)</f>
        <v>0</v>
      </c>
      <c r="X103" s="12" cm="1">
        <f t="array" ref="X103" xml:space="preserve"> _xlfn.SWITCH(X$5, 1, AA103, -1, AC103, 0)</f>
        <v>0</v>
      </c>
      <c r="Z103" s="16" t="s">
        <v>1303</v>
      </c>
      <c r="AA103">
        <f>_xlfn.XLOOKUP(Z103,'KPI Impacts'!$B$2:$H$2,'KPI Impacts'!$B103:$H103)</f>
        <v>0</v>
      </c>
      <c r="AB103" s="16" t="s">
        <v>1303</v>
      </c>
      <c r="AC103">
        <f>_xlfn.XLOOKUP(AB103,'KPI Impacts'!$B$2:$H$2,'KPI Impacts'!$B103:$H103)</f>
        <v>0</v>
      </c>
      <c r="AF103" s="12" cm="1">
        <f t="array" ref="AF103" xml:space="preserve"> _xlfn.SWITCH(AF$5, 1, AQ103, -1, AS103, 0)</f>
        <v>0</v>
      </c>
      <c r="AG103" s="12" cm="1">
        <f t="array" ref="AG103" xml:space="preserve"> _xlfn.SWITCH(AG$5, 1, AQ103, -1, AS103, 0)</f>
        <v>0</v>
      </c>
      <c r="AH103" s="12" cm="1">
        <f t="array" ref="AH103" xml:space="preserve"> _xlfn.SWITCH(AH$5, 1, AQ103, -1, AS103, 0)</f>
        <v>0</v>
      </c>
      <c r="AI103" s="12" cm="1">
        <f t="array" ref="AI103" xml:space="preserve"> _xlfn.SWITCH(AI$5, 1, AQ103, -1, AS103, 0)</f>
        <v>0</v>
      </c>
      <c r="AJ103" s="12" cm="1">
        <f t="array" ref="AJ103" xml:space="preserve"> _xlfn.SWITCH(AJ$5, 1, AQ103, -1, AS103, 0)</f>
        <v>0</v>
      </c>
      <c r="AK103" s="12" cm="1">
        <f t="array" ref="AK103" xml:space="preserve"> _xlfn.SWITCH(AK$5, 1, AQ103, -1, AS103, 0)</f>
        <v>0</v>
      </c>
      <c r="AL103" s="12" cm="1">
        <f t="array" ref="AL103" xml:space="preserve"> _xlfn.SWITCH(AL$5, 1, AQ103, -1, AS103, 0)</f>
        <v>0</v>
      </c>
      <c r="AM103" s="12" cm="1">
        <f t="array" ref="AM103" xml:space="preserve"> _xlfn.SWITCH(AM$5, 1, AQ103, -1, AS103, 0)</f>
        <v>0</v>
      </c>
      <c r="AN103" s="12" cm="1">
        <f t="array" ref="AN103" xml:space="preserve"> _xlfn.SWITCH(AN$5, 1, AQ103, -1, AS103, 0)</f>
        <v>0</v>
      </c>
      <c r="AP103" s="16" t="s">
        <v>1303</v>
      </c>
      <c r="AQ103">
        <f>_xlfn.XLOOKUP(AP103,'KPI Impacts'!$B$2:$H$2,'KPI Impacts'!$B103:$H103)</f>
        <v>0</v>
      </c>
      <c r="AR103" s="16" t="s">
        <v>1303</v>
      </c>
      <c r="AS103">
        <f>_xlfn.XLOOKUP(AR103,'KPI Impacts'!$B$2:$H$2,'KPI Impacts'!$B103:$H103)</f>
        <v>0</v>
      </c>
      <c r="AV103" s="12" cm="1">
        <f t="array" ref="AV103" xml:space="preserve"> _xlfn.SWITCH(AV$5, 1, BG103, -1, BI103, 0)</f>
        <v>0</v>
      </c>
      <c r="AW103" s="12" cm="1">
        <f t="array" ref="AW103" xml:space="preserve"> _xlfn.SWITCH(AW$5, 1, BG103, -1, BI103, 0)</f>
        <v>0</v>
      </c>
      <c r="AX103" s="12" cm="1">
        <f t="array" ref="AX103" xml:space="preserve"> _xlfn.SWITCH(AX$5, 1, BG103, -1, BI103, 0)</f>
        <v>0</v>
      </c>
      <c r="AY103" s="12" cm="1">
        <f t="array" ref="AY103" xml:space="preserve"> _xlfn.SWITCH(AY$5, 1, BG103, -1, BI103, 0)</f>
        <v>-0.4</v>
      </c>
      <c r="AZ103" s="12" cm="1">
        <f t="array" ref="AZ103" xml:space="preserve"> _xlfn.SWITCH(AZ$5, 1, BG103, -1, BI103, 0)</f>
        <v>-0.4</v>
      </c>
      <c r="BA103" s="12" cm="1">
        <f t="array" ref="BA103" xml:space="preserve"> _xlfn.SWITCH(BA$5, 1, BG103, -1, BI103, 0)</f>
        <v>-0.4</v>
      </c>
      <c r="BB103" s="12" cm="1">
        <f t="array" ref="BB103" xml:space="preserve"> _xlfn.SWITCH(BB$5, 1, BG103, -1, BI103, 0)</f>
        <v>-0.4</v>
      </c>
      <c r="BC103" s="12" cm="1">
        <f t="array" ref="BC103" xml:space="preserve"> _xlfn.SWITCH(BC$5, 1, BG103, -1, BI103, 0)</f>
        <v>-0.4</v>
      </c>
      <c r="BD103" s="12" cm="1">
        <f t="array" ref="BD103" xml:space="preserve"> _xlfn.SWITCH(BD$5, 1, BG103, -1, BI103, 0)</f>
        <v>-0.4</v>
      </c>
      <c r="BF103" s="16" t="s">
        <v>1303</v>
      </c>
      <c r="BG103">
        <f>_xlfn.XLOOKUP(BF103,'KPI Impacts'!$B$2:$H$2,'KPI Impacts'!$B103:$H103)</f>
        <v>0</v>
      </c>
      <c r="BH103" s="29" t="s">
        <v>1304</v>
      </c>
      <c r="BI103">
        <f>_xlfn.XLOOKUP(BH103,'KPI Impacts'!$B$2:$H$2,'KPI Impacts'!$B103:$H103)</f>
        <v>-0.4</v>
      </c>
      <c r="BL103" s="12" cm="1">
        <f t="array" ref="BL103" xml:space="preserve"> _xlfn.SWITCH(BL$5, 1, BW103, -1, BY103, 0)</f>
        <v>0</v>
      </c>
      <c r="BM103" s="12" cm="1">
        <f t="array" ref="BM103" xml:space="preserve"> _xlfn.SWITCH(BM$5, 1, BW103, -1, BY103, 0)</f>
        <v>0</v>
      </c>
      <c r="BN103" s="12" cm="1">
        <f t="array" ref="BN103" xml:space="preserve"> _xlfn.SWITCH(BN$5, 1, BW103, -1, BY103, 0)</f>
        <v>0</v>
      </c>
      <c r="BO103" s="12" cm="1">
        <f t="array" ref="BO103" xml:space="preserve"> _xlfn.SWITCH(BO$5, 1, BW103, -1, BY103, 0)</f>
        <v>0</v>
      </c>
      <c r="BP103" s="12" cm="1">
        <f t="array" ref="BP103" xml:space="preserve"> _xlfn.SWITCH(BP$5, 1, BW103, -1, BY103, 0)</f>
        <v>0</v>
      </c>
      <c r="BQ103" s="12" cm="1">
        <f t="array" ref="BQ103" xml:space="preserve"> _xlfn.SWITCH(BQ$5, 1, BW103, -1, BY103, 0)</f>
        <v>0</v>
      </c>
      <c r="BR103" s="12" cm="1">
        <f t="array" ref="BR103" xml:space="preserve"> _xlfn.SWITCH(BR$5, 1, BW103, -1, BY103, 0)</f>
        <v>0</v>
      </c>
      <c r="BS103" s="12" cm="1">
        <f t="array" ref="BS103" xml:space="preserve"> _xlfn.SWITCH(BS$5, 1, BW103, -1, BY103, 0)</f>
        <v>0</v>
      </c>
      <c r="BT103" s="12" cm="1">
        <f t="array" ref="BT103" xml:space="preserve"> _xlfn.SWITCH(BT$5, 1, BW103, -1, BY103, 0)</f>
        <v>0</v>
      </c>
      <c r="BV103" s="30" t="s">
        <v>1307</v>
      </c>
      <c r="BW103">
        <f>_xlfn.XLOOKUP(BV103,'KPI Impacts'!$B$2:$H$2,'KPI Impacts'!$B103:$H103)</f>
        <v>0.5</v>
      </c>
      <c r="BX103" s="16" t="s">
        <v>1303</v>
      </c>
      <c r="BY103">
        <f>_xlfn.XLOOKUP(BX103,'KPI Impacts'!$B$2:$H$2,'KPI Impacts'!$B103:$H103)</f>
        <v>0</v>
      </c>
      <c r="CB103" s="12" cm="1">
        <f t="array" ref="CB103" xml:space="preserve"> _xlfn.SWITCH(CB$5, 1, CM103, -1, CO103, 0)</f>
        <v>0</v>
      </c>
      <c r="CC103" s="12" cm="1">
        <f t="array" ref="CC103" xml:space="preserve"> _xlfn.SWITCH(CC$5, 1, CM103, -1, CO103, 0)</f>
        <v>0</v>
      </c>
      <c r="CD103" s="12" cm="1">
        <f t="array" ref="CD103" xml:space="preserve"> _xlfn.SWITCH(CD$5, 1, CM103, -1, CO103, 0)</f>
        <v>0</v>
      </c>
      <c r="CE103" s="12" cm="1">
        <f t="array" ref="CE103" xml:space="preserve"> _xlfn.SWITCH(CE$5, 1, CM103, -1, CO103, 0)</f>
        <v>0</v>
      </c>
      <c r="CF103" s="12" cm="1">
        <f t="array" ref="CF103" xml:space="preserve"> _xlfn.SWITCH(CF$5, 1, CM103, -1, CO103, 0)</f>
        <v>0</v>
      </c>
      <c r="CG103" s="12" cm="1">
        <f t="array" ref="CG103" xml:space="preserve"> _xlfn.SWITCH(CG$5, 1, CM103, -1, CO103, 0)</f>
        <v>0</v>
      </c>
      <c r="CH103" s="12" cm="1">
        <f t="array" ref="CH103" xml:space="preserve"> _xlfn.SWITCH(CH$5, 1, CM103, -1, CO103, 0)</f>
        <v>0</v>
      </c>
      <c r="CI103" s="12" cm="1">
        <f t="array" ref="CI103" xml:space="preserve"> _xlfn.SWITCH(CI$5, 1, CM103, -1, CO103, 0)</f>
        <v>0</v>
      </c>
      <c r="CJ103" s="12" cm="1">
        <f t="array" ref="CJ103" xml:space="preserve"> _xlfn.SWITCH(CJ$5, 1, CM103, -1, CO103, 0)</f>
        <v>0</v>
      </c>
      <c r="CL103" s="16" t="s">
        <v>1303</v>
      </c>
      <c r="CM103">
        <f>_xlfn.XLOOKUP(CL103,'KPI Impacts'!$B$2:$H$2,'KPI Impacts'!$B103:$H103)</f>
        <v>0</v>
      </c>
      <c r="CN103" s="16" t="s">
        <v>1303</v>
      </c>
      <c r="CO103">
        <f>_xlfn.XLOOKUP(CN103,'KPI Impacts'!$B$2:$H$2,'KPI Impacts'!$B103:$H103)</f>
        <v>0</v>
      </c>
      <c r="CR103" s="12" cm="1">
        <f t="array" ref="CR103" xml:space="preserve"> _xlfn.SWITCH(CR$5, 1, DC103, -1, DE103, 0)</f>
        <v>0</v>
      </c>
      <c r="CS103" s="12" cm="1">
        <f t="array" ref="CS103" xml:space="preserve"> _xlfn.SWITCH(CS$5, 1, DC103, -1, DE103, 0)</f>
        <v>0</v>
      </c>
      <c r="CT103" s="12" cm="1">
        <f t="array" ref="CT103" xml:space="preserve"> _xlfn.SWITCH(CT$5, 1, DC103, -1, DE103, 0)</f>
        <v>0</v>
      </c>
      <c r="CU103" s="12" cm="1">
        <f t="array" ref="CU103" xml:space="preserve"> _xlfn.SWITCH(CU$5, 1, DC103, -1, DE103, 0)</f>
        <v>0</v>
      </c>
      <c r="CV103" s="12" cm="1">
        <f t="array" ref="CV103" xml:space="preserve"> _xlfn.SWITCH(CV$5, 1, DC103, -1, DE103, 0)</f>
        <v>0</v>
      </c>
      <c r="CW103" s="12" cm="1">
        <f t="array" ref="CW103" xml:space="preserve"> _xlfn.SWITCH(CW$5, 1, DC103, -1, DE103, 0)</f>
        <v>0</v>
      </c>
      <c r="CX103" s="12" cm="1">
        <f t="array" ref="CX103" xml:space="preserve"> _xlfn.SWITCH(CX$5, 1, DC103, -1, DE103, 0)</f>
        <v>0.5</v>
      </c>
      <c r="CY103" s="12" cm="1">
        <f t="array" ref="CY103" xml:space="preserve"> _xlfn.SWITCH(CY$5, 1, DC103, -1, DE103, 0)</f>
        <v>0.5</v>
      </c>
      <c r="CZ103" s="12" cm="1">
        <f t="array" ref="CZ103" xml:space="preserve"> _xlfn.SWITCH(CZ$5, 1, DC103, -1, DE103, 0)</f>
        <v>0.5</v>
      </c>
      <c r="DB103" s="29" t="s">
        <v>1306</v>
      </c>
      <c r="DC103">
        <f>_xlfn.XLOOKUP(DB103,'KPI Impacts'!$B$2:$H$2,'KPI Impacts'!$B103:$H103)</f>
        <v>-0.8</v>
      </c>
      <c r="DD103" s="30" t="s">
        <v>1307</v>
      </c>
      <c r="DE103">
        <f>_xlfn.XLOOKUP(DD103,'KPI Impacts'!$B$2:$H$2,'KPI Impacts'!$B103:$H103)</f>
        <v>0.5</v>
      </c>
      <c r="DI103" s="12"/>
      <c r="DJ103" s="12"/>
      <c r="DK103" s="12"/>
      <c r="DL103" s="12"/>
      <c r="DM103" s="12"/>
      <c r="DN103" s="12"/>
      <c r="DO103" s="12"/>
      <c r="DP103" s="12"/>
      <c r="DQ103" s="12"/>
    </row>
    <row r="104" spans="1:121" x14ac:dyDescent="0.2">
      <c r="A104" t="s">
        <v>1295</v>
      </c>
      <c r="B104" s="12">
        <f>P104+AF104+AV104+BL104+CB104+CR104</f>
        <v>0</v>
      </c>
      <c r="C104" s="12">
        <f t="shared" si="43"/>
        <v>0</v>
      </c>
      <c r="D104" s="12">
        <f t="shared" si="44"/>
        <v>0</v>
      </c>
      <c r="E104" s="12">
        <f t="shared" si="45"/>
        <v>0</v>
      </c>
      <c r="F104" s="12">
        <f t="shared" si="46"/>
        <v>0</v>
      </c>
      <c r="G104" s="12">
        <f>U104+AK104+BA104+BQ104+CG104+CW104</f>
        <v>0</v>
      </c>
      <c r="H104" s="12">
        <f t="shared" si="47"/>
        <v>0</v>
      </c>
      <c r="I104" s="12">
        <f>W104+AM104+BC104+BS104+CI104+CY104</f>
        <v>0</v>
      </c>
      <c r="J104" s="12">
        <f t="shared" si="48"/>
        <v>0</v>
      </c>
      <c r="P104" s="12" cm="1">
        <f t="array" ref="P104" xml:space="preserve"> _xlfn.SWITCH(P$5, 1, AA104, -1, AC104, 0)</f>
        <v>0</v>
      </c>
      <c r="Q104" s="12" cm="1">
        <f t="array" ref="Q104" xml:space="preserve"> _xlfn.SWITCH(Q$5, 1, AA104, -1, AC104, 0)</f>
        <v>0</v>
      </c>
      <c r="R104" s="12" cm="1">
        <f t="array" ref="R104" xml:space="preserve"> _xlfn.SWITCH(R$5, 1, AA104, -1, AC104, 0)</f>
        <v>0</v>
      </c>
      <c r="S104" s="12" cm="1">
        <f t="array" ref="S104" xml:space="preserve"> _xlfn.SWITCH(S$5, 1, AA104, -1, AC104, 0)</f>
        <v>0</v>
      </c>
      <c r="T104" s="12" cm="1">
        <f t="array" ref="T104" xml:space="preserve"> _xlfn.SWITCH(T$5, 1, AA104, -1, AC104, 0)</f>
        <v>0</v>
      </c>
      <c r="U104" s="12" cm="1">
        <f t="array" ref="U104" xml:space="preserve"> _xlfn.SWITCH(U$5, 1, AA104, -1, AC104, 0)</f>
        <v>0</v>
      </c>
      <c r="V104" s="12" cm="1">
        <f t="array" ref="V104" xml:space="preserve"> _xlfn.SWITCH(V$5, 1, AA104, -1, AC104, 0)</f>
        <v>0</v>
      </c>
      <c r="W104" s="12" cm="1">
        <f t="array" ref="W104" xml:space="preserve"> _xlfn.SWITCH(W$5, 1, AA104, -1, AC104, 0)</f>
        <v>0</v>
      </c>
      <c r="X104" s="12" cm="1">
        <f t="array" ref="X104" xml:space="preserve"> _xlfn.SWITCH(X$5, 1, AA104, -1, AC104, 0)</f>
        <v>0</v>
      </c>
      <c r="Z104" s="16" t="s">
        <v>1303</v>
      </c>
      <c r="AA104">
        <f>_xlfn.XLOOKUP(Z104,'KPI Impacts'!$B$2:$H$2,'KPI Impacts'!$B104:$H104)</f>
        <v>0</v>
      </c>
      <c r="AB104" s="16" t="s">
        <v>1303</v>
      </c>
      <c r="AC104">
        <f>_xlfn.XLOOKUP(AB104,'KPI Impacts'!$B$2:$H$2,'KPI Impacts'!$B104:$H104)</f>
        <v>0</v>
      </c>
      <c r="AF104" s="12" cm="1">
        <f t="array" ref="AF104" xml:space="preserve"> _xlfn.SWITCH(AF$5, 1, AQ104, -1, AS104, 0)</f>
        <v>0</v>
      </c>
      <c r="AG104" s="12" cm="1">
        <f t="array" ref="AG104" xml:space="preserve"> _xlfn.SWITCH(AG$5, 1, AQ104, -1, AS104, 0)</f>
        <v>0</v>
      </c>
      <c r="AH104" s="12" cm="1">
        <f t="array" ref="AH104" xml:space="preserve"> _xlfn.SWITCH(AH$5, 1, AQ104, -1, AS104, 0)</f>
        <v>0</v>
      </c>
      <c r="AI104" s="12" cm="1">
        <f t="array" ref="AI104" xml:space="preserve"> _xlfn.SWITCH(AI$5, 1, AQ104, -1, AS104, 0)</f>
        <v>0</v>
      </c>
      <c r="AJ104" s="12" cm="1">
        <f t="array" ref="AJ104" xml:space="preserve"> _xlfn.SWITCH(AJ$5, 1, AQ104, -1, AS104, 0)</f>
        <v>0</v>
      </c>
      <c r="AK104" s="12" cm="1">
        <f t="array" ref="AK104" xml:space="preserve"> _xlfn.SWITCH(AK$5, 1, AQ104, -1, AS104, 0)</f>
        <v>0</v>
      </c>
      <c r="AL104" s="12" cm="1">
        <f t="array" ref="AL104" xml:space="preserve"> _xlfn.SWITCH(AL$5, 1, AQ104, -1, AS104, 0)</f>
        <v>0</v>
      </c>
      <c r="AM104" s="12" cm="1">
        <f t="array" ref="AM104" xml:space="preserve"> _xlfn.SWITCH(AM$5, 1, AQ104, -1, AS104, 0)</f>
        <v>0</v>
      </c>
      <c r="AN104" s="12" cm="1">
        <f t="array" ref="AN104" xml:space="preserve"> _xlfn.SWITCH(AN$5, 1, AQ104, -1, AS104, 0)</f>
        <v>0</v>
      </c>
      <c r="AP104" s="16" t="s">
        <v>1303</v>
      </c>
      <c r="AQ104">
        <f>_xlfn.XLOOKUP(AP104,'KPI Impacts'!$B$2:$H$2,'KPI Impacts'!$B104:$H104)</f>
        <v>0</v>
      </c>
      <c r="AR104" s="16" t="s">
        <v>1303</v>
      </c>
      <c r="AS104">
        <f>_xlfn.XLOOKUP(AR104,'KPI Impacts'!$B$2:$H$2,'KPI Impacts'!$B104:$H104)</f>
        <v>0</v>
      </c>
      <c r="AV104" s="12" cm="1">
        <f t="array" ref="AV104" xml:space="preserve"> _xlfn.SWITCH(AV$5, 1, BG104, -1, BI104, 0)</f>
        <v>0</v>
      </c>
      <c r="AW104" s="12" cm="1">
        <f t="array" ref="AW104" xml:space="preserve"> _xlfn.SWITCH(AW$5, 1, BG104, -1, BI104, 0)</f>
        <v>0</v>
      </c>
      <c r="AX104" s="12" cm="1">
        <f t="array" ref="AX104" xml:space="preserve"> _xlfn.SWITCH(AX$5, 1, BG104, -1, BI104, 0)</f>
        <v>0</v>
      </c>
      <c r="AY104" s="12" cm="1">
        <f t="array" ref="AY104" xml:space="preserve"> _xlfn.SWITCH(AY$5, 1, BG104, -1, BI104, 0)</f>
        <v>0</v>
      </c>
      <c r="AZ104" s="12" cm="1">
        <f t="array" ref="AZ104" xml:space="preserve"> _xlfn.SWITCH(AZ$5, 1, BG104, -1, BI104, 0)</f>
        <v>0</v>
      </c>
      <c r="BA104" s="12" cm="1">
        <f t="array" ref="BA104" xml:space="preserve"> _xlfn.SWITCH(BA$5, 1, BG104, -1, BI104, 0)</f>
        <v>0</v>
      </c>
      <c r="BB104" s="12" cm="1">
        <f t="array" ref="BB104" xml:space="preserve"> _xlfn.SWITCH(BB$5, 1, BG104, -1, BI104, 0)</f>
        <v>0</v>
      </c>
      <c r="BC104" s="12" cm="1">
        <f t="array" ref="BC104" xml:space="preserve"> _xlfn.SWITCH(BC$5, 1, BG104, -1, BI104, 0)</f>
        <v>0</v>
      </c>
      <c r="BD104" s="12" cm="1">
        <f t="array" ref="BD104" xml:space="preserve"> _xlfn.SWITCH(BD$5, 1, BG104, -1, BI104, 0)</f>
        <v>0</v>
      </c>
      <c r="BF104" s="16" t="s">
        <v>1303</v>
      </c>
      <c r="BG104">
        <f>_xlfn.XLOOKUP(BF104,'KPI Impacts'!$B$2:$H$2,'KPI Impacts'!$B104:$H104)</f>
        <v>0</v>
      </c>
      <c r="BH104" s="16" t="s">
        <v>1303</v>
      </c>
      <c r="BI104">
        <f>_xlfn.XLOOKUP(BH104,'KPI Impacts'!$B$2:$H$2,'KPI Impacts'!$B104:$H104)</f>
        <v>0</v>
      </c>
      <c r="BL104" s="12" cm="1">
        <f t="array" ref="BL104" xml:space="preserve"> _xlfn.SWITCH(BL$5, 1, BW104, -1, BY104, 0)</f>
        <v>0</v>
      </c>
      <c r="BM104" s="12" cm="1">
        <f t="array" ref="BM104" xml:space="preserve"> _xlfn.SWITCH(BM$5, 1, BW104, -1, BY104, 0)</f>
        <v>0</v>
      </c>
      <c r="BN104" s="12" cm="1">
        <f t="array" ref="BN104" xml:space="preserve"> _xlfn.SWITCH(BN$5, 1, BW104, -1, BY104, 0)</f>
        <v>0</v>
      </c>
      <c r="BO104" s="12" cm="1">
        <f t="array" ref="BO104" xml:space="preserve"> _xlfn.SWITCH(BO$5, 1, BW104, -1, BY104, 0)</f>
        <v>0</v>
      </c>
      <c r="BP104" s="12" cm="1">
        <f t="array" ref="BP104" xml:space="preserve"> _xlfn.SWITCH(BP$5, 1, BW104, -1, BY104, 0)</f>
        <v>0</v>
      </c>
      <c r="BQ104" s="12" cm="1">
        <f t="array" ref="BQ104" xml:space="preserve"> _xlfn.SWITCH(BQ$5, 1, BW104, -1, BY104, 0)</f>
        <v>0</v>
      </c>
      <c r="BR104" s="12" cm="1">
        <f t="array" ref="BR104" xml:space="preserve"> _xlfn.SWITCH(BR$5, 1, BW104, -1, BY104, 0)</f>
        <v>0</v>
      </c>
      <c r="BS104" s="12" cm="1">
        <f t="array" ref="BS104" xml:space="preserve"> _xlfn.SWITCH(BS$5, 1, BW104, -1, BY104, 0)</f>
        <v>0</v>
      </c>
      <c r="BT104" s="12" cm="1">
        <f t="array" ref="BT104" xml:space="preserve"> _xlfn.SWITCH(BT$5, 1, BW104, -1, BY104, 0)</f>
        <v>0</v>
      </c>
      <c r="BV104" s="16" t="s">
        <v>1303</v>
      </c>
      <c r="BW104">
        <f>_xlfn.XLOOKUP(BV104,'KPI Impacts'!$B$2:$H$2,'KPI Impacts'!$B104:$H104)</f>
        <v>0</v>
      </c>
      <c r="BX104" s="16" t="s">
        <v>1303</v>
      </c>
      <c r="BY104">
        <f>_xlfn.XLOOKUP(BX104,'KPI Impacts'!$B$2:$H$2,'KPI Impacts'!$B104:$H104)</f>
        <v>0</v>
      </c>
      <c r="CB104" s="12" cm="1">
        <f t="array" ref="CB104" xml:space="preserve"> _xlfn.SWITCH(CB$5, 1, CM104, -1, CO104, 0)</f>
        <v>0</v>
      </c>
      <c r="CC104" s="12" cm="1">
        <f t="array" ref="CC104" xml:space="preserve"> _xlfn.SWITCH(CC$5, 1, CM104, -1, CO104, 0)</f>
        <v>0</v>
      </c>
      <c r="CD104" s="12" cm="1">
        <f t="array" ref="CD104" xml:space="preserve"> _xlfn.SWITCH(CD$5, 1, CM104, -1, CO104, 0)</f>
        <v>0</v>
      </c>
      <c r="CE104" s="12" cm="1">
        <f t="array" ref="CE104" xml:space="preserve"> _xlfn.SWITCH(CE$5, 1, CM104, -1, CO104, 0)</f>
        <v>0</v>
      </c>
      <c r="CF104" s="12" cm="1">
        <f t="array" ref="CF104" xml:space="preserve"> _xlfn.SWITCH(CF$5, 1, CM104, -1, CO104, 0)</f>
        <v>0</v>
      </c>
      <c r="CG104" s="12" cm="1">
        <f t="array" ref="CG104" xml:space="preserve"> _xlfn.SWITCH(CG$5, 1, CM104, -1, CO104, 0)</f>
        <v>0</v>
      </c>
      <c r="CH104" s="12" cm="1">
        <f t="array" ref="CH104" xml:space="preserve"> _xlfn.SWITCH(CH$5, 1, CM104, -1, CO104, 0)</f>
        <v>0</v>
      </c>
      <c r="CI104" s="12" cm="1">
        <f t="array" ref="CI104" xml:space="preserve"> _xlfn.SWITCH(CI$5, 1, CM104, -1, CO104, 0)</f>
        <v>0</v>
      </c>
      <c r="CJ104" s="12" cm="1">
        <f t="array" ref="CJ104" xml:space="preserve"> _xlfn.SWITCH(CJ$5, 1, CM104, -1, CO104, 0)</f>
        <v>0</v>
      </c>
      <c r="CL104" s="16" t="s">
        <v>1303</v>
      </c>
      <c r="CM104">
        <f>_xlfn.XLOOKUP(CL104,'KPI Impacts'!$B$2:$H$2,'KPI Impacts'!$B104:$H104)</f>
        <v>0</v>
      </c>
      <c r="CN104" s="16" t="s">
        <v>1303</v>
      </c>
      <c r="CO104">
        <f>_xlfn.XLOOKUP(CN104,'KPI Impacts'!$B$2:$H$2,'KPI Impacts'!$B104:$H104)</f>
        <v>0</v>
      </c>
      <c r="CR104" s="12" cm="1">
        <f t="array" ref="CR104" xml:space="preserve"> _xlfn.SWITCH(CR$5, 1, DC104, -1, DE104, 0)</f>
        <v>0</v>
      </c>
      <c r="CS104" s="12" cm="1">
        <f t="array" ref="CS104" xml:space="preserve"> _xlfn.SWITCH(CS$5, 1, DC104, -1, DE104, 0)</f>
        <v>0</v>
      </c>
      <c r="CT104" s="12" cm="1">
        <f t="array" ref="CT104" xml:space="preserve"> _xlfn.SWITCH(CT$5, 1, DC104, -1, DE104, 0)</f>
        <v>0</v>
      </c>
      <c r="CU104" s="12" cm="1">
        <f t="array" ref="CU104" xml:space="preserve"> _xlfn.SWITCH(CU$5, 1, DC104, -1, DE104, 0)</f>
        <v>0</v>
      </c>
      <c r="CV104" s="12" cm="1">
        <f t="array" ref="CV104" xml:space="preserve"> _xlfn.SWITCH(CV$5, 1, DC104, -1, DE104, 0)</f>
        <v>0</v>
      </c>
      <c r="CW104" s="12" cm="1">
        <f t="array" ref="CW104" xml:space="preserve"> _xlfn.SWITCH(CW$5, 1, DC104, -1, DE104, 0)</f>
        <v>0</v>
      </c>
      <c r="CX104" s="12" cm="1">
        <f t="array" ref="CX104" xml:space="preserve"> _xlfn.SWITCH(CX$5, 1, DC104, -1, DE104, 0)</f>
        <v>0</v>
      </c>
      <c r="CY104" s="12" cm="1">
        <f t="array" ref="CY104" xml:space="preserve"> _xlfn.SWITCH(CY$5, 1, DC104, -1, DE104, 0)</f>
        <v>0</v>
      </c>
      <c r="CZ104" s="12" cm="1">
        <f t="array" ref="CZ104" xml:space="preserve"> _xlfn.SWITCH(CZ$5, 1, DC104, -1, DE104, 0)</f>
        <v>0</v>
      </c>
      <c r="DB104" s="16" t="s">
        <v>1303</v>
      </c>
      <c r="DC104">
        <f>_xlfn.XLOOKUP(DB104,'KPI Impacts'!$B$2:$H$2,'KPI Impacts'!$B104:$H104)</f>
        <v>0</v>
      </c>
      <c r="DD104" s="16" t="s">
        <v>1303</v>
      </c>
      <c r="DE104">
        <f>_xlfn.XLOOKUP(DD104,'KPI Impacts'!$B$2:$H$2,'KPI Impacts'!$B104:$H104)</f>
        <v>0</v>
      </c>
      <c r="DI104" s="12"/>
      <c r="DJ104" s="12"/>
      <c r="DK104" s="12"/>
      <c r="DL104" s="12"/>
      <c r="DM104" s="12"/>
      <c r="DN104" s="12"/>
      <c r="DO104" s="12"/>
      <c r="DP104" s="12"/>
      <c r="DQ104" s="12"/>
    </row>
    <row r="105" spans="1:121" x14ac:dyDescent="0.2">
      <c r="CL105" s="16"/>
      <c r="DB105" s="40"/>
      <c r="DL105" s="12"/>
      <c r="DM105" s="12"/>
    </row>
    <row r="106" spans="1:121" x14ac:dyDescent="0.2">
      <c r="CL106" s="16"/>
      <c r="DB106" s="16"/>
      <c r="DL106" s="12"/>
      <c r="DM106" s="12"/>
    </row>
    <row r="107" spans="1:121" x14ac:dyDescent="0.2">
      <c r="CL107" s="16"/>
      <c r="DB107" s="16"/>
      <c r="DL107" s="12"/>
      <c r="DM107" s="12"/>
    </row>
    <row r="108" spans="1:121" x14ac:dyDescent="0.2">
      <c r="A108" s="5"/>
      <c r="CL108" s="16"/>
      <c r="DB108" s="16"/>
      <c r="DL108" s="12"/>
      <c r="DM108" s="12"/>
    </row>
    <row r="109" spans="1:121" x14ac:dyDescent="0.2">
      <c r="CL109" s="16"/>
      <c r="DB109" s="29"/>
      <c r="DL109" s="12"/>
      <c r="DM109" s="12"/>
    </row>
    <row r="110" spans="1:121" x14ac:dyDescent="0.2">
      <c r="CL110" s="16"/>
      <c r="DB110" s="16"/>
      <c r="DL110" s="12"/>
      <c r="DM110" s="12"/>
    </row>
    <row r="111" spans="1:121" x14ac:dyDescent="0.2">
      <c r="CL111" s="16"/>
      <c r="DB111" s="29"/>
      <c r="DL111" s="12"/>
      <c r="DM111" s="12"/>
    </row>
    <row r="112" spans="1:121" x14ac:dyDescent="0.2">
      <c r="CL112" s="16"/>
      <c r="DB112" s="16"/>
      <c r="DL112" s="12"/>
      <c r="DM112" s="12"/>
    </row>
    <row r="113" spans="90:117" x14ac:dyDescent="0.2">
      <c r="CL113" s="16"/>
      <c r="DB113" s="16"/>
      <c r="DL113" s="12"/>
      <c r="DM113" s="12"/>
    </row>
    <row r="114" spans="90:117" x14ac:dyDescent="0.2">
      <c r="CL114" s="16"/>
      <c r="DB114" s="16"/>
      <c r="DL114" s="12"/>
      <c r="DM114" s="12"/>
    </row>
    <row r="115" spans="90:117" x14ac:dyDescent="0.2">
      <c r="CL115" s="16"/>
      <c r="DB115" s="30"/>
      <c r="DL115" s="12"/>
      <c r="DM115" s="12"/>
    </row>
    <row r="116" spans="90:117" x14ac:dyDescent="0.2">
      <c r="CL116" s="29"/>
      <c r="DB116" s="16"/>
      <c r="DL116" s="12"/>
      <c r="DM116" s="12"/>
    </row>
    <row r="117" spans="90:117" x14ac:dyDescent="0.2">
      <c r="CL117" s="16"/>
      <c r="DB117" s="16"/>
      <c r="DL117" s="12"/>
      <c r="DM117" s="12"/>
    </row>
    <row r="118" spans="90:117" x14ac:dyDescent="0.2">
      <c r="CL118" s="16"/>
      <c r="DB118" s="16"/>
      <c r="DL118" s="12"/>
      <c r="DM118" s="12"/>
    </row>
    <row r="119" spans="90:117" x14ac:dyDescent="0.2">
      <c r="CL119" s="16"/>
      <c r="DB119" s="16"/>
      <c r="DL119" s="12"/>
      <c r="DM119" s="12"/>
    </row>
    <row r="120" spans="90:117" x14ac:dyDescent="0.2">
      <c r="CL120" s="16"/>
      <c r="DB120" s="16"/>
      <c r="DL120" s="12"/>
      <c r="DM120" s="12"/>
    </row>
    <row r="121" spans="90:117" x14ac:dyDescent="0.2">
      <c r="CL121" s="16"/>
      <c r="DB121" s="16"/>
      <c r="DL121" s="12"/>
      <c r="DM121" s="12"/>
    </row>
    <row r="122" spans="90:117" x14ac:dyDescent="0.2">
      <c r="CL122" s="16"/>
      <c r="DB122" s="16"/>
      <c r="DL122" s="12"/>
      <c r="DM122" s="12"/>
    </row>
    <row r="123" spans="90:117" x14ac:dyDescent="0.2">
      <c r="CL123" s="16"/>
      <c r="DB123" s="16"/>
      <c r="DL123" s="12"/>
      <c r="DM123" s="12"/>
    </row>
    <row r="124" spans="90:117" x14ac:dyDescent="0.2">
      <c r="CL124" s="16"/>
      <c r="DB124" s="16"/>
      <c r="DL124" s="12"/>
      <c r="DM124" s="12"/>
    </row>
    <row r="125" spans="90:117" x14ac:dyDescent="0.2">
      <c r="CL125" s="16"/>
      <c r="DB125" s="16"/>
      <c r="DL125" s="12"/>
      <c r="DM125" s="12"/>
    </row>
    <row r="126" spans="90:117" x14ac:dyDescent="0.2">
      <c r="CL126" s="16" t="s">
        <v>1303</v>
      </c>
      <c r="DB126" s="16"/>
      <c r="DL126" s="12"/>
      <c r="DM126" s="12"/>
    </row>
    <row r="127" spans="90:117" x14ac:dyDescent="0.2">
      <c r="CL127" s="16" t="s">
        <v>1303</v>
      </c>
      <c r="DB127" s="16"/>
      <c r="DL127" s="12"/>
      <c r="DM127" s="12"/>
    </row>
    <row r="128" spans="90:117" x14ac:dyDescent="0.2">
      <c r="CL128" s="16" t="s">
        <v>1303</v>
      </c>
      <c r="DB128" s="16"/>
      <c r="DL128" s="12"/>
      <c r="DM128" s="12"/>
    </row>
    <row r="129" spans="90:117" x14ac:dyDescent="0.2">
      <c r="CL129" s="16"/>
      <c r="DB129" s="16"/>
      <c r="DL129" s="12"/>
      <c r="DM129" s="12"/>
    </row>
    <row r="130" spans="90:117" x14ac:dyDescent="0.2">
      <c r="CL130" s="16" t="s">
        <v>1303</v>
      </c>
      <c r="DB130" s="16"/>
      <c r="DL130" s="12"/>
      <c r="DM130" s="12"/>
    </row>
    <row r="131" spans="90:117" x14ac:dyDescent="0.2">
      <c r="CL131" s="16"/>
      <c r="DB131" s="16"/>
      <c r="DL131" s="12"/>
      <c r="DM131" s="12"/>
    </row>
    <row r="132" spans="90:117" x14ac:dyDescent="0.2">
      <c r="CL132" s="16"/>
      <c r="DB132" s="16"/>
      <c r="DL132" s="12"/>
      <c r="DM132" s="12"/>
    </row>
    <row r="133" spans="90:117" x14ac:dyDescent="0.2">
      <c r="CL133" s="16"/>
      <c r="DB133" s="16"/>
      <c r="DL133" s="12"/>
      <c r="DM133" s="12"/>
    </row>
    <row r="134" spans="90:117" x14ac:dyDescent="0.2">
      <c r="CL134" s="16"/>
      <c r="DB134" s="16"/>
      <c r="DL134" s="12"/>
      <c r="DM134" s="12"/>
    </row>
    <row r="135" spans="90:117" x14ac:dyDescent="0.2">
      <c r="CL135" s="16" t="s">
        <v>1303</v>
      </c>
      <c r="DB135" s="16"/>
      <c r="DL135" s="12"/>
      <c r="DM135" s="12"/>
    </row>
    <row r="136" spans="90:117" x14ac:dyDescent="0.2">
      <c r="CL136" s="16" t="s">
        <v>1303</v>
      </c>
      <c r="DB136" s="16"/>
      <c r="DL136" s="12"/>
      <c r="DM136" s="12"/>
    </row>
    <row r="137" spans="90:117" x14ac:dyDescent="0.2">
      <c r="CL137" s="16" t="s">
        <v>1303</v>
      </c>
      <c r="DB137" s="16"/>
      <c r="DL137" s="12"/>
      <c r="DM137" s="12"/>
    </row>
    <row r="138" spans="90:117" x14ac:dyDescent="0.2">
      <c r="CL138" s="16" t="s">
        <v>1303</v>
      </c>
      <c r="DB138" s="16"/>
      <c r="DL138" s="12"/>
      <c r="DM138" s="12"/>
    </row>
    <row r="139" spans="90:117" x14ac:dyDescent="0.2">
      <c r="CL139" s="16"/>
      <c r="DB139" s="16"/>
      <c r="DL139" s="12"/>
      <c r="DM139" s="12"/>
    </row>
    <row r="140" spans="90:117" x14ac:dyDescent="0.2">
      <c r="CL140" s="16"/>
      <c r="DB140" s="16"/>
      <c r="DL140" s="12"/>
      <c r="DM140" s="12"/>
    </row>
    <row r="141" spans="90:117" x14ac:dyDescent="0.2">
      <c r="CL141" s="16"/>
      <c r="DB141" s="16"/>
      <c r="DL141" s="12"/>
      <c r="DM141" s="12"/>
    </row>
    <row r="142" spans="90:117" x14ac:dyDescent="0.2">
      <c r="CL142" s="16"/>
      <c r="DB142" s="16"/>
      <c r="DL142" s="12"/>
      <c r="DM142" s="12"/>
    </row>
    <row r="143" spans="90:117" x14ac:dyDescent="0.2">
      <c r="CL143" s="16"/>
      <c r="DB143" s="16"/>
      <c r="DL143" s="12"/>
      <c r="DM143" s="12"/>
    </row>
    <row r="144" spans="90:117" x14ac:dyDescent="0.2">
      <c r="CL144" s="16" t="s">
        <v>1303</v>
      </c>
      <c r="DB144" s="16"/>
      <c r="DL144" s="12"/>
      <c r="DM144" s="12"/>
    </row>
    <row r="145" spans="90:117" x14ac:dyDescent="0.2">
      <c r="CL145" s="16" t="s">
        <v>1303</v>
      </c>
      <c r="DB145" s="30"/>
      <c r="DL145" s="12"/>
      <c r="DM145" s="12"/>
    </row>
    <row r="146" spans="90:117" x14ac:dyDescent="0.2">
      <c r="CL146" s="16" t="s">
        <v>1303</v>
      </c>
      <c r="DB146" s="16"/>
      <c r="DL146" s="12"/>
      <c r="DM146" s="12"/>
    </row>
    <row r="147" spans="90:117" x14ac:dyDescent="0.2">
      <c r="DL147" s="12"/>
      <c r="DM147" s="12"/>
    </row>
    <row r="148" spans="90:117" x14ac:dyDescent="0.2">
      <c r="DL148" s="12"/>
      <c r="DM148" s="12"/>
    </row>
    <row r="149" spans="90:117" x14ac:dyDescent="0.2">
      <c r="DL149" s="12"/>
      <c r="DM149" s="12"/>
    </row>
    <row r="150" spans="90:117" x14ac:dyDescent="0.2">
      <c r="DL150" s="12"/>
      <c r="DM150" s="12"/>
    </row>
    <row r="151" spans="90:117" x14ac:dyDescent="0.2">
      <c r="DL151" s="12"/>
      <c r="DM151" s="12"/>
    </row>
    <row r="152" spans="90:117" x14ac:dyDescent="0.2">
      <c r="DL152" s="12"/>
      <c r="DM152" s="12"/>
    </row>
    <row r="153" spans="90:117" x14ac:dyDescent="0.2">
      <c r="DL153" s="12"/>
      <c r="DM153" s="12"/>
    </row>
    <row r="154" spans="90:117" x14ac:dyDescent="0.2">
      <c r="DL154" s="12"/>
      <c r="DM154" s="12"/>
    </row>
    <row r="155" spans="90:117" x14ac:dyDescent="0.2">
      <c r="DL155" s="12"/>
      <c r="DM155" s="12"/>
    </row>
    <row r="156" spans="90:117" x14ac:dyDescent="0.2">
      <c r="DL156" s="12"/>
      <c r="DM156" s="12"/>
    </row>
    <row r="157" spans="90:117" x14ac:dyDescent="0.2">
      <c r="DL157" s="12"/>
      <c r="DM157" s="12"/>
    </row>
    <row r="158" spans="90:117" x14ac:dyDescent="0.2">
      <c r="DL158" s="12"/>
      <c r="DM158" s="12"/>
    </row>
    <row r="159" spans="90:117" x14ac:dyDescent="0.2">
      <c r="DL159" s="12"/>
      <c r="DM159" s="12"/>
    </row>
    <row r="160" spans="90:117" x14ac:dyDescent="0.2">
      <c r="DL160" s="12"/>
      <c r="DM160" s="12"/>
    </row>
    <row r="161" spans="116:117" x14ac:dyDescent="0.2">
      <c r="DL161" s="12"/>
      <c r="DM161" s="12"/>
    </row>
    <row r="162" spans="116:117" x14ac:dyDescent="0.2">
      <c r="DL162" s="12"/>
      <c r="DM162" s="12"/>
    </row>
    <row r="163" spans="116:117" x14ac:dyDescent="0.2">
      <c r="DL163" s="12"/>
      <c r="DM163" s="12"/>
    </row>
    <row r="164" spans="116:117" x14ac:dyDescent="0.2">
      <c r="DL164" s="12"/>
      <c r="DM164" s="12"/>
    </row>
    <row r="165" spans="116:117" x14ac:dyDescent="0.2">
      <c r="DL165" s="12"/>
      <c r="DM165" s="12"/>
    </row>
    <row r="166" spans="116:117" x14ac:dyDescent="0.2">
      <c r="DL166" s="12"/>
      <c r="DM166" s="12"/>
    </row>
    <row r="167" spans="116:117" x14ac:dyDescent="0.2">
      <c r="DL167" s="12"/>
      <c r="DM167" s="12"/>
    </row>
    <row r="168" spans="116:117" x14ac:dyDescent="0.2">
      <c r="DL168" s="12"/>
      <c r="DM168" s="12"/>
    </row>
    <row r="169" spans="116:117" x14ac:dyDescent="0.2">
      <c r="DL169" s="12"/>
      <c r="DM169" s="12"/>
    </row>
    <row r="170" spans="116:117" x14ac:dyDescent="0.2">
      <c r="DL170" s="12"/>
      <c r="DM170" s="12"/>
    </row>
    <row r="171" spans="116:117" x14ac:dyDescent="0.2">
      <c r="DL171" s="12"/>
      <c r="DM171" s="12"/>
    </row>
    <row r="172" spans="116:117" x14ac:dyDescent="0.2">
      <c r="DL172" s="12"/>
      <c r="DM172" s="12"/>
    </row>
    <row r="173" spans="116:117" x14ac:dyDescent="0.2">
      <c r="DL173" s="12"/>
      <c r="DM173" s="12"/>
    </row>
    <row r="174" spans="116:117" x14ac:dyDescent="0.2">
      <c r="DL174" s="12"/>
      <c r="DM174" s="12"/>
    </row>
    <row r="175" spans="116:117" x14ac:dyDescent="0.2">
      <c r="DL175" s="12"/>
      <c r="DM175" s="12"/>
    </row>
    <row r="176" spans="116:117" x14ac:dyDescent="0.2">
      <c r="DL176" s="12"/>
      <c r="DM176" s="12"/>
    </row>
    <row r="177" spans="116:117" x14ac:dyDescent="0.2">
      <c r="DL177" s="12"/>
      <c r="DM177" s="12"/>
    </row>
    <row r="178" spans="116:117" x14ac:dyDescent="0.2">
      <c r="DL178" s="12"/>
      <c r="DM178" s="12"/>
    </row>
    <row r="179" spans="116:117" x14ac:dyDescent="0.2">
      <c r="DL179" s="12"/>
      <c r="DM179" s="12"/>
    </row>
    <row r="180" spans="116:117" x14ac:dyDescent="0.2">
      <c r="DL180" s="12"/>
      <c r="DM180" s="12"/>
    </row>
    <row r="181" spans="116:117" x14ac:dyDescent="0.2">
      <c r="DL181" s="12"/>
      <c r="DM181" s="12"/>
    </row>
    <row r="182" spans="116:117" x14ac:dyDescent="0.2">
      <c r="DL182" s="12"/>
      <c r="DM182" s="12"/>
    </row>
    <row r="183" spans="116:117" x14ac:dyDescent="0.2">
      <c r="DL183" s="12"/>
      <c r="DM183" s="12"/>
    </row>
    <row r="184" spans="116:117" x14ac:dyDescent="0.2">
      <c r="DL184" s="12"/>
      <c r="DM184" s="12"/>
    </row>
    <row r="185" spans="116:117" x14ac:dyDescent="0.2">
      <c r="DL185" s="12"/>
      <c r="DM185" s="12"/>
    </row>
    <row r="186" spans="116:117" x14ac:dyDescent="0.2">
      <c r="DL186" s="12"/>
      <c r="DM186" s="12"/>
    </row>
    <row r="187" spans="116:117" x14ac:dyDescent="0.2">
      <c r="DL187" s="12"/>
      <c r="DM187" s="12"/>
    </row>
    <row r="188" spans="116:117" x14ac:dyDescent="0.2">
      <c r="DL188" s="12"/>
      <c r="DM188" s="12"/>
    </row>
    <row r="189" spans="116:117" x14ac:dyDescent="0.2">
      <c r="DL189" s="12"/>
      <c r="DM189" s="12"/>
    </row>
    <row r="190" spans="116:117" x14ac:dyDescent="0.2">
      <c r="DL190" s="12"/>
      <c r="DM190" s="12"/>
    </row>
    <row r="191" spans="116:117" x14ac:dyDescent="0.2">
      <c r="DL191" s="12"/>
      <c r="DM191" s="12"/>
    </row>
    <row r="192" spans="116:117" x14ac:dyDescent="0.2">
      <c r="DL192" s="12"/>
      <c r="DM192" s="12"/>
    </row>
    <row r="193" spans="116:117" x14ac:dyDescent="0.2">
      <c r="DL193" s="12"/>
      <c r="DM193" s="12"/>
    </row>
    <row r="194" spans="116:117" x14ac:dyDescent="0.2">
      <c r="DL194" s="12"/>
      <c r="DM194" s="12"/>
    </row>
    <row r="195" spans="116:117" x14ac:dyDescent="0.2">
      <c r="DL195" s="12"/>
      <c r="DM195" s="12"/>
    </row>
    <row r="196" spans="116:117" x14ac:dyDescent="0.2">
      <c r="DL196" s="12"/>
      <c r="DM196" s="12"/>
    </row>
    <row r="197" spans="116:117" x14ac:dyDescent="0.2">
      <c r="DL197" s="12"/>
      <c r="DM197" s="12"/>
    </row>
    <row r="198" spans="116:117" x14ac:dyDescent="0.2">
      <c r="DL198" s="12"/>
      <c r="DM198" s="12"/>
    </row>
    <row r="199" spans="116:117" x14ac:dyDescent="0.2">
      <c r="DL199" s="12"/>
      <c r="DM199" s="12"/>
    </row>
    <row r="200" spans="116:117" x14ac:dyDescent="0.2">
      <c r="DL200" s="12"/>
      <c r="DM200" s="12"/>
    </row>
    <row r="201" spans="116:117" x14ac:dyDescent="0.2">
      <c r="DL201" s="12"/>
      <c r="DM201" s="12"/>
    </row>
    <row r="202" spans="116:117" x14ac:dyDescent="0.2">
      <c r="DL202" s="12"/>
      <c r="DM202" s="12"/>
    </row>
    <row r="203" spans="116:117" x14ac:dyDescent="0.2">
      <c r="DL203" s="12"/>
      <c r="DM203" s="12"/>
    </row>
    <row r="204" spans="116:117" x14ac:dyDescent="0.2">
      <c r="DL204" s="12"/>
      <c r="DM204" s="12"/>
    </row>
    <row r="205" spans="116:117" x14ac:dyDescent="0.2">
      <c r="DL205" s="12"/>
      <c r="DM205" s="12"/>
    </row>
    <row r="206" spans="116:117" x14ac:dyDescent="0.2">
      <c r="DL206" s="12"/>
      <c r="DM206" s="12"/>
    </row>
    <row r="207" spans="116:117" x14ac:dyDescent="0.2">
      <c r="DL207" s="12"/>
      <c r="DM207" s="12"/>
    </row>
    <row r="208" spans="116:117" x14ac:dyDescent="0.2">
      <c r="DL208" s="12"/>
      <c r="DM208" s="12"/>
    </row>
    <row r="209" spans="116:117" x14ac:dyDescent="0.2">
      <c r="DL209" s="12"/>
      <c r="DM209" s="12"/>
    </row>
    <row r="210" spans="116:117" x14ac:dyDescent="0.2">
      <c r="DL210" s="12"/>
      <c r="DM210" s="12"/>
    </row>
    <row r="211" spans="116:117" x14ac:dyDescent="0.2">
      <c r="DL211" s="12"/>
      <c r="DM211" s="12"/>
    </row>
    <row r="212" spans="116:117" x14ac:dyDescent="0.2">
      <c r="DL212" s="12"/>
      <c r="DM212" s="12"/>
    </row>
    <row r="213" spans="116:117" x14ac:dyDescent="0.2">
      <c r="DL213" s="12"/>
      <c r="DM213" s="12"/>
    </row>
    <row r="214" spans="116:117" x14ac:dyDescent="0.2">
      <c r="DL214" s="12"/>
      <c r="DM214" s="12"/>
    </row>
    <row r="215" spans="116:117" x14ac:dyDescent="0.2">
      <c r="DL215" s="12"/>
      <c r="DM215" s="12"/>
    </row>
    <row r="216" spans="116:117" x14ac:dyDescent="0.2">
      <c r="DL216" s="12"/>
      <c r="DM216" s="12"/>
    </row>
    <row r="217" spans="116:117" x14ac:dyDescent="0.2">
      <c r="DL217" s="12"/>
      <c r="DM217" s="12"/>
    </row>
    <row r="218" spans="116:117" x14ac:dyDescent="0.2">
      <c r="DL218" s="12"/>
      <c r="DM218" s="12"/>
    </row>
    <row r="219" spans="116:117" x14ac:dyDescent="0.2">
      <c r="DL219" s="12"/>
      <c r="DM219" s="12"/>
    </row>
    <row r="220" spans="116:117" x14ac:dyDescent="0.2">
      <c r="DL220" s="12"/>
      <c r="DM220" s="12"/>
    </row>
    <row r="221" spans="116:117" x14ac:dyDescent="0.2">
      <c r="DL221" s="12"/>
      <c r="DM221" s="12"/>
    </row>
    <row r="222" spans="116:117" x14ac:dyDescent="0.2">
      <c r="DL222" s="12"/>
      <c r="DM222" s="12"/>
    </row>
    <row r="223" spans="116:117" x14ac:dyDescent="0.2">
      <c r="DL223" s="12"/>
      <c r="DM223" s="12"/>
    </row>
    <row r="224" spans="116:117" x14ac:dyDescent="0.2">
      <c r="DL224" s="12"/>
      <c r="DM224" s="12"/>
    </row>
    <row r="225" spans="116:117" x14ac:dyDescent="0.2">
      <c r="DL225" s="12"/>
      <c r="DM225" s="12"/>
    </row>
    <row r="226" spans="116:117" x14ac:dyDescent="0.2">
      <c r="DL226" s="12"/>
      <c r="DM226" s="12"/>
    </row>
    <row r="227" spans="116:117" x14ac:dyDescent="0.2">
      <c r="DL227" s="12"/>
      <c r="DM227" s="12"/>
    </row>
    <row r="228" spans="116:117" x14ac:dyDescent="0.2">
      <c r="DL228" s="12"/>
      <c r="DM228" s="12"/>
    </row>
    <row r="229" spans="116:117" x14ac:dyDescent="0.2">
      <c r="DL229" s="12"/>
      <c r="DM229" s="12"/>
    </row>
    <row r="230" spans="116:117" x14ac:dyDescent="0.2">
      <c r="DL230" s="12"/>
      <c r="DM230" s="12"/>
    </row>
    <row r="231" spans="116:117" x14ac:dyDescent="0.2">
      <c r="DL231" s="12"/>
      <c r="DM231" s="12"/>
    </row>
    <row r="232" spans="116:117" x14ac:dyDescent="0.2">
      <c r="DL232" s="12"/>
      <c r="DM232" s="12"/>
    </row>
    <row r="233" spans="116:117" x14ac:dyDescent="0.2">
      <c r="DL233" s="12"/>
      <c r="DM233" s="12"/>
    </row>
    <row r="234" spans="116:117" x14ac:dyDescent="0.2">
      <c r="DL234" s="12"/>
      <c r="DM234" s="12"/>
    </row>
    <row r="235" spans="116:117" x14ac:dyDescent="0.2">
      <c r="DL235" s="12"/>
      <c r="DM235" s="12"/>
    </row>
    <row r="236" spans="116:117" x14ac:dyDescent="0.2">
      <c r="DL236" s="12"/>
      <c r="DM236" s="12"/>
    </row>
    <row r="237" spans="116:117" x14ac:dyDescent="0.2">
      <c r="DL237" s="12"/>
      <c r="DM237" s="12"/>
    </row>
    <row r="238" spans="116:117" x14ac:dyDescent="0.2">
      <c r="DL238" s="12"/>
      <c r="DM238" s="12"/>
    </row>
    <row r="239" spans="116:117" x14ac:dyDescent="0.2">
      <c r="DL239" s="12"/>
      <c r="DM239" s="12"/>
    </row>
    <row r="240" spans="116:117" x14ac:dyDescent="0.2">
      <c r="DL240" s="12"/>
      <c r="DM240" s="12"/>
    </row>
    <row r="241" spans="116:117" x14ac:dyDescent="0.2">
      <c r="DL241" s="12"/>
      <c r="DM241" s="12"/>
    </row>
    <row r="242" spans="116:117" x14ac:dyDescent="0.2">
      <c r="DL242" s="12"/>
      <c r="DM242" s="12"/>
    </row>
    <row r="243" spans="116:117" x14ac:dyDescent="0.2">
      <c r="DL243" s="12"/>
      <c r="DM243" s="12"/>
    </row>
    <row r="244" spans="116:117" x14ac:dyDescent="0.2">
      <c r="DL244" s="12"/>
      <c r="DM244" s="12"/>
    </row>
    <row r="245" spans="116:117" x14ac:dyDescent="0.2">
      <c r="DL245" s="12"/>
      <c r="DM245" s="12"/>
    </row>
    <row r="246" spans="116:117" x14ac:dyDescent="0.2">
      <c r="DL246" s="12"/>
      <c r="DM246" s="12"/>
    </row>
    <row r="247" spans="116:117" x14ac:dyDescent="0.2">
      <c r="DL247" s="12"/>
      <c r="DM247" s="12"/>
    </row>
    <row r="248" spans="116:117" x14ac:dyDescent="0.2">
      <c r="DL248" s="12"/>
      <c r="DM248" s="12"/>
    </row>
    <row r="249" spans="116:117" x14ac:dyDescent="0.2">
      <c r="DL249" s="12"/>
      <c r="DM249" s="12"/>
    </row>
    <row r="250" spans="116:117" x14ac:dyDescent="0.2">
      <c r="DL250" s="12"/>
      <c r="DM250" s="12"/>
    </row>
    <row r="251" spans="116:117" x14ac:dyDescent="0.2">
      <c r="DL251" s="12"/>
      <c r="DM251" s="12"/>
    </row>
    <row r="252" spans="116:117" x14ac:dyDescent="0.2">
      <c r="DL252" s="12"/>
      <c r="DM252" s="12"/>
    </row>
    <row r="253" spans="116:117" x14ac:dyDescent="0.2">
      <c r="DL253" s="12"/>
      <c r="DM253" s="12"/>
    </row>
    <row r="254" spans="116:117" x14ac:dyDescent="0.2">
      <c r="DL254" s="12"/>
      <c r="DM254" s="12"/>
    </row>
    <row r="255" spans="116:117" x14ac:dyDescent="0.2">
      <c r="DL255" s="12"/>
      <c r="DM255" s="12"/>
    </row>
    <row r="256" spans="116:117" x14ac:dyDescent="0.2">
      <c r="DL256" s="12"/>
      <c r="DM256" s="12"/>
    </row>
    <row r="257" spans="116:117" x14ac:dyDescent="0.2">
      <c r="DL257" s="12"/>
      <c r="DM257" s="12"/>
    </row>
    <row r="258" spans="116:117" x14ac:dyDescent="0.2">
      <c r="DL258" s="12"/>
      <c r="DM258" s="12"/>
    </row>
    <row r="259" spans="116:117" x14ac:dyDescent="0.2">
      <c r="DL259" s="12"/>
      <c r="DM259" s="12"/>
    </row>
    <row r="260" spans="116:117" x14ac:dyDescent="0.2">
      <c r="DL260" s="12"/>
      <c r="DM260" s="12"/>
    </row>
    <row r="261" spans="116:117" x14ac:dyDescent="0.2">
      <c r="DL261" s="12"/>
      <c r="DM261" s="12"/>
    </row>
    <row r="262" spans="116:117" x14ac:dyDescent="0.2">
      <c r="DL262" s="12"/>
      <c r="DM262" s="12"/>
    </row>
    <row r="263" spans="116:117" x14ac:dyDescent="0.2">
      <c r="DL263" s="12"/>
      <c r="DM263" s="12"/>
    </row>
    <row r="264" spans="116:117" x14ac:dyDescent="0.2">
      <c r="DL264" s="12"/>
      <c r="DM264" s="12"/>
    </row>
    <row r="265" spans="116:117" x14ac:dyDescent="0.2">
      <c r="DL265" s="12"/>
      <c r="DM265" s="12"/>
    </row>
    <row r="266" spans="116:117" x14ac:dyDescent="0.2">
      <c r="DL266" s="12"/>
      <c r="DM266" s="12"/>
    </row>
    <row r="267" spans="116:117" x14ac:dyDescent="0.2">
      <c r="DL267" s="12"/>
      <c r="DM267" s="12"/>
    </row>
    <row r="268" spans="116:117" x14ac:dyDescent="0.2">
      <c r="DL268" s="12"/>
      <c r="DM268" s="12"/>
    </row>
    <row r="269" spans="116:117" x14ac:dyDescent="0.2">
      <c r="DL269" s="12"/>
      <c r="DM269" s="12"/>
    </row>
    <row r="270" spans="116:117" x14ac:dyDescent="0.2">
      <c r="DL270" s="12"/>
      <c r="DM270" s="12"/>
    </row>
    <row r="271" spans="116:117" x14ac:dyDescent="0.2">
      <c r="DL271" s="12"/>
      <c r="DM271" s="12"/>
    </row>
    <row r="272" spans="116:117" x14ac:dyDescent="0.2">
      <c r="DL272" s="12"/>
      <c r="DM272" s="12"/>
    </row>
    <row r="273" spans="116:117" x14ac:dyDescent="0.2">
      <c r="DL273" s="12"/>
      <c r="DM273" s="12"/>
    </row>
    <row r="274" spans="116:117" x14ac:dyDescent="0.2">
      <c r="DL274" s="12"/>
      <c r="DM274" s="12"/>
    </row>
    <row r="275" spans="116:117" x14ac:dyDescent="0.2">
      <c r="DL275" s="12"/>
      <c r="DM275" s="12"/>
    </row>
    <row r="276" spans="116:117" x14ac:dyDescent="0.2">
      <c r="DL276" s="12"/>
      <c r="DM276" s="12"/>
    </row>
    <row r="277" spans="116:117" x14ac:dyDescent="0.2">
      <c r="DL277" s="12"/>
      <c r="DM277" s="12"/>
    </row>
    <row r="278" spans="116:117" x14ac:dyDescent="0.2">
      <c r="DL278" s="12"/>
      <c r="DM278" s="12"/>
    </row>
    <row r="279" spans="116:117" x14ac:dyDescent="0.2">
      <c r="DL279" s="12"/>
      <c r="DM279" s="12"/>
    </row>
    <row r="280" spans="116:117" x14ac:dyDescent="0.2">
      <c r="DL280" s="12"/>
      <c r="DM280" s="12"/>
    </row>
    <row r="281" spans="116:117" x14ac:dyDescent="0.2">
      <c r="DL281" s="12"/>
      <c r="DM281" s="12"/>
    </row>
    <row r="282" spans="116:117" x14ac:dyDescent="0.2">
      <c r="DL282" s="12"/>
      <c r="DM282" s="12"/>
    </row>
    <row r="283" spans="116:117" x14ac:dyDescent="0.2">
      <c r="DL283" s="12"/>
      <c r="DM283" s="12"/>
    </row>
    <row r="284" spans="116:117" x14ac:dyDescent="0.2">
      <c r="DL284" s="12"/>
      <c r="DM284" s="12"/>
    </row>
    <row r="285" spans="116:117" x14ac:dyDescent="0.2">
      <c r="DL285" s="12"/>
      <c r="DM285" s="12"/>
    </row>
    <row r="286" spans="116:117" x14ac:dyDescent="0.2">
      <c r="DL286" s="12"/>
      <c r="DM286" s="12"/>
    </row>
    <row r="287" spans="116:117" x14ac:dyDescent="0.2">
      <c r="DL287" s="12"/>
      <c r="DM287" s="12"/>
    </row>
    <row r="288" spans="116:117" x14ac:dyDescent="0.2">
      <c r="DL288" s="12"/>
      <c r="DM288" s="12"/>
    </row>
    <row r="289" spans="116:117" x14ac:dyDescent="0.2">
      <c r="DL289" s="12"/>
      <c r="DM289" s="12"/>
    </row>
    <row r="290" spans="116:117" x14ac:dyDescent="0.2">
      <c r="DL290" s="12"/>
      <c r="DM290" s="12"/>
    </row>
    <row r="291" spans="116:117" x14ac:dyDescent="0.2">
      <c r="DL291" s="12"/>
      <c r="DM291" s="12"/>
    </row>
    <row r="292" spans="116:117" x14ac:dyDescent="0.2">
      <c r="DL292" s="12"/>
      <c r="DM292" s="12"/>
    </row>
    <row r="293" spans="116:117" x14ac:dyDescent="0.2">
      <c r="DL293" s="12"/>
      <c r="DM293" s="12"/>
    </row>
    <row r="294" spans="116:117" x14ac:dyDescent="0.2">
      <c r="DL294" s="12"/>
      <c r="DM294" s="12"/>
    </row>
    <row r="295" spans="116:117" x14ac:dyDescent="0.2">
      <c r="DL295" s="12"/>
      <c r="DM295" s="12"/>
    </row>
    <row r="296" spans="116:117" x14ac:dyDescent="0.2">
      <c r="DL296" s="12"/>
      <c r="DM296" s="12"/>
    </row>
    <row r="297" spans="116:117" x14ac:dyDescent="0.2">
      <c r="DL297" s="12"/>
      <c r="DM297" s="12"/>
    </row>
    <row r="298" spans="116:117" x14ac:dyDescent="0.2">
      <c r="DL298" s="12"/>
      <c r="DM298" s="12"/>
    </row>
    <row r="299" spans="116:117" x14ac:dyDescent="0.2">
      <c r="DL299" s="12"/>
      <c r="DM299" s="12"/>
    </row>
    <row r="300" spans="116:117" x14ac:dyDescent="0.2">
      <c r="DL300" s="12"/>
      <c r="DM300" s="12"/>
    </row>
    <row r="301" spans="116:117" x14ac:dyDescent="0.2">
      <c r="DL301" s="12"/>
      <c r="DM301" s="12"/>
    </row>
    <row r="302" spans="116:117" x14ac:dyDescent="0.2">
      <c r="DL302" s="12"/>
      <c r="DM302" s="12"/>
    </row>
    <row r="303" spans="116:117" x14ac:dyDescent="0.2">
      <c r="DL303" s="12"/>
      <c r="DM303" s="12"/>
    </row>
    <row r="304" spans="116:117" x14ac:dyDescent="0.2">
      <c r="DL304" s="12"/>
      <c r="DM304" s="12"/>
    </row>
    <row r="305" spans="116:117" x14ac:dyDescent="0.2">
      <c r="DL305" s="12"/>
      <c r="DM305" s="12"/>
    </row>
    <row r="306" spans="116:117" x14ac:dyDescent="0.2">
      <c r="DL306" s="12"/>
      <c r="DM306" s="12"/>
    </row>
    <row r="307" spans="116:117" x14ac:dyDescent="0.2">
      <c r="DL307" s="12"/>
      <c r="DM307" s="12"/>
    </row>
    <row r="308" spans="116:117" x14ac:dyDescent="0.2">
      <c r="DL308" s="12"/>
      <c r="DM308" s="12"/>
    </row>
    <row r="309" spans="116:117" x14ac:dyDescent="0.2">
      <c r="DL309" s="12"/>
      <c r="DM309" s="12"/>
    </row>
    <row r="310" spans="116:117" x14ac:dyDescent="0.2">
      <c r="DL310" s="12"/>
      <c r="DM310" s="12"/>
    </row>
    <row r="311" spans="116:117" x14ac:dyDescent="0.2">
      <c r="DL311" s="12"/>
      <c r="DM311" s="12"/>
    </row>
    <row r="312" spans="116:117" x14ac:dyDescent="0.2">
      <c r="DL312" s="12"/>
      <c r="DM312" s="12"/>
    </row>
    <row r="313" spans="116:117" x14ac:dyDescent="0.2">
      <c r="DL313" s="12"/>
      <c r="DM313" s="12"/>
    </row>
    <row r="314" spans="116:117" x14ac:dyDescent="0.2">
      <c r="DL314" s="12"/>
      <c r="DM314" s="12"/>
    </row>
    <row r="315" spans="116:117" x14ac:dyDescent="0.2">
      <c r="DL315" s="12"/>
      <c r="DM315" s="12"/>
    </row>
    <row r="316" spans="116:117" x14ac:dyDescent="0.2">
      <c r="DL316" s="12"/>
      <c r="DM316" s="12"/>
    </row>
    <row r="317" spans="116:117" x14ac:dyDescent="0.2">
      <c r="DL317" s="12"/>
      <c r="DM317" s="12"/>
    </row>
    <row r="318" spans="116:117" x14ac:dyDescent="0.2">
      <c r="DL318" s="12"/>
      <c r="DM318" s="12"/>
    </row>
    <row r="319" spans="116:117" x14ac:dyDescent="0.2">
      <c r="DL319" s="12"/>
      <c r="DM319" s="12"/>
    </row>
    <row r="320" spans="116:117" x14ac:dyDescent="0.2">
      <c r="DL320" s="12"/>
      <c r="DM320" s="12"/>
    </row>
    <row r="321" spans="116:117" x14ac:dyDescent="0.2">
      <c r="DL321" s="12"/>
      <c r="DM321" s="12"/>
    </row>
    <row r="322" spans="116:117" x14ac:dyDescent="0.2">
      <c r="DL322" s="12"/>
      <c r="DM322" s="12"/>
    </row>
    <row r="323" spans="116:117" x14ac:dyDescent="0.2">
      <c r="DL323" s="12"/>
      <c r="DM323" s="12"/>
    </row>
    <row r="324" spans="116:117" x14ac:dyDescent="0.2">
      <c r="DL324" s="12"/>
      <c r="DM324" s="12"/>
    </row>
    <row r="325" spans="116:117" x14ac:dyDescent="0.2">
      <c r="DL325" s="12"/>
      <c r="DM325" s="12"/>
    </row>
    <row r="326" spans="116:117" x14ac:dyDescent="0.2">
      <c r="DL326" s="12"/>
      <c r="DM326" s="12"/>
    </row>
    <row r="327" spans="116:117" x14ac:dyDescent="0.2">
      <c r="DL327" s="12"/>
      <c r="DM327" s="12"/>
    </row>
    <row r="328" spans="116:117" x14ac:dyDescent="0.2">
      <c r="DL328" s="12"/>
      <c r="DM328" s="12"/>
    </row>
    <row r="329" spans="116:117" x14ac:dyDescent="0.2">
      <c r="DL329" s="12"/>
      <c r="DM329" s="12"/>
    </row>
    <row r="330" spans="116:117" x14ac:dyDescent="0.2">
      <c r="DL330" s="12"/>
      <c r="DM330" s="12"/>
    </row>
    <row r="331" spans="116:117" x14ac:dyDescent="0.2">
      <c r="DL331" s="12"/>
      <c r="DM331" s="12"/>
    </row>
    <row r="332" spans="116:117" x14ac:dyDescent="0.2">
      <c r="DL332" s="12"/>
      <c r="DM332" s="12"/>
    </row>
    <row r="333" spans="116:117" x14ac:dyDescent="0.2">
      <c r="DL333" s="12"/>
      <c r="DM333" s="12"/>
    </row>
    <row r="334" spans="116:117" x14ac:dyDescent="0.2">
      <c r="DL334" s="12"/>
      <c r="DM334" s="12"/>
    </row>
    <row r="335" spans="116:117" x14ac:dyDescent="0.2">
      <c r="DL335" s="12"/>
      <c r="DM335" s="12"/>
    </row>
    <row r="336" spans="116:117" x14ac:dyDescent="0.2">
      <c r="DL336" s="12"/>
      <c r="DM336" s="12"/>
    </row>
    <row r="337" spans="116:117" x14ac:dyDescent="0.2">
      <c r="DL337" s="12"/>
      <c r="DM337" s="12"/>
    </row>
    <row r="338" spans="116:117" x14ac:dyDescent="0.2">
      <c r="DL338" s="12"/>
      <c r="DM338" s="12"/>
    </row>
    <row r="339" spans="116:117" x14ac:dyDescent="0.2">
      <c r="DL339" s="12"/>
      <c r="DM339" s="12"/>
    </row>
    <row r="340" spans="116:117" x14ac:dyDescent="0.2">
      <c r="DL340" s="12"/>
      <c r="DM340" s="12"/>
    </row>
    <row r="341" spans="116:117" x14ac:dyDescent="0.2">
      <c r="DL341" s="12"/>
      <c r="DM341" s="12"/>
    </row>
    <row r="342" spans="116:117" x14ac:dyDescent="0.2">
      <c r="DL342" s="12"/>
      <c r="DM342" s="12"/>
    </row>
    <row r="343" spans="116:117" x14ac:dyDescent="0.2">
      <c r="DL343" s="12"/>
      <c r="DM343" s="12"/>
    </row>
    <row r="344" spans="116:117" x14ac:dyDescent="0.2">
      <c r="DL344" s="12"/>
      <c r="DM344" s="12"/>
    </row>
    <row r="345" spans="116:117" x14ac:dyDescent="0.2">
      <c r="DL345" s="12"/>
      <c r="DM345" s="12"/>
    </row>
    <row r="346" spans="116:117" x14ac:dyDescent="0.2">
      <c r="DL346" s="12"/>
      <c r="DM346" s="12"/>
    </row>
    <row r="347" spans="116:117" x14ac:dyDescent="0.2">
      <c r="DL347" s="12"/>
      <c r="DM347" s="12"/>
    </row>
    <row r="348" spans="116:117" x14ac:dyDescent="0.2">
      <c r="DL348" s="12"/>
      <c r="DM348" s="12"/>
    </row>
    <row r="349" spans="116:117" x14ac:dyDescent="0.2">
      <c r="DL349" s="12"/>
      <c r="DM349" s="12"/>
    </row>
    <row r="350" spans="116:117" x14ac:dyDescent="0.2">
      <c r="DL350" s="12"/>
      <c r="DM350" s="12"/>
    </row>
    <row r="351" spans="116:117" x14ac:dyDescent="0.2">
      <c r="DL351" s="12"/>
      <c r="DM351" s="12"/>
    </row>
    <row r="352" spans="116:117" x14ac:dyDescent="0.2">
      <c r="DL352" s="12"/>
      <c r="DM352" s="12"/>
    </row>
    <row r="353" spans="116:117" x14ac:dyDescent="0.2">
      <c r="DL353" s="12"/>
      <c r="DM353" s="12"/>
    </row>
    <row r="354" spans="116:117" x14ac:dyDescent="0.2">
      <c r="DL354" s="12"/>
      <c r="DM354" s="12"/>
    </row>
    <row r="355" spans="116:117" x14ac:dyDescent="0.2">
      <c r="DL355" s="12"/>
      <c r="DM355" s="12"/>
    </row>
    <row r="356" spans="116:117" x14ac:dyDescent="0.2">
      <c r="DL356" s="12"/>
      <c r="DM356" s="12"/>
    </row>
    <row r="357" spans="116:117" x14ac:dyDescent="0.2">
      <c r="DL357" s="12"/>
      <c r="DM357" s="12"/>
    </row>
    <row r="358" spans="116:117" x14ac:dyDescent="0.2">
      <c r="DL358" s="12"/>
      <c r="DM358" s="12"/>
    </row>
    <row r="359" spans="116:117" x14ac:dyDescent="0.2">
      <c r="DL359" s="12"/>
      <c r="DM359" s="12"/>
    </row>
    <row r="360" spans="116:117" x14ac:dyDescent="0.2">
      <c r="DL360" s="12"/>
      <c r="DM360" s="12"/>
    </row>
    <row r="361" spans="116:117" x14ac:dyDescent="0.2">
      <c r="DL361" s="12"/>
      <c r="DM361" s="12"/>
    </row>
    <row r="362" spans="116:117" x14ac:dyDescent="0.2">
      <c r="DL362" s="12"/>
      <c r="DM362" s="12"/>
    </row>
    <row r="363" spans="116:117" x14ac:dyDescent="0.2">
      <c r="DL363" s="12"/>
      <c r="DM363" s="12"/>
    </row>
    <row r="364" spans="116:117" x14ac:dyDescent="0.2">
      <c r="DL364" s="12"/>
      <c r="DM364" s="12"/>
    </row>
    <row r="365" spans="116:117" x14ac:dyDescent="0.2">
      <c r="DL365" s="12"/>
      <c r="DM365" s="12"/>
    </row>
    <row r="366" spans="116:117" x14ac:dyDescent="0.2">
      <c r="DL366" s="12"/>
      <c r="DM366" s="12"/>
    </row>
    <row r="367" spans="116:117" x14ac:dyDescent="0.2">
      <c r="DL367" s="12"/>
      <c r="DM367" s="12"/>
    </row>
    <row r="368" spans="116:117" x14ac:dyDescent="0.2">
      <c r="DL368" s="12"/>
      <c r="DM368" s="12"/>
    </row>
    <row r="369" spans="116:117" x14ac:dyDescent="0.2">
      <c r="DL369" s="12"/>
      <c r="DM369" s="12"/>
    </row>
    <row r="370" spans="116:117" x14ac:dyDescent="0.2">
      <c r="DL370" s="12"/>
      <c r="DM370" s="12"/>
    </row>
    <row r="371" spans="116:117" x14ac:dyDescent="0.2">
      <c r="DL371" s="12"/>
      <c r="DM371" s="12"/>
    </row>
    <row r="372" spans="116:117" x14ac:dyDescent="0.2">
      <c r="DL372" s="12"/>
      <c r="DM372" s="12"/>
    </row>
    <row r="373" spans="116:117" x14ac:dyDescent="0.2">
      <c r="DL373" s="12"/>
      <c r="DM373" s="12"/>
    </row>
    <row r="374" spans="116:117" x14ac:dyDescent="0.2">
      <c r="DL374" s="12"/>
      <c r="DM374" s="12"/>
    </row>
    <row r="375" spans="116:117" x14ac:dyDescent="0.2">
      <c r="DL375" s="12"/>
      <c r="DM375" s="12"/>
    </row>
    <row r="376" spans="116:117" x14ac:dyDescent="0.2">
      <c r="DL376" s="12"/>
      <c r="DM376" s="12"/>
    </row>
    <row r="377" spans="116:117" x14ac:dyDescent="0.2">
      <c r="DL377" s="12"/>
      <c r="DM377" s="12"/>
    </row>
    <row r="378" spans="116:117" x14ac:dyDescent="0.2">
      <c r="DL378" s="12"/>
      <c r="DM378" s="12"/>
    </row>
    <row r="379" spans="116:117" x14ac:dyDescent="0.2">
      <c r="DL379" s="12"/>
      <c r="DM379" s="12"/>
    </row>
    <row r="380" spans="116:117" x14ac:dyDescent="0.2">
      <c r="DL380" s="12"/>
      <c r="DM380" s="12"/>
    </row>
    <row r="381" spans="116:117" x14ac:dyDescent="0.2">
      <c r="DL381" s="12"/>
      <c r="DM381" s="12"/>
    </row>
    <row r="382" spans="116:117" x14ac:dyDescent="0.2">
      <c r="DL382" s="12"/>
      <c r="DM382" s="12"/>
    </row>
    <row r="383" spans="116:117" x14ac:dyDescent="0.2">
      <c r="DL383" s="12"/>
      <c r="DM383" s="12"/>
    </row>
    <row r="384" spans="116:117" x14ac:dyDescent="0.2">
      <c r="DL384" s="12"/>
      <c r="DM384" s="12"/>
    </row>
    <row r="385" spans="116:117" x14ac:dyDescent="0.2">
      <c r="DL385" s="12"/>
      <c r="DM385" s="12"/>
    </row>
    <row r="386" spans="116:117" x14ac:dyDescent="0.2">
      <c r="DL386" s="12"/>
      <c r="DM386" s="12"/>
    </row>
    <row r="387" spans="116:117" x14ac:dyDescent="0.2">
      <c r="DL387" s="12"/>
      <c r="DM387" s="12"/>
    </row>
    <row r="388" spans="116:117" x14ac:dyDescent="0.2">
      <c r="DL388" s="12"/>
      <c r="DM388" s="12"/>
    </row>
    <row r="389" spans="116:117" x14ac:dyDescent="0.2">
      <c r="DL389" s="12"/>
      <c r="DM389" s="12"/>
    </row>
    <row r="390" spans="116:117" x14ac:dyDescent="0.2">
      <c r="DL390" s="12"/>
      <c r="DM390" s="12"/>
    </row>
    <row r="391" spans="116:117" x14ac:dyDescent="0.2">
      <c r="DL391" s="12"/>
      <c r="DM391" s="12"/>
    </row>
    <row r="392" spans="116:117" x14ac:dyDescent="0.2">
      <c r="DL392" s="12"/>
      <c r="DM392" s="12"/>
    </row>
    <row r="393" spans="116:117" x14ac:dyDescent="0.2">
      <c r="DL393" s="12"/>
      <c r="DM393" s="12"/>
    </row>
    <row r="394" spans="116:117" x14ac:dyDescent="0.2">
      <c r="DL394" s="12"/>
      <c r="DM394" s="12"/>
    </row>
    <row r="395" spans="116:117" x14ac:dyDescent="0.2">
      <c r="DL395" s="12"/>
      <c r="DM395" s="12"/>
    </row>
    <row r="396" spans="116:117" x14ac:dyDescent="0.2">
      <c r="DL396" s="12"/>
      <c r="DM396" s="12"/>
    </row>
    <row r="397" spans="116:117" x14ac:dyDescent="0.2">
      <c r="DL397" s="12"/>
      <c r="DM397" s="12"/>
    </row>
    <row r="398" spans="116:117" x14ac:dyDescent="0.2">
      <c r="DL398" s="12"/>
      <c r="DM398" s="12"/>
    </row>
    <row r="399" spans="116:117" x14ac:dyDescent="0.2">
      <c r="DL399" s="12"/>
      <c r="DM399" s="12"/>
    </row>
    <row r="400" spans="116:117" x14ac:dyDescent="0.2">
      <c r="DL400" s="12"/>
      <c r="DM400" s="12"/>
    </row>
    <row r="401" spans="116:117" x14ac:dyDescent="0.2">
      <c r="DL401" s="12"/>
      <c r="DM401" s="12"/>
    </row>
    <row r="402" spans="116:117" x14ac:dyDescent="0.2">
      <c r="DL402" s="12"/>
      <c r="DM402" s="12"/>
    </row>
    <row r="403" spans="116:117" x14ac:dyDescent="0.2">
      <c r="DL403" s="12"/>
      <c r="DM403" s="12"/>
    </row>
    <row r="404" spans="116:117" x14ac:dyDescent="0.2">
      <c r="DL404" s="12"/>
      <c r="DM404" s="12"/>
    </row>
    <row r="405" spans="116:117" x14ac:dyDescent="0.2">
      <c r="DL405" s="12"/>
      <c r="DM405" s="12"/>
    </row>
    <row r="406" spans="116:117" x14ac:dyDescent="0.2">
      <c r="DL406" s="12"/>
      <c r="DM406" s="12"/>
    </row>
    <row r="407" spans="116:117" x14ac:dyDescent="0.2">
      <c r="DL407" s="12"/>
      <c r="DM407" s="12"/>
    </row>
    <row r="408" spans="116:117" x14ac:dyDescent="0.2">
      <c r="DL408" s="12"/>
      <c r="DM408" s="12"/>
    </row>
    <row r="409" spans="116:117" x14ac:dyDescent="0.2">
      <c r="DL409" s="12"/>
      <c r="DM409" s="12"/>
    </row>
    <row r="410" spans="116:117" x14ac:dyDescent="0.2">
      <c r="DL410" s="12"/>
      <c r="DM410" s="12"/>
    </row>
    <row r="411" spans="116:117" x14ac:dyDescent="0.2">
      <c r="DL411" s="12"/>
      <c r="DM411" s="12"/>
    </row>
    <row r="412" spans="116:117" x14ac:dyDescent="0.2">
      <c r="DL412" s="12"/>
      <c r="DM412" s="12"/>
    </row>
    <row r="413" spans="116:117" x14ac:dyDescent="0.2">
      <c r="DL413" s="12"/>
      <c r="DM413" s="12"/>
    </row>
    <row r="414" spans="116:117" x14ac:dyDescent="0.2">
      <c r="DL414" s="12"/>
      <c r="DM414" s="12"/>
    </row>
    <row r="415" spans="116:117" x14ac:dyDescent="0.2">
      <c r="DL415" s="12"/>
      <c r="DM415" s="12"/>
    </row>
    <row r="416" spans="116:117" x14ac:dyDescent="0.2">
      <c r="DL416" s="12"/>
      <c r="DM416" s="12"/>
    </row>
    <row r="417" spans="116:117" x14ac:dyDescent="0.2">
      <c r="DL417" s="12"/>
      <c r="DM417" s="12"/>
    </row>
    <row r="418" spans="116:117" x14ac:dyDescent="0.2">
      <c r="DL418" s="12"/>
      <c r="DM418" s="12"/>
    </row>
    <row r="419" spans="116:117" x14ac:dyDescent="0.2">
      <c r="DL419" s="12"/>
      <c r="DM419" s="12"/>
    </row>
    <row r="420" spans="116:117" x14ac:dyDescent="0.2">
      <c r="DL420" s="12"/>
      <c r="DM420" s="12"/>
    </row>
    <row r="421" spans="116:117" x14ac:dyDescent="0.2">
      <c r="DL421" s="12"/>
      <c r="DM421" s="12"/>
    </row>
    <row r="422" spans="116:117" x14ac:dyDescent="0.2">
      <c r="DL422" s="12"/>
      <c r="DM422" s="12"/>
    </row>
    <row r="423" spans="116:117" x14ac:dyDescent="0.2">
      <c r="DL423" s="12"/>
      <c r="DM423" s="12"/>
    </row>
    <row r="424" spans="116:117" x14ac:dyDescent="0.2">
      <c r="DL424" s="12"/>
      <c r="DM424" s="12"/>
    </row>
    <row r="425" spans="116:117" x14ac:dyDescent="0.2">
      <c r="DL425" s="12"/>
      <c r="DM425" s="12"/>
    </row>
    <row r="426" spans="116:117" x14ac:dyDescent="0.2">
      <c r="DL426" s="12"/>
      <c r="DM426" s="12"/>
    </row>
    <row r="427" spans="116:117" x14ac:dyDescent="0.2">
      <c r="DL427" s="12"/>
      <c r="DM427" s="12"/>
    </row>
    <row r="428" spans="116:117" x14ac:dyDescent="0.2">
      <c r="DL428" s="12"/>
      <c r="DM428" s="12"/>
    </row>
    <row r="429" spans="116:117" x14ac:dyDescent="0.2">
      <c r="DL429" s="12"/>
      <c r="DM429" s="12"/>
    </row>
    <row r="430" spans="116:117" x14ac:dyDescent="0.2">
      <c r="DL430" s="12"/>
      <c r="DM430" s="12"/>
    </row>
    <row r="431" spans="116:117" x14ac:dyDescent="0.2">
      <c r="DL431" s="12"/>
      <c r="DM431" s="12"/>
    </row>
    <row r="432" spans="116:117" x14ac:dyDescent="0.2">
      <c r="DL432" s="12"/>
      <c r="DM432" s="12"/>
    </row>
    <row r="433" spans="116:117" x14ac:dyDescent="0.2">
      <c r="DL433" s="12"/>
      <c r="DM433" s="12"/>
    </row>
    <row r="434" spans="116:117" x14ac:dyDescent="0.2">
      <c r="DL434" s="12"/>
      <c r="DM434" s="12"/>
    </row>
    <row r="435" spans="116:117" x14ac:dyDescent="0.2">
      <c r="DL435" s="12"/>
      <c r="DM435" s="12"/>
    </row>
    <row r="436" spans="116:117" x14ac:dyDescent="0.2">
      <c r="DL436" s="12"/>
      <c r="DM436" s="12"/>
    </row>
    <row r="437" spans="116:117" x14ac:dyDescent="0.2">
      <c r="DL437" s="12"/>
      <c r="DM437" s="12"/>
    </row>
    <row r="438" spans="116:117" x14ac:dyDescent="0.2">
      <c r="DL438" s="12"/>
      <c r="DM438" s="12"/>
    </row>
    <row r="439" spans="116:117" x14ac:dyDescent="0.2">
      <c r="DL439" s="12"/>
      <c r="DM439" s="12"/>
    </row>
    <row r="440" spans="116:117" x14ac:dyDescent="0.2">
      <c r="DL440" s="12"/>
      <c r="DM440" s="12"/>
    </row>
    <row r="441" spans="116:117" x14ac:dyDescent="0.2">
      <c r="DL441" s="12"/>
      <c r="DM441" s="12"/>
    </row>
    <row r="442" spans="116:117" x14ac:dyDescent="0.2">
      <c r="DL442" s="12"/>
      <c r="DM442" s="12"/>
    </row>
    <row r="443" spans="116:117" x14ac:dyDescent="0.2">
      <c r="DL443" s="12"/>
      <c r="DM443" s="12"/>
    </row>
    <row r="444" spans="116:117" x14ac:dyDescent="0.2">
      <c r="DL444" s="12"/>
      <c r="DM444" s="12"/>
    </row>
    <row r="445" spans="116:117" x14ac:dyDescent="0.2">
      <c r="DL445" s="12"/>
      <c r="DM445" s="12"/>
    </row>
    <row r="446" spans="116:117" x14ac:dyDescent="0.2">
      <c r="DL446" s="12"/>
      <c r="DM446" s="12"/>
    </row>
    <row r="447" spans="116:117" x14ac:dyDescent="0.2">
      <c r="DL447" s="12"/>
      <c r="DM447" s="12"/>
    </row>
    <row r="448" spans="116:117" x14ac:dyDescent="0.2">
      <c r="DL448" s="12"/>
      <c r="DM448" s="12"/>
    </row>
    <row r="449" spans="116:117" x14ac:dyDescent="0.2">
      <c r="DL449" s="12"/>
      <c r="DM449" s="12"/>
    </row>
    <row r="450" spans="116:117" x14ac:dyDescent="0.2">
      <c r="DL450" s="12"/>
      <c r="DM450" s="12"/>
    </row>
    <row r="451" spans="116:117" x14ac:dyDescent="0.2">
      <c r="DL451" s="12"/>
      <c r="DM451" s="12"/>
    </row>
    <row r="452" spans="116:117" x14ac:dyDescent="0.2">
      <c r="DL452" s="12"/>
      <c r="DM452" s="12"/>
    </row>
    <row r="453" spans="116:117" x14ac:dyDescent="0.2">
      <c r="DL453" s="12"/>
      <c r="DM453" s="12"/>
    </row>
    <row r="454" spans="116:117" x14ac:dyDescent="0.2">
      <c r="DL454" s="12"/>
      <c r="DM454" s="12"/>
    </row>
    <row r="455" spans="116:117" x14ac:dyDescent="0.2">
      <c r="DL455" s="12"/>
      <c r="DM455" s="12"/>
    </row>
    <row r="456" spans="116:117" x14ac:dyDescent="0.2">
      <c r="DL456" s="12"/>
      <c r="DM456" s="12"/>
    </row>
    <row r="457" spans="116:117" x14ac:dyDescent="0.2">
      <c r="DL457" s="12"/>
      <c r="DM457" s="12"/>
    </row>
    <row r="458" spans="116:117" x14ac:dyDescent="0.2">
      <c r="DL458" s="12"/>
      <c r="DM458" s="12"/>
    </row>
    <row r="459" spans="116:117" x14ac:dyDescent="0.2">
      <c r="DL459" s="12"/>
      <c r="DM459" s="12"/>
    </row>
    <row r="460" spans="116:117" x14ac:dyDescent="0.2">
      <c r="DL460" s="12"/>
      <c r="DM460" s="12"/>
    </row>
    <row r="461" spans="116:117" x14ac:dyDescent="0.2">
      <c r="DL461" s="12"/>
      <c r="DM461" s="12"/>
    </row>
    <row r="462" spans="116:117" x14ac:dyDescent="0.2">
      <c r="DL462" s="12"/>
      <c r="DM462" s="12"/>
    </row>
    <row r="463" spans="116:117" x14ac:dyDescent="0.2">
      <c r="DL463" s="12"/>
      <c r="DM463" s="12"/>
    </row>
    <row r="464" spans="116:117" x14ac:dyDescent="0.2">
      <c r="DL464" s="12"/>
      <c r="DM464" s="12"/>
    </row>
    <row r="465" spans="116:117" x14ac:dyDescent="0.2">
      <c r="DL465" s="12"/>
      <c r="DM465" s="12"/>
    </row>
    <row r="466" spans="116:117" x14ac:dyDescent="0.2">
      <c r="DL466" s="12"/>
      <c r="DM466" s="12"/>
    </row>
    <row r="467" spans="116:117" x14ac:dyDescent="0.2">
      <c r="DL467" s="12"/>
      <c r="DM467" s="12"/>
    </row>
    <row r="468" spans="116:117" x14ac:dyDescent="0.2">
      <c r="DL468" s="12"/>
      <c r="DM468" s="12"/>
    </row>
    <row r="469" spans="116:117" x14ac:dyDescent="0.2">
      <c r="DL469" s="12"/>
      <c r="DM469" s="12"/>
    </row>
    <row r="470" spans="116:117" x14ac:dyDescent="0.2">
      <c r="DL470" s="12"/>
      <c r="DM470" s="12"/>
    </row>
    <row r="471" spans="116:117" x14ac:dyDescent="0.2">
      <c r="DL471" s="12"/>
      <c r="DM471" s="12"/>
    </row>
    <row r="472" spans="116:117" x14ac:dyDescent="0.2">
      <c r="DL472" s="12"/>
      <c r="DM472" s="12"/>
    </row>
    <row r="473" spans="116:117" x14ac:dyDescent="0.2">
      <c r="DL473" s="12"/>
      <c r="DM473" s="12"/>
    </row>
    <row r="474" spans="116:117" x14ac:dyDescent="0.2">
      <c r="DL474" s="12"/>
      <c r="DM474" s="12"/>
    </row>
    <row r="475" spans="116:117" x14ac:dyDescent="0.2">
      <c r="DL475" s="12"/>
      <c r="DM475" s="12"/>
    </row>
    <row r="476" spans="116:117" x14ac:dyDescent="0.2">
      <c r="DL476" s="12"/>
      <c r="DM476" s="12"/>
    </row>
    <row r="477" spans="116:117" x14ac:dyDescent="0.2">
      <c r="DL477" s="12"/>
      <c r="DM477" s="12"/>
    </row>
    <row r="478" spans="116:117" x14ac:dyDescent="0.2">
      <c r="DL478" s="12"/>
      <c r="DM478" s="12"/>
    </row>
    <row r="479" spans="116:117" x14ac:dyDescent="0.2">
      <c r="DL479" s="12"/>
      <c r="DM479" s="12"/>
    </row>
    <row r="480" spans="116:117" x14ac:dyDescent="0.2">
      <c r="DL480" s="12"/>
      <c r="DM480" s="12"/>
    </row>
    <row r="481" spans="116:117" x14ac:dyDescent="0.2">
      <c r="DL481" s="12"/>
      <c r="DM481" s="12"/>
    </row>
    <row r="482" spans="116:117" x14ac:dyDescent="0.2">
      <c r="DL482" s="12"/>
      <c r="DM482" s="12"/>
    </row>
    <row r="483" spans="116:117" x14ac:dyDescent="0.2">
      <c r="DL483" s="12"/>
      <c r="DM483" s="12"/>
    </row>
    <row r="484" spans="116:117" x14ac:dyDescent="0.2">
      <c r="DL484" s="12"/>
      <c r="DM484" s="12"/>
    </row>
    <row r="485" spans="116:117" x14ac:dyDescent="0.2">
      <c r="DL485" s="12"/>
      <c r="DM485" s="12"/>
    </row>
    <row r="486" spans="116:117" x14ac:dyDescent="0.2">
      <c r="DL486" s="12"/>
      <c r="DM486" s="12"/>
    </row>
    <row r="487" spans="116:117" x14ac:dyDescent="0.2">
      <c r="DL487" s="12"/>
      <c r="DM487" s="12"/>
    </row>
    <row r="488" spans="116:117" x14ac:dyDescent="0.2">
      <c r="DL488" s="12"/>
      <c r="DM488" s="12"/>
    </row>
    <row r="489" spans="116:117" x14ac:dyDescent="0.2">
      <c r="DL489" s="12"/>
      <c r="DM489" s="12"/>
    </row>
    <row r="490" spans="116:117" x14ac:dyDescent="0.2">
      <c r="DL490" s="12"/>
      <c r="DM490" s="12"/>
    </row>
    <row r="491" spans="116:117" x14ac:dyDescent="0.2">
      <c r="DL491" s="12"/>
      <c r="DM491" s="12"/>
    </row>
    <row r="492" spans="116:117" x14ac:dyDescent="0.2">
      <c r="DL492" s="12"/>
      <c r="DM492" s="12"/>
    </row>
    <row r="493" spans="116:117" x14ac:dyDescent="0.2">
      <c r="DL493" s="12"/>
      <c r="DM493" s="12"/>
    </row>
    <row r="494" spans="116:117" x14ac:dyDescent="0.2">
      <c r="DL494" s="12"/>
      <c r="DM494" s="12"/>
    </row>
    <row r="495" spans="116:117" x14ac:dyDescent="0.2">
      <c r="DL495" s="12"/>
      <c r="DM495" s="12"/>
    </row>
    <row r="496" spans="116:117" x14ac:dyDescent="0.2">
      <c r="DL496" s="12"/>
      <c r="DM496" s="12"/>
    </row>
    <row r="497" spans="116:117" x14ac:dyDescent="0.2">
      <c r="DL497" s="12"/>
      <c r="DM497" s="12"/>
    </row>
    <row r="498" spans="116:117" x14ac:dyDescent="0.2">
      <c r="DL498" s="12"/>
      <c r="DM498" s="12"/>
    </row>
    <row r="499" spans="116:117" x14ac:dyDescent="0.2">
      <c r="DL499" s="12"/>
      <c r="DM499" s="12"/>
    </row>
    <row r="500" spans="116:117" x14ac:dyDescent="0.2">
      <c r="DL500" s="12"/>
      <c r="DM500" s="12"/>
    </row>
    <row r="501" spans="116:117" x14ac:dyDescent="0.2">
      <c r="DL501" s="12"/>
      <c r="DM501" s="12"/>
    </row>
    <row r="502" spans="116:117" x14ac:dyDescent="0.2">
      <c r="DL502" s="12"/>
      <c r="DM502" s="12"/>
    </row>
    <row r="503" spans="116:117" x14ac:dyDescent="0.2">
      <c r="DL503" s="12"/>
      <c r="DM503" s="12"/>
    </row>
    <row r="504" spans="116:117" x14ac:dyDescent="0.2">
      <c r="DL504" s="12"/>
      <c r="DM504" s="12"/>
    </row>
    <row r="505" spans="116:117" x14ac:dyDescent="0.2">
      <c r="DL505" s="12"/>
      <c r="DM505" s="12"/>
    </row>
    <row r="506" spans="116:117" x14ac:dyDescent="0.2">
      <c r="DL506" s="12"/>
      <c r="DM506" s="12"/>
    </row>
    <row r="507" spans="116:117" x14ac:dyDescent="0.2">
      <c r="DL507" s="12"/>
      <c r="DM507" s="12"/>
    </row>
    <row r="508" spans="116:117" x14ac:dyDescent="0.2">
      <c r="DL508" s="12"/>
      <c r="DM508" s="12"/>
    </row>
    <row r="509" spans="116:117" x14ac:dyDescent="0.2">
      <c r="DL509" s="12"/>
      <c r="DM509" s="12"/>
    </row>
    <row r="510" spans="116:117" x14ac:dyDescent="0.2">
      <c r="DL510" s="12"/>
      <c r="DM510" s="12"/>
    </row>
    <row r="511" spans="116:117" x14ac:dyDescent="0.2">
      <c r="DL511" s="12"/>
      <c r="DM511" s="12"/>
    </row>
    <row r="512" spans="116:117" x14ac:dyDescent="0.2">
      <c r="DL512" s="12"/>
      <c r="DM512" s="12"/>
    </row>
    <row r="513" spans="116:117" x14ac:dyDescent="0.2">
      <c r="DL513" s="12"/>
      <c r="DM513" s="12"/>
    </row>
    <row r="514" spans="116:117" x14ac:dyDescent="0.2">
      <c r="DL514" s="12"/>
      <c r="DM514" s="12"/>
    </row>
    <row r="515" spans="116:117" x14ac:dyDescent="0.2">
      <c r="DL515" s="12"/>
      <c r="DM515" s="12"/>
    </row>
    <row r="516" spans="116:117" x14ac:dyDescent="0.2">
      <c r="DL516" s="12"/>
      <c r="DM516" s="12"/>
    </row>
    <row r="517" spans="116:117" x14ac:dyDescent="0.2">
      <c r="DL517" s="12"/>
      <c r="DM517" s="12"/>
    </row>
    <row r="518" spans="116:117" x14ac:dyDescent="0.2">
      <c r="DL518" s="12"/>
      <c r="DM518" s="12"/>
    </row>
    <row r="519" spans="116:117" x14ac:dyDescent="0.2">
      <c r="DL519" s="12"/>
      <c r="DM519" s="12"/>
    </row>
    <row r="520" spans="116:117" x14ac:dyDescent="0.2">
      <c r="DL520" s="12"/>
      <c r="DM520" s="12"/>
    </row>
    <row r="521" spans="116:117" x14ac:dyDescent="0.2">
      <c r="DL521" s="12"/>
      <c r="DM521" s="12"/>
    </row>
    <row r="522" spans="116:117" x14ac:dyDescent="0.2">
      <c r="DL522" s="12"/>
      <c r="DM522" s="12"/>
    </row>
    <row r="523" spans="116:117" x14ac:dyDescent="0.2">
      <c r="DL523" s="12"/>
      <c r="DM523" s="12"/>
    </row>
    <row r="524" spans="116:117" x14ac:dyDescent="0.2">
      <c r="DL524" s="12"/>
      <c r="DM524" s="12"/>
    </row>
    <row r="525" spans="116:117" x14ac:dyDescent="0.2">
      <c r="DL525" s="12"/>
      <c r="DM525" s="12"/>
    </row>
    <row r="526" spans="116:117" x14ac:dyDescent="0.2">
      <c r="DL526" s="12"/>
      <c r="DM526" s="12"/>
    </row>
    <row r="527" spans="116:117" x14ac:dyDescent="0.2">
      <c r="DL527" s="12"/>
      <c r="DM527" s="12"/>
    </row>
    <row r="528" spans="116:117" x14ac:dyDescent="0.2">
      <c r="DL528" s="12"/>
      <c r="DM528" s="12"/>
    </row>
    <row r="529" spans="116:117" x14ac:dyDescent="0.2">
      <c r="DL529" s="12"/>
      <c r="DM529" s="12"/>
    </row>
    <row r="530" spans="116:117" x14ac:dyDescent="0.2">
      <c r="DL530" s="12"/>
      <c r="DM530" s="12"/>
    </row>
    <row r="531" spans="116:117" x14ac:dyDescent="0.2">
      <c r="DL531" s="12"/>
      <c r="DM531" s="12"/>
    </row>
    <row r="532" spans="116:117" x14ac:dyDescent="0.2">
      <c r="DL532" s="12"/>
      <c r="DM532" s="12"/>
    </row>
    <row r="533" spans="116:117" x14ac:dyDescent="0.2">
      <c r="DL533" s="12"/>
      <c r="DM533" s="12"/>
    </row>
    <row r="534" spans="116:117" x14ac:dyDescent="0.2">
      <c r="DL534" s="12"/>
      <c r="DM534" s="12"/>
    </row>
    <row r="535" spans="116:117" x14ac:dyDescent="0.2">
      <c r="DL535" s="12"/>
      <c r="DM535" s="12"/>
    </row>
    <row r="536" spans="116:117" x14ac:dyDescent="0.2">
      <c r="DL536" s="12"/>
      <c r="DM536" s="12"/>
    </row>
    <row r="537" spans="116:117" x14ac:dyDescent="0.2">
      <c r="DL537" s="12"/>
      <c r="DM537" s="12"/>
    </row>
    <row r="538" spans="116:117" x14ac:dyDescent="0.2">
      <c r="DL538" s="12"/>
      <c r="DM538" s="12"/>
    </row>
    <row r="539" spans="116:117" x14ac:dyDescent="0.2">
      <c r="DL539" s="12"/>
      <c r="DM539" s="12"/>
    </row>
    <row r="540" spans="116:117" x14ac:dyDescent="0.2">
      <c r="DL540" s="12"/>
      <c r="DM540" s="12"/>
    </row>
    <row r="541" spans="116:117" x14ac:dyDescent="0.2">
      <c r="DL541" s="12"/>
      <c r="DM541" s="12"/>
    </row>
    <row r="542" spans="116:117" x14ac:dyDescent="0.2">
      <c r="DL542" s="12"/>
      <c r="DM542" s="12"/>
    </row>
    <row r="543" spans="116:117" x14ac:dyDescent="0.2">
      <c r="DL543" s="12"/>
      <c r="DM543" s="12"/>
    </row>
    <row r="544" spans="116:117" x14ac:dyDescent="0.2">
      <c r="DL544" s="12"/>
      <c r="DM544" s="12"/>
    </row>
    <row r="545" spans="116:117" x14ac:dyDescent="0.2">
      <c r="DL545" s="12"/>
      <c r="DM545" s="12"/>
    </row>
    <row r="546" spans="116:117" x14ac:dyDescent="0.2">
      <c r="DL546" s="12"/>
      <c r="DM546" s="12"/>
    </row>
    <row r="547" spans="116:117" x14ac:dyDescent="0.2">
      <c r="DL547" s="12"/>
      <c r="DM547" s="12"/>
    </row>
    <row r="548" spans="116:117" x14ac:dyDescent="0.2">
      <c r="DL548" s="12"/>
      <c r="DM548" s="12"/>
    </row>
    <row r="549" spans="116:117" x14ac:dyDescent="0.2">
      <c r="DL549" s="12"/>
      <c r="DM549" s="12"/>
    </row>
    <row r="550" spans="116:117" x14ac:dyDescent="0.2">
      <c r="DL550" s="12"/>
      <c r="DM550" s="12"/>
    </row>
    <row r="551" spans="116:117" x14ac:dyDescent="0.2">
      <c r="DL551" s="12"/>
      <c r="DM551" s="12"/>
    </row>
    <row r="552" spans="116:117" x14ac:dyDescent="0.2">
      <c r="DL552" s="12"/>
      <c r="DM552" s="12"/>
    </row>
    <row r="553" spans="116:117" x14ac:dyDescent="0.2">
      <c r="DL553" s="12"/>
      <c r="DM553" s="12"/>
    </row>
    <row r="554" spans="116:117" x14ac:dyDescent="0.2">
      <c r="DL554" s="12"/>
      <c r="DM554" s="12"/>
    </row>
    <row r="555" spans="116:117" x14ac:dyDescent="0.2">
      <c r="DL555" s="12"/>
      <c r="DM555" s="12"/>
    </row>
    <row r="556" spans="116:117" x14ac:dyDescent="0.2">
      <c r="DL556" s="12"/>
      <c r="DM556" s="12"/>
    </row>
    <row r="557" spans="116:117" x14ac:dyDescent="0.2">
      <c r="DL557" s="12"/>
      <c r="DM557" s="12"/>
    </row>
    <row r="558" spans="116:117" x14ac:dyDescent="0.2">
      <c r="DL558" s="12"/>
      <c r="DM558" s="12"/>
    </row>
    <row r="559" spans="116:117" x14ac:dyDescent="0.2">
      <c r="DL559" s="12"/>
      <c r="DM559" s="12"/>
    </row>
    <row r="560" spans="116:117" x14ac:dyDescent="0.2">
      <c r="DL560" s="12"/>
      <c r="DM560" s="12"/>
    </row>
    <row r="561" spans="116:117" x14ac:dyDescent="0.2">
      <c r="DL561" s="12"/>
      <c r="DM561" s="12"/>
    </row>
    <row r="562" spans="116:117" x14ac:dyDescent="0.2">
      <c r="DL562" s="12"/>
      <c r="DM562" s="12"/>
    </row>
    <row r="563" spans="116:117" x14ac:dyDescent="0.2">
      <c r="DL563" s="12"/>
      <c r="DM563" s="12"/>
    </row>
    <row r="564" spans="116:117" x14ac:dyDescent="0.2">
      <c r="DL564" s="12"/>
      <c r="DM564" s="12"/>
    </row>
    <row r="565" spans="116:117" x14ac:dyDescent="0.2">
      <c r="DL565" s="12"/>
      <c r="DM565" s="12"/>
    </row>
    <row r="566" spans="116:117" x14ac:dyDescent="0.2">
      <c r="DL566" s="12"/>
      <c r="DM566" s="12"/>
    </row>
    <row r="567" spans="116:117" x14ac:dyDescent="0.2">
      <c r="DL567" s="12"/>
      <c r="DM567" s="12"/>
    </row>
    <row r="568" spans="116:117" x14ac:dyDescent="0.2">
      <c r="DL568" s="12"/>
      <c r="DM568" s="12"/>
    </row>
    <row r="569" spans="116:117" x14ac:dyDescent="0.2">
      <c r="DL569" s="12"/>
      <c r="DM569" s="12"/>
    </row>
    <row r="570" spans="116:117" x14ac:dyDescent="0.2">
      <c r="DL570" s="12"/>
      <c r="DM570" s="12"/>
    </row>
    <row r="571" spans="116:117" x14ac:dyDescent="0.2">
      <c r="DL571" s="12"/>
      <c r="DM571" s="12"/>
    </row>
    <row r="572" spans="116:117" x14ac:dyDescent="0.2">
      <c r="DL572" s="12"/>
      <c r="DM572" s="12"/>
    </row>
    <row r="573" spans="116:117" x14ac:dyDescent="0.2">
      <c r="DL573" s="12"/>
      <c r="DM573" s="12"/>
    </row>
    <row r="574" spans="116:117" x14ac:dyDescent="0.2">
      <c r="DL574" s="12"/>
      <c r="DM574" s="12"/>
    </row>
    <row r="575" spans="116:117" x14ac:dyDescent="0.2">
      <c r="DL575" s="12"/>
      <c r="DM575" s="12"/>
    </row>
    <row r="576" spans="116:117" x14ac:dyDescent="0.2">
      <c r="DL576" s="12"/>
      <c r="DM576" s="12"/>
    </row>
    <row r="577" spans="116:117" x14ac:dyDescent="0.2">
      <c r="DL577" s="12"/>
      <c r="DM577" s="12"/>
    </row>
    <row r="578" spans="116:117" x14ac:dyDescent="0.2">
      <c r="DL578" s="12"/>
      <c r="DM578" s="12"/>
    </row>
    <row r="579" spans="116:117" x14ac:dyDescent="0.2">
      <c r="DL579" s="12"/>
      <c r="DM579" s="12"/>
    </row>
    <row r="580" spans="116:117" x14ac:dyDescent="0.2">
      <c r="DL580" s="12"/>
      <c r="DM580" s="12"/>
    </row>
    <row r="581" spans="116:117" x14ac:dyDescent="0.2">
      <c r="DL581" s="12"/>
      <c r="DM581" s="12"/>
    </row>
    <row r="582" spans="116:117" x14ac:dyDescent="0.2">
      <c r="DL582" s="12"/>
      <c r="DM582" s="12"/>
    </row>
    <row r="583" spans="116:117" x14ac:dyDescent="0.2">
      <c r="DL583" s="12"/>
      <c r="DM583" s="12"/>
    </row>
    <row r="584" spans="116:117" x14ac:dyDescent="0.2">
      <c r="DL584" s="12"/>
      <c r="DM584" s="12"/>
    </row>
    <row r="585" spans="116:117" x14ac:dyDescent="0.2">
      <c r="DL585" s="12"/>
      <c r="DM585" s="12"/>
    </row>
    <row r="586" spans="116:117" x14ac:dyDescent="0.2">
      <c r="DL586" s="12"/>
      <c r="DM586" s="12"/>
    </row>
    <row r="587" spans="116:117" x14ac:dyDescent="0.2">
      <c r="DL587" s="12"/>
      <c r="DM587" s="12"/>
    </row>
    <row r="588" spans="116:117" x14ac:dyDescent="0.2">
      <c r="DL588" s="12"/>
      <c r="DM588" s="12"/>
    </row>
    <row r="589" spans="116:117" x14ac:dyDescent="0.2">
      <c r="DL589" s="12"/>
      <c r="DM589" s="12"/>
    </row>
    <row r="590" spans="116:117" x14ac:dyDescent="0.2">
      <c r="DL590" s="12"/>
      <c r="DM590" s="12"/>
    </row>
    <row r="591" spans="116:117" x14ac:dyDescent="0.2">
      <c r="DL591" s="12"/>
      <c r="DM591" s="12"/>
    </row>
    <row r="592" spans="116:117" x14ac:dyDescent="0.2">
      <c r="DL592" s="12"/>
      <c r="DM592" s="12"/>
    </row>
    <row r="593" spans="116:117" x14ac:dyDescent="0.2">
      <c r="DL593" s="12"/>
      <c r="DM593" s="12"/>
    </row>
    <row r="594" spans="116:117" x14ac:dyDescent="0.2">
      <c r="DL594" s="12"/>
      <c r="DM594" s="12"/>
    </row>
    <row r="595" spans="116:117" x14ac:dyDescent="0.2">
      <c r="DL595" s="12"/>
      <c r="DM595" s="12"/>
    </row>
    <row r="596" spans="116:117" x14ac:dyDescent="0.2">
      <c r="DL596" s="12"/>
      <c r="DM596" s="12"/>
    </row>
    <row r="597" spans="116:117" x14ac:dyDescent="0.2">
      <c r="DL597" s="12"/>
      <c r="DM597" s="12"/>
    </row>
    <row r="598" spans="116:117" x14ac:dyDescent="0.2">
      <c r="DL598" s="12"/>
      <c r="DM598" s="12"/>
    </row>
    <row r="599" spans="116:117" x14ac:dyDescent="0.2">
      <c r="DL599" s="12"/>
      <c r="DM599" s="12"/>
    </row>
    <row r="600" spans="116:117" x14ac:dyDescent="0.2">
      <c r="DL600" s="12"/>
      <c r="DM600" s="12"/>
    </row>
    <row r="601" spans="116:117" x14ac:dyDescent="0.2">
      <c r="DL601" s="12"/>
      <c r="DM601" s="12"/>
    </row>
    <row r="602" spans="116:117" x14ac:dyDescent="0.2">
      <c r="DL602" s="12"/>
      <c r="DM602" s="12"/>
    </row>
    <row r="603" spans="116:117" x14ac:dyDescent="0.2">
      <c r="DL603" s="12"/>
      <c r="DM603" s="12"/>
    </row>
    <row r="604" spans="116:117" x14ac:dyDescent="0.2">
      <c r="DL604" s="12"/>
      <c r="DM604" s="12"/>
    </row>
    <row r="605" spans="116:117" x14ac:dyDescent="0.2">
      <c r="DL605" s="12"/>
      <c r="DM605" s="12"/>
    </row>
    <row r="606" spans="116:117" x14ac:dyDescent="0.2">
      <c r="DL606" s="12"/>
      <c r="DM606" s="12"/>
    </row>
    <row r="607" spans="116:117" x14ac:dyDescent="0.2">
      <c r="DL607" s="12"/>
      <c r="DM607" s="12"/>
    </row>
    <row r="608" spans="116:117" x14ac:dyDescent="0.2">
      <c r="DL608" s="12"/>
      <c r="DM608" s="12"/>
    </row>
    <row r="609" spans="116:117" x14ac:dyDescent="0.2">
      <c r="DL609" s="12"/>
      <c r="DM609" s="12"/>
    </row>
    <row r="610" spans="116:117" x14ac:dyDescent="0.2">
      <c r="DL610" s="12"/>
      <c r="DM610" s="12"/>
    </row>
    <row r="611" spans="116:117" x14ac:dyDescent="0.2">
      <c r="DL611" s="12"/>
      <c r="DM611" s="12"/>
    </row>
    <row r="612" spans="116:117" x14ac:dyDescent="0.2">
      <c r="DL612" s="12"/>
      <c r="DM612" s="12"/>
    </row>
    <row r="613" spans="116:117" x14ac:dyDescent="0.2">
      <c r="DL613" s="12"/>
      <c r="DM613" s="12"/>
    </row>
    <row r="614" spans="116:117" x14ac:dyDescent="0.2">
      <c r="DL614" s="12"/>
      <c r="DM614" s="12"/>
    </row>
    <row r="615" spans="116:117" x14ac:dyDescent="0.2">
      <c r="DL615" s="12"/>
      <c r="DM615" s="12"/>
    </row>
    <row r="616" spans="116:117" x14ac:dyDescent="0.2">
      <c r="DL616" s="12"/>
      <c r="DM616" s="12"/>
    </row>
    <row r="617" spans="116:117" x14ac:dyDescent="0.2">
      <c r="DL617" s="12"/>
      <c r="DM617" s="12"/>
    </row>
    <row r="618" spans="116:117" x14ac:dyDescent="0.2">
      <c r="DL618" s="12"/>
      <c r="DM618" s="12"/>
    </row>
    <row r="619" spans="116:117" x14ac:dyDescent="0.2">
      <c r="DL619" s="12"/>
      <c r="DM619" s="12"/>
    </row>
    <row r="620" spans="116:117" x14ac:dyDescent="0.2">
      <c r="DL620" s="12"/>
      <c r="DM620" s="12"/>
    </row>
    <row r="621" spans="116:117" x14ac:dyDescent="0.2">
      <c r="DL621" s="12"/>
      <c r="DM621" s="12"/>
    </row>
    <row r="622" spans="116:117" x14ac:dyDescent="0.2">
      <c r="DL622" s="12"/>
      <c r="DM622" s="12"/>
    </row>
    <row r="623" spans="116:117" x14ac:dyDescent="0.2">
      <c r="DL623" s="12"/>
      <c r="DM623" s="12"/>
    </row>
    <row r="624" spans="116:117" x14ac:dyDescent="0.2">
      <c r="DL624" s="12"/>
      <c r="DM624" s="12"/>
    </row>
    <row r="625" spans="116:117" x14ac:dyDescent="0.2">
      <c r="DL625" s="12"/>
      <c r="DM625" s="12"/>
    </row>
    <row r="626" spans="116:117" x14ac:dyDescent="0.2">
      <c r="DL626" s="12"/>
      <c r="DM626" s="12"/>
    </row>
    <row r="627" spans="116:117" x14ac:dyDescent="0.2">
      <c r="DL627" s="12"/>
      <c r="DM627" s="12"/>
    </row>
    <row r="628" spans="116:117" x14ac:dyDescent="0.2">
      <c r="DL628" s="12"/>
      <c r="DM628" s="12"/>
    </row>
    <row r="629" spans="116:117" x14ac:dyDescent="0.2">
      <c r="DL629" s="12"/>
      <c r="DM629" s="12"/>
    </row>
    <row r="630" spans="116:117" x14ac:dyDescent="0.2">
      <c r="DL630" s="12"/>
      <c r="DM630" s="12"/>
    </row>
    <row r="631" spans="116:117" x14ac:dyDescent="0.2">
      <c r="DL631" s="12"/>
      <c r="DM631" s="12"/>
    </row>
    <row r="632" spans="116:117" x14ac:dyDescent="0.2">
      <c r="DL632" s="12"/>
      <c r="DM632" s="12"/>
    </row>
    <row r="633" spans="116:117" x14ac:dyDescent="0.2">
      <c r="DL633" s="12"/>
      <c r="DM633" s="12"/>
    </row>
    <row r="634" spans="116:117" x14ac:dyDescent="0.2">
      <c r="DL634" s="12"/>
      <c r="DM634" s="12"/>
    </row>
    <row r="635" spans="116:117" x14ac:dyDescent="0.2">
      <c r="DL635" s="12"/>
      <c r="DM635" s="12"/>
    </row>
    <row r="636" spans="116:117" x14ac:dyDescent="0.2">
      <c r="DL636" s="12"/>
      <c r="DM636" s="12"/>
    </row>
    <row r="637" spans="116:117" x14ac:dyDescent="0.2">
      <c r="DL637" s="12"/>
      <c r="DM637" s="12"/>
    </row>
    <row r="638" spans="116:117" x14ac:dyDescent="0.2">
      <c r="DL638" s="12"/>
      <c r="DM638" s="12"/>
    </row>
    <row r="639" spans="116:117" x14ac:dyDescent="0.2">
      <c r="DL639" s="12"/>
      <c r="DM639" s="12"/>
    </row>
    <row r="640" spans="116:117" x14ac:dyDescent="0.2">
      <c r="DL640" s="12"/>
      <c r="DM640" s="12"/>
    </row>
    <row r="641" spans="116:117" x14ac:dyDescent="0.2">
      <c r="DL641" s="12"/>
      <c r="DM641" s="12"/>
    </row>
    <row r="642" spans="116:117" x14ac:dyDescent="0.2">
      <c r="DL642" s="12"/>
      <c r="DM642" s="12"/>
    </row>
    <row r="643" spans="116:117" x14ac:dyDescent="0.2">
      <c r="DL643" s="12"/>
      <c r="DM643" s="12"/>
    </row>
    <row r="644" spans="116:117" x14ac:dyDescent="0.2">
      <c r="DL644" s="12"/>
      <c r="DM644" s="12"/>
    </row>
    <row r="645" spans="116:117" x14ac:dyDescent="0.2">
      <c r="DL645" s="12"/>
      <c r="DM645" s="12"/>
    </row>
    <row r="646" spans="116:117" x14ac:dyDescent="0.2">
      <c r="DL646" s="12"/>
      <c r="DM646" s="12"/>
    </row>
    <row r="647" spans="116:117" x14ac:dyDescent="0.2">
      <c r="DL647" s="12"/>
      <c r="DM647" s="12"/>
    </row>
    <row r="648" spans="116:117" x14ac:dyDescent="0.2">
      <c r="DL648" s="12"/>
      <c r="DM648" s="12"/>
    </row>
    <row r="649" spans="116:117" x14ac:dyDescent="0.2">
      <c r="DL649" s="12"/>
      <c r="DM649" s="12"/>
    </row>
    <row r="650" spans="116:117" x14ac:dyDescent="0.2">
      <c r="DL650" s="12"/>
      <c r="DM650" s="12"/>
    </row>
    <row r="651" spans="116:117" x14ac:dyDescent="0.2">
      <c r="DL651" s="12"/>
      <c r="DM651" s="12"/>
    </row>
    <row r="652" spans="116:117" x14ac:dyDescent="0.2">
      <c r="DL652" s="12"/>
      <c r="DM652" s="12"/>
    </row>
    <row r="653" spans="116:117" x14ac:dyDescent="0.2">
      <c r="DL653" s="12"/>
      <c r="DM653" s="12"/>
    </row>
    <row r="654" spans="116:117" x14ac:dyDescent="0.2">
      <c r="DL654" s="12"/>
      <c r="DM654" s="12"/>
    </row>
    <row r="655" spans="116:117" x14ac:dyDescent="0.2">
      <c r="DL655" s="12"/>
      <c r="DM655" s="12"/>
    </row>
    <row r="656" spans="116:117" x14ac:dyDescent="0.2">
      <c r="DL656" s="12"/>
      <c r="DM656" s="12"/>
    </row>
    <row r="657" spans="116:117" x14ac:dyDescent="0.2">
      <c r="DL657" s="12"/>
      <c r="DM657" s="12"/>
    </row>
    <row r="658" spans="116:117" x14ac:dyDescent="0.2">
      <c r="DL658" s="12"/>
      <c r="DM658" s="12"/>
    </row>
    <row r="659" spans="116:117" x14ac:dyDescent="0.2">
      <c r="DL659" s="12"/>
      <c r="DM659" s="12"/>
    </row>
    <row r="660" spans="116:117" x14ac:dyDescent="0.2">
      <c r="DL660" s="12"/>
      <c r="DM660" s="12"/>
    </row>
    <row r="661" spans="116:117" x14ac:dyDescent="0.2">
      <c r="DL661" s="12"/>
      <c r="DM661" s="12"/>
    </row>
    <row r="662" spans="116:117" x14ac:dyDescent="0.2">
      <c r="DL662" s="12"/>
      <c r="DM662" s="12"/>
    </row>
    <row r="663" spans="116:117" x14ac:dyDescent="0.2">
      <c r="DL663" s="12"/>
      <c r="DM663" s="12"/>
    </row>
    <row r="664" spans="116:117" x14ac:dyDescent="0.2">
      <c r="DL664" s="12"/>
      <c r="DM664" s="12"/>
    </row>
    <row r="665" spans="116:117" x14ac:dyDescent="0.2">
      <c r="DL665" s="12"/>
      <c r="DM665" s="12"/>
    </row>
    <row r="666" spans="116:117" x14ac:dyDescent="0.2">
      <c r="DL666" s="12"/>
      <c r="DM666" s="12"/>
    </row>
    <row r="667" spans="116:117" x14ac:dyDescent="0.2">
      <c r="DL667" s="12"/>
      <c r="DM667" s="12"/>
    </row>
    <row r="668" spans="116:117" x14ac:dyDescent="0.2">
      <c r="DL668" s="12"/>
      <c r="DM668" s="12"/>
    </row>
    <row r="669" spans="116:117" x14ac:dyDescent="0.2">
      <c r="DL669" s="12"/>
      <c r="DM669" s="12"/>
    </row>
    <row r="670" spans="116:117" x14ac:dyDescent="0.2">
      <c r="DL670" s="12"/>
      <c r="DM670" s="12"/>
    </row>
    <row r="671" spans="116:117" x14ac:dyDescent="0.2">
      <c r="DL671" s="12"/>
      <c r="DM671" s="12"/>
    </row>
    <row r="672" spans="116:117" x14ac:dyDescent="0.2">
      <c r="DL672" s="12"/>
      <c r="DM672" s="12"/>
    </row>
    <row r="673" spans="116:117" x14ac:dyDescent="0.2">
      <c r="DL673" s="12"/>
      <c r="DM673" s="12"/>
    </row>
    <row r="674" spans="116:117" x14ac:dyDescent="0.2">
      <c r="DL674" s="12"/>
      <c r="DM674" s="12"/>
    </row>
    <row r="675" spans="116:117" x14ac:dyDescent="0.2">
      <c r="DL675" s="12"/>
      <c r="DM675" s="12"/>
    </row>
    <row r="676" spans="116:117" x14ac:dyDescent="0.2">
      <c r="DL676" s="12"/>
      <c r="DM676" s="12"/>
    </row>
    <row r="677" spans="116:117" x14ac:dyDescent="0.2">
      <c r="DL677" s="12"/>
      <c r="DM677" s="12"/>
    </row>
    <row r="678" spans="116:117" x14ac:dyDescent="0.2">
      <c r="DL678" s="12"/>
      <c r="DM678" s="12"/>
    </row>
    <row r="679" spans="116:117" x14ac:dyDescent="0.2">
      <c r="DL679" s="12"/>
      <c r="DM679" s="12"/>
    </row>
    <row r="680" spans="116:117" x14ac:dyDescent="0.2">
      <c r="DL680" s="12"/>
      <c r="DM680" s="12"/>
    </row>
    <row r="681" spans="116:117" x14ac:dyDescent="0.2">
      <c r="DL681" s="12"/>
      <c r="DM681" s="12"/>
    </row>
    <row r="682" spans="116:117" x14ac:dyDescent="0.2">
      <c r="DL682" s="12"/>
      <c r="DM682" s="12"/>
    </row>
    <row r="683" spans="116:117" x14ac:dyDescent="0.2">
      <c r="DL683" s="12"/>
      <c r="DM683" s="12"/>
    </row>
    <row r="684" spans="116:117" x14ac:dyDescent="0.2">
      <c r="DL684" s="12"/>
      <c r="DM684" s="12"/>
    </row>
    <row r="685" spans="116:117" x14ac:dyDescent="0.2">
      <c r="DL685" s="12"/>
      <c r="DM685" s="12"/>
    </row>
    <row r="686" spans="116:117" x14ac:dyDescent="0.2">
      <c r="DL686" s="12"/>
      <c r="DM686" s="12"/>
    </row>
    <row r="687" spans="116:117" x14ac:dyDescent="0.2">
      <c r="DL687" s="12"/>
      <c r="DM687" s="12"/>
    </row>
    <row r="688" spans="116:117" x14ac:dyDescent="0.2">
      <c r="DL688" s="12"/>
      <c r="DM688" s="12"/>
    </row>
    <row r="689" spans="116:117" x14ac:dyDescent="0.2">
      <c r="DL689" s="12"/>
      <c r="DM689" s="12"/>
    </row>
    <row r="690" spans="116:117" x14ac:dyDescent="0.2">
      <c r="DL690" s="12"/>
      <c r="DM690" s="12"/>
    </row>
    <row r="691" spans="116:117" x14ac:dyDescent="0.2">
      <c r="DL691" s="12"/>
      <c r="DM691" s="12"/>
    </row>
    <row r="692" spans="116:117" x14ac:dyDescent="0.2">
      <c r="DL692" s="12"/>
      <c r="DM692" s="12"/>
    </row>
    <row r="693" spans="116:117" x14ac:dyDescent="0.2">
      <c r="DL693" s="12"/>
      <c r="DM693" s="12"/>
    </row>
    <row r="694" spans="116:117" x14ac:dyDescent="0.2">
      <c r="DL694" s="12"/>
      <c r="DM694" s="12"/>
    </row>
    <row r="695" spans="116:117" x14ac:dyDescent="0.2">
      <c r="DL695" s="12"/>
      <c r="DM695" s="12"/>
    </row>
    <row r="696" spans="116:117" x14ac:dyDescent="0.2">
      <c r="DL696" s="12"/>
      <c r="DM696" s="12"/>
    </row>
    <row r="697" spans="116:117" x14ac:dyDescent="0.2">
      <c r="DL697" s="12"/>
      <c r="DM697" s="12"/>
    </row>
    <row r="698" spans="116:117" x14ac:dyDescent="0.2">
      <c r="DL698" s="12"/>
      <c r="DM698" s="12"/>
    </row>
    <row r="699" spans="116:117" x14ac:dyDescent="0.2">
      <c r="DL699" s="12"/>
      <c r="DM699" s="12"/>
    </row>
    <row r="700" spans="116:117" x14ac:dyDescent="0.2">
      <c r="DL700" s="12"/>
      <c r="DM700" s="12"/>
    </row>
    <row r="701" spans="116:117" x14ac:dyDescent="0.2">
      <c r="DL701" s="12"/>
      <c r="DM701" s="12"/>
    </row>
    <row r="702" spans="116:117" x14ac:dyDescent="0.2">
      <c r="DL702" s="12"/>
      <c r="DM702" s="12"/>
    </row>
    <row r="703" spans="116:117" x14ac:dyDescent="0.2">
      <c r="DL703" s="12"/>
      <c r="DM703" s="12"/>
    </row>
    <row r="704" spans="116:117" x14ac:dyDescent="0.2">
      <c r="DL704" s="12"/>
      <c r="DM704" s="12"/>
    </row>
    <row r="705" spans="116:117" x14ac:dyDescent="0.2">
      <c r="DL705" s="12"/>
      <c r="DM705" s="12"/>
    </row>
    <row r="706" spans="116:117" x14ac:dyDescent="0.2">
      <c r="DL706" s="12"/>
      <c r="DM706" s="12"/>
    </row>
    <row r="707" spans="116:117" x14ac:dyDescent="0.2">
      <c r="DL707" s="12"/>
      <c r="DM707" s="12"/>
    </row>
    <row r="708" spans="116:117" x14ac:dyDescent="0.2">
      <c r="DL708" s="12"/>
      <c r="DM708" s="12"/>
    </row>
    <row r="709" spans="116:117" x14ac:dyDescent="0.2">
      <c r="DL709" s="12"/>
      <c r="DM709" s="12"/>
    </row>
    <row r="710" spans="116:117" x14ac:dyDescent="0.2">
      <c r="DL710" s="12"/>
      <c r="DM710" s="12"/>
    </row>
    <row r="711" spans="116:117" x14ac:dyDescent="0.2">
      <c r="DL711" s="12"/>
      <c r="DM711" s="12"/>
    </row>
    <row r="712" spans="116:117" x14ac:dyDescent="0.2">
      <c r="DL712" s="12"/>
      <c r="DM712" s="12"/>
    </row>
    <row r="713" spans="116:117" x14ac:dyDescent="0.2">
      <c r="DL713" s="12"/>
      <c r="DM713" s="12"/>
    </row>
    <row r="714" spans="116:117" x14ac:dyDescent="0.2">
      <c r="DL714" s="12"/>
      <c r="DM714" s="12"/>
    </row>
    <row r="715" spans="116:117" x14ac:dyDescent="0.2">
      <c r="DL715" s="12"/>
      <c r="DM715" s="12"/>
    </row>
    <row r="716" spans="116:117" x14ac:dyDescent="0.2">
      <c r="DL716" s="12"/>
      <c r="DM716" s="12"/>
    </row>
    <row r="717" spans="116:117" x14ac:dyDescent="0.2">
      <c r="DL717" s="12"/>
      <c r="DM717" s="12"/>
    </row>
    <row r="718" spans="116:117" x14ac:dyDescent="0.2">
      <c r="DL718" s="12"/>
      <c r="DM718" s="12"/>
    </row>
    <row r="719" spans="116:117" x14ac:dyDescent="0.2">
      <c r="DL719" s="12"/>
      <c r="DM719" s="12"/>
    </row>
    <row r="720" spans="116:117" x14ac:dyDescent="0.2">
      <c r="DL720" s="12"/>
      <c r="DM720" s="12"/>
    </row>
    <row r="721" spans="116:117" x14ac:dyDescent="0.2">
      <c r="DL721" s="12"/>
      <c r="DM721" s="12"/>
    </row>
    <row r="722" spans="116:117" x14ac:dyDescent="0.2">
      <c r="DL722" s="12"/>
      <c r="DM722" s="12"/>
    </row>
    <row r="723" spans="116:117" x14ac:dyDescent="0.2">
      <c r="DL723" s="12"/>
      <c r="DM723" s="12"/>
    </row>
    <row r="724" spans="116:117" x14ac:dyDescent="0.2">
      <c r="DL724" s="12"/>
      <c r="DM724" s="12"/>
    </row>
    <row r="725" spans="116:117" x14ac:dyDescent="0.2">
      <c r="DL725" s="12"/>
      <c r="DM725" s="12"/>
    </row>
    <row r="726" spans="116:117" x14ac:dyDescent="0.2">
      <c r="DL726" s="12"/>
      <c r="DM726" s="12"/>
    </row>
    <row r="727" spans="116:117" x14ac:dyDescent="0.2">
      <c r="DL727" s="12"/>
      <c r="DM727" s="12"/>
    </row>
    <row r="728" spans="116:117" x14ac:dyDescent="0.2">
      <c r="DL728" s="12"/>
      <c r="DM728" s="12"/>
    </row>
    <row r="729" spans="116:117" x14ac:dyDescent="0.2">
      <c r="DL729" s="12"/>
      <c r="DM729" s="12"/>
    </row>
    <row r="730" spans="116:117" x14ac:dyDescent="0.2">
      <c r="DL730" s="12"/>
      <c r="DM730" s="12"/>
    </row>
    <row r="731" spans="116:117" x14ac:dyDescent="0.2">
      <c r="DL731" s="12"/>
      <c r="DM731" s="12"/>
    </row>
    <row r="732" spans="116:117" x14ac:dyDescent="0.2">
      <c r="DL732" s="12"/>
      <c r="DM732" s="12"/>
    </row>
    <row r="733" spans="116:117" x14ac:dyDescent="0.2">
      <c r="DL733" s="12"/>
      <c r="DM733" s="12"/>
    </row>
    <row r="734" spans="116:117" x14ac:dyDescent="0.2">
      <c r="DL734" s="12"/>
      <c r="DM734" s="12"/>
    </row>
    <row r="735" spans="116:117" x14ac:dyDescent="0.2">
      <c r="DL735" s="12"/>
      <c r="DM735" s="12"/>
    </row>
    <row r="736" spans="116:117" x14ac:dyDescent="0.2">
      <c r="DL736" s="12"/>
      <c r="DM736" s="12"/>
    </row>
    <row r="737" spans="116:117" x14ac:dyDescent="0.2">
      <c r="DL737" s="12"/>
      <c r="DM737" s="12"/>
    </row>
    <row r="738" spans="116:117" x14ac:dyDescent="0.2">
      <c r="DL738" s="12"/>
      <c r="DM738" s="12"/>
    </row>
    <row r="739" spans="116:117" x14ac:dyDescent="0.2">
      <c r="DL739" s="12"/>
      <c r="DM739" s="12"/>
    </row>
    <row r="740" spans="116:117" x14ac:dyDescent="0.2">
      <c r="DL740" s="12"/>
      <c r="DM740" s="12"/>
    </row>
    <row r="741" spans="116:117" x14ac:dyDescent="0.2">
      <c r="DL741" s="12"/>
      <c r="DM741" s="12"/>
    </row>
    <row r="742" spans="116:117" x14ac:dyDescent="0.2">
      <c r="DL742" s="12"/>
      <c r="DM742" s="12"/>
    </row>
    <row r="743" spans="116:117" x14ac:dyDescent="0.2">
      <c r="DL743" s="12"/>
      <c r="DM743" s="12"/>
    </row>
    <row r="744" spans="116:117" x14ac:dyDescent="0.2">
      <c r="DL744" s="12"/>
      <c r="DM744" s="12"/>
    </row>
    <row r="745" spans="116:117" x14ac:dyDescent="0.2">
      <c r="DL745" s="12"/>
      <c r="DM745" s="12"/>
    </row>
    <row r="746" spans="116:117" x14ac:dyDescent="0.2">
      <c r="DL746" s="12"/>
      <c r="DM746" s="12"/>
    </row>
    <row r="747" spans="116:117" x14ac:dyDescent="0.2">
      <c r="DL747" s="12"/>
      <c r="DM747" s="12"/>
    </row>
    <row r="748" spans="116:117" x14ac:dyDescent="0.2">
      <c r="DL748" s="12"/>
      <c r="DM748" s="12"/>
    </row>
    <row r="749" spans="116:117" x14ac:dyDescent="0.2">
      <c r="DL749" s="12"/>
      <c r="DM749" s="12"/>
    </row>
    <row r="750" spans="116:117" x14ac:dyDescent="0.2">
      <c r="DL750" s="12"/>
      <c r="DM750" s="12"/>
    </row>
    <row r="751" spans="116:117" x14ac:dyDescent="0.2">
      <c r="DL751" s="12"/>
      <c r="DM751" s="12"/>
    </row>
    <row r="752" spans="116:117" x14ac:dyDescent="0.2">
      <c r="DL752" s="12"/>
      <c r="DM752" s="12"/>
    </row>
    <row r="753" spans="116:117" x14ac:dyDescent="0.2">
      <c r="DL753" s="12"/>
      <c r="DM753" s="12"/>
    </row>
    <row r="754" spans="116:117" x14ac:dyDescent="0.2">
      <c r="DL754" s="12"/>
      <c r="DM754" s="12"/>
    </row>
    <row r="755" spans="116:117" x14ac:dyDescent="0.2">
      <c r="DL755" s="12"/>
      <c r="DM755" s="12"/>
    </row>
    <row r="756" spans="116:117" x14ac:dyDescent="0.2">
      <c r="DL756" s="12"/>
      <c r="DM756" s="12"/>
    </row>
    <row r="757" spans="116:117" x14ac:dyDescent="0.2">
      <c r="DL757" s="12"/>
      <c r="DM757" s="12"/>
    </row>
    <row r="758" spans="116:117" x14ac:dyDescent="0.2">
      <c r="DL758" s="12"/>
      <c r="DM758" s="12"/>
    </row>
    <row r="759" spans="116:117" x14ac:dyDescent="0.2">
      <c r="DL759" s="12"/>
      <c r="DM759" s="12"/>
    </row>
    <row r="760" spans="116:117" x14ac:dyDescent="0.2">
      <c r="DL760" s="12"/>
      <c r="DM760" s="12"/>
    </row>
    <row r="761" spans="116:117" x14ac:dyDescent="0.2">
      <c r="DL761" s="12"/>
      <c r="DM761" s="12"/>
    </row>
    <row r="762" spans="116:117" x14ac:dyDescent="0.2">
      <c r="DL762" s="12"/>
      <c r="DM762" s="12"/>
    </row>
    <row r="763" spans="116:117" x14ac:dyDescent="0.2">
      <c r="DL763" s="12"/>
      <c r="DM763" s="12"/>
    </row>
    <row r="764" spans="116:117" x14ac:dyDescent="0.2">
      <c r="DL764" s="12"/>
      <c r="DM764" s="12"/>
    </row>
    <row r="765" spans="116:117" x14ac:dyDescent="0.2">
      <c r="DL765" s="12"/>
      <c r="DM765" s="12"/>
    </row>
    <row r="766" spans="116:117" x14ac:dyDescent="0.2">
      <c r="DL766" s="12"/>
      <c r="DM766" s="12"/>
    </row>
    <row r="767" spans="116:117" x14ac:dyDescent="0.2">
      <c r="DL767" s="12"/>
      <c r="DM767" s="12"/>
    </row>
    <row r="768" spans="116:117" x14ac:dyDescent="0.2">
      <c r="DL768" s="12"/>
      <c r="DM768" s="12"/>
    </row>
    <row r="769" spans="116:117" x14ac:dyDescent="0.2">
      <c r="DL769" s="12"/>
      <c r="DM769" s="12"/>
    </row>
    <row r="770" spans="116:117" x14ac:dyDescent="0.2">
      <c r="DL770" s="12"/>
      <c r="DM770" s="12"/>
    </row>
    <row r="771" spans="116:117" x14ac:dyDescent="0.2">
      <c r="DL771" s="12"/>
      <c r="DM771" s="12"/>
    </row>
    <row r="772" spans="116:117" x14ac:dyDescent="0.2">
      <c r="DL772" s="12"/>
      <c r="DM772" s="12"/>
    </row>
    <row r="773" spans="116:117" x14ac:dyDescent="0.2">
      <c r="DL773" s="12"/>
      <c r="DM773" s="12"/>
    </row>
    <row r="774" spans="116:117" x14ac:dyDescent="0.2">
      <c r="DL774" s="12"/>
      <c r="DM774" s="12"/>
    </row>
    <row r="775" spans="116:117" x14ac:dyDescent="0.2">
      <c r="DL775" s="12"/>
      <c r="DM775" s="12"/>
    </row>
    <row r="776" spans="116:117" x14ac:dyDescent="0.2">
      <c r="DL776" s="12"/>
      <c r="DM776" s="12"/>
    </row>
    <row r="777" spans="116:117" x14ac:dyDescent="0.2">
      <c r="DL777" s="12"/>
      <c r="DM777" s="12"/>
    </row>
    <row r="778" spans="116:117" x14ac:dyDescent="0.2">
      <c r="DL778" s="12"/>
      <c r="DM778" s="12"/>
    </row>
    <row r="779" spans="116:117" x14ac:dyDescent="0.2">
      <c r="DL779" s="12"/>
      <c r="DM779" s="12"/>
    </row>
    <row r="780" spans="116:117" x14ac:dyDescent="0.2">
      <c r="DL780" s="12"/>
      <c r="DM780" s="12"/>
    </row>
    <row r="781" spans="116:117" x14ac:dyDescent="0.2">
      <c r="DL781" s="12"/>
      <c r="DM781" s="12"/>
    </row>
    <row r="782" spans="116:117" x14ac:dyDescent="0.2">
      <c r="DL782" s="12"/>
      <c r="DM782" s="12"/>
    </row>
    <row r="783" spans="116:117" x14ac:dyDescent="0.2">
      <c r="DL783" s="12"/>
      <c r="DM783" s="12"/>
    </row>
    <row r="784" spans="116:117" x14ac:dyDescent="0.2">
      <c r="DL784" s="12"/>
      <c r="DM784" s="12"/>
    </row>
    <row r="785" spans="116:117" x14ac:dyDescent="0.2">
      <c r="DL785" s="12"/>
      <c r="DM785" s="12"/>
    </row>
    <row r="786" spans="116:117" x14ac:dyDescent="0.2">
      <c r="DL786" s="12"/>
      <c r="DM786" s="12"/>
    </row>
    <row r="787" spans="116:117" x14ac:dyDescent="0.2">
      <c r="DL787" s="12"/>
      <c r="DM787" s="12"/>
    </row>
    <row r="788" spans="116:117" x14ac:dyDescent="0.2">
      <c r="DL788" s="12"/>
      <c r="DM788" s="12"/>
    </row>
    <row r="789" spans="116:117" x14ac:dyDescent="0.2">
      <c r="DL789" s="12"/>
      <c r="DM789" s="12"/>
    </row>
    <row r="790" spans="116:117" x14ac:dyDescent="0.2">
      <c r="DL790" s="12"/>
      <c r="DM790" s="12"/>
    </row>
    <row r="791" spans="116:117" x14ac:dyDescent="0.2">
      <c r="DL791" s="12"/>
      <c r="DM791" s="12"/>
    </row>
    <row r="792" spans="116:117" x14ac:dyDescent="0.2">
      <c r="DL792" s="12"/>
      <c r="DM792" s="12"/>
    </row>
    <row r="793" spans="116:117" x14ac:dyDescent="0.2">
      <c r="DL793" s="12"/>
      <c r="DM793" s="12"/>
    </row>
    <row r="794" spans="116:117" x14ac:dyDescent="0.2">
      <c r="DL794" s="12"/>
      <c r="DM794" s="12"/>
    </row>
    <row r="795" spans="116:117" x14ac:dyDescent="0.2">
      <c r="DL795" s="12"/>
      <c r="DM795" s="12"/>
    </row>
    <row r="796" spans="116:117" x14ac:dyDescent="0.2">
      <c r="DL796" s="12"/>
      <c r="DM796" s="12"/>
    </row>
    <row r="797" spans="116:117" x14ac:dyDescent="0.2">
      <c r="DL797" s="12"/>
      <c r="DM797" s="12"/>
    </row>
    <row r="798" spans="116:117" x14ac:dyDescent="0.2">
      <c r="DL798" s="12"/>
      <c r="DM798" s="12"/>
    </row>
    <row r="799" spans="116:117" x14ac:dyDescent="0.2">
      <c r="DL799" s="12"/>
      <c r="DM799" s="12"/>
    </row>
    <row r="800" spans="116:117" x14ac:dyDescent="0.2">
      <c r="DL800" s="12"/>
      <c r="DM800" s="12"/>
    </row>
    <row r="801" spans="116:117" x14ac:dyDescent="0.2">
      <c r="DL801" s="12"/>
      <c r="DM801" s="12"/>
    </row>
    <row r="802" spans="116:117" x14ac:dyDescent="0.2">
      <c r="DL802" s="12"/>
      <c r="DM802" s="12"/>
    </row>
    <row r="803" spans="116:117" x14ac:dyDescent="0.2">
      <c r="DL803" s="12"/>
      <c r="DM803" s="12"/>
    </row>
    <row r="804" spans="116:117" x14ac:dyDescent="0.2">
      <c r="DL804" s="12"/>
      <c r="DM804" s="12"/>
    </row>
    <row r="805" spans="116:117" x14ac:dyDescent="0.2">
      <c r="DL805" s="12"/>
      <c r="DM805" s="12"/>
    </row>
    <row r="806" spans="116:117" x14ac:dyDescent="0.2">
      <c r="DL806" s="12"/>
      <c r="DM806" s="12"/>
    </row>
    <row r="807" spans="116:117" x14ac:dyDescent="0.2">
      <c r="DL807" s="12"/>
      <c r="DM807" s="12"/>
    </row>
    <row r="808" spans="116:117" x14ac:dyDescent="0.2">
      <c r="DL808" s="12"/>
      <c r="DM808" s="12"/>
    </row>
    <row r="809" spans="116:117" x14ac:dyDescent="0.2">
      <c r="DL809" s="12"/>
      <c r="DM809" s="12"/>
    </row>
    <row r="810" spans="116:117" x14ac:dyDescent="0.2">
      <c r="DL810" s="12"/>
      <c r="DM810" s="12"/>
    </row>
    <row r="811" spans="116:117" x14ac:dyDescent="0.2">
      <c r="DL811" s="12"/>
      <c r="DM811" s="12"/>
    </row>
    <row r="812" spans="116:117" x14ac:dyDescent="0.2">
      <c r="DL812" s="12"/>
      <c r="DM812" s="12"/>
    </row>
    <row r="813" spans="116:117" x14ac:dyDescent="0.2">
      <c r="DL813" s="12"/>
      <c r="DM813" s="12"/>
    </row>
    <row r="814" spans="116:117" x14ac:dyDescent="0.2">
      <c r="DL814" s="12"/>
      <c r="DM814" s="12"/>
    </row>
    <row r="815" spans="116:117" x14ac:dyDescent="0.2">
      <c r="DL815" s="12"/>
      <c r="DM815" s="12"/>
    </row>
    <row r="816" spans="116:117" x14ac:dyDescent="0.2">
      <c r="DL816" s="12"/>
      <c r="DM816" s="12"/>
    </row>
    <row r="817" spans="116:117" x14ac:dyDescent="0.2">
      <c r="DL817" s="12"/>
      <c r="DM817" s="12"/>
    </row>
    <row r="818" spans="116:117" x14ac:dyDescent="0.2">
      <c r="DL818" s="12"/>
      <c r="DM818" s="12"/>
    </row>
    <row r="819" spans="116:117" x14ac:dyDescent="0.2">
      <c r="DL819" s="12"/>
      <c r="DM819" s="12"/>
    </row>
    <row r="820" spans="116:117" x14ac:dyDescent="0.2">
      <c r="DL820" s="12"/>
      <c r="DM820" s="12"/>
    </row>
    <row r="821" spans="116:117" x14ac:dyDescent="0.2">
      <c r="DL821" s="12"/>
      <c r="DM821" s="12"/>
    </row>
    <row r="822" spans="116:117" x14ac:dyDescent="0.2">
      <c r="DL822" s="12"/>
      <c r="DM822" s="12"/>
    </row>
    <row r="823" spans="116:117" x14ac:dyDescent="0.2">
      <c r="DL823" s="12"/>
      <c r="DM823" s="12"/>
    </row>
    <row r="824" spans="116:117" x14ac:dyDescent="0.2">
      <c r="DL824" s="12"/>
      <c r="DM824" s="12"/>
    </row>
    <row r="825" spans="116:117" x14ac:dyDescent="0.2">
      <c r="DL825" s="12"/>
      <c r="DM825" s="12"/>
    </row>
    <row r="826" spans="116:117" x14ac:dyDescent="0.2">
      <c r="DL826" s="12"/>
      <c r="DM826" s="12"/>
    </row>
    <row r="827" spans="116:117" x14ac:dyDescent="0.2">
      <c r="DL827" s="12"/>
      <c r="DM827" s="12"/>
    </row>
    <row r="828" spans="116:117" x14ac:dyDescent="0.2">
      <c r="DL828" s="12"/>
      <c r="DM828" s="12"/>
    </row>
    <row r="829" spans="116:117" x14ac:dyDescent="0.2">
      <c r="DL829" s="12"/>
      <c r="DM829" s="12"/>
    </row>
    <row r="830" spans="116:117" x14ac:dyDescent="0.2">
      <c r="DL830" s="12"/>
      <c r="DM830" s="12"/>
    </row>
    <row r="831" spans="116:117" x14ac:dyDescent="0.2">
      <c r="DL831" s="12"/>
      <c r="DM831" s="12"/>
    </row>
    <row r="832" spans="116:117" x14ac:dyDescent="0.2">
      <c r="DL832" s="12"/>
      <c r="DM832" s="12"/>
    </row>
    <row r="833" spans="116:117" x14ac:dyDescent="0.2">
      <c r="DL833" s="12"/>
      <c r="DM833" s="12"/>
    </row>
    <row r="834" spans="116:117" x14ac:dyDescent="0.2">
      <c r="DL834" s="12"/>
      <c r="DM834" s="12"/>
    </row>
    <row r="835" spans="116:117" x14ac:dyDescent="0.2">
      <c r="DL835" s="12"/>
      <c r="DM835" s="12"/>
    </row>
    <row r="836" spans="116:117" x14ac:dyDescent="0.2">
      <c r="DL836" s="12"/>
      <c r="DM836" s="12"/>
    </row>
    <row r="837" spans="116:117" x14ac:dyDescent="0.2">
      <c r="DL837" s="12"/>
      <c r="DM837" s="12"/>
    </row>
    <row r="838" spans="116:117" x14ac:dyDescent="0.2">
      <c r="DL838" s="12"/>
      <c r="DM838" s="12"/>
    </row>
    <row r="839" spans="116:117" x14ac:dyDescent="0.2">
      <c r="DL839" s="12"/>
      <c r="DM839" s="12"/>
    </row>
    <row r="840" spans="116:117" x14ac:dyDescent="0.2">
      <c r="DL840" s="12"/>
      <c r="DM840" s="12"/>
    </row>
    <row r="841" spans="116:117" x14ac:dyDescent="0.2">
      <c r="DL841" s="12"/>
      <c r="DM841" s="12"/>
    </row>
    <row r="842" spans="116:117" x14ac:dyDescent="0.2">
      <c r="DL842" s="12"/>
      <c r="DM842" s="12"/>
    </row>
    <row r="843" spans="116:117" x14ac:dyDescent="0.2">
      <c r="DL843" s="12"/>
      <c r="DM843" s="12"/>
    </row>
    <row r="844" spans="116:117" x14ac:dyDescent="0.2">
      <c r="DL844" s="12"/>
      <c r="DM844" s="12"/>
    </row>
    <row r="845" spans="116:117" x14ac:dyDescent="0.2">
      <c r="DL845" s="12"/>
      <c r="DM845" s="12"/>
    </row>
    <row r="846" spans="116:117" x14ac:dyDescent="0.2">
      <c r="DL846" s="12"/>
      <c r="DM846" s="12"/>
    </row>
    <row r="847" spans="116:117" x14ac:dyDescent="0.2">
      <c r="DL847" s="12"/>
      <c r="DM847" s="12"/>
    </row>
    <row r="848" spans="116:117" x14ac:dyDescent="0.2">
      <c r="DL848" s="12"/>
      <c r="DM848" s="12"/>
    </row>
    <row r="849" spans="116:117" x14ac:dyDescent="0.2">
      <c r="DL849" s="12"/>
      <c r="DM849" s="12"/>
    </row>
    <row r="850" spans="116:117" x14ac:dyDescent="0.2">
      <c r="DL850" s="12"/>
      <c r="DM850" s="12"/>
    </row>
    <row r="851" spans="116:117" x14ac:dyDescent="0.2">
      <c r="DL851" s="12"/>
      <c r="DM851" s="12"/>
    </row>
    <row r="852" spans="116:117" x14ac:dyDescent="0.2">
      <c r="DL852" s="12"/>
      <c r="DM852" s="12"/>
    </row>
    <row r="853" spans="116:117" x14ac:dyDescent="0.2">
      <c r="DL853" s="12"/>
      <c r="DM853" s="12"/>
    </row>
    <row r="854" spans="116:117" x14ac:dyDescent="0.2">
      <c r="DL854" s="12"/>
      <c r="DM854" s="12"/>
    </row>
    <row r="855" spans="116:117" x14ac:dyDescent="0.2">
      <c r="DL855" s="12"/>
      <c r="DM855" s="12"/>
    </row>
    <row r="856" spans="116:117" x14ac:dyDescent="0.2">
      <c r="DL856" s="12"/>
      <c r="DM856" s="12"/>
    </row>
    <row r="857" spans="116:117" x14ac:dyDescent="0.2">
      <c r="DL857" s="12"/>
      <c r="DM857" s="12"/>
    </row>
    <row r="858" spans="116:117" x14ac:dyDescent="0.2">
      <c r="DL858" s="12"/>
      <c r="DM858" s="12"/>
    </row>
    <row r="859" spans="116:117" x14ac:dyDescent="0.2">
      <c r="DL859" s="12"/>
      <c r="DM859" s="12"/>
    </row>
    <row r="860" spans="116:117" x14ac:dyDescent="0.2">
      <c r="DL860" s="12"/>
      <c r="DM860" s="12"/>
    </row>
    <row r="861" spans="116:117" x14ac:dyDescent="0.2">
      <c r="DL861" s="12"/>
      <c r="DM861" s="12"/>
    </row>
    <row r="862" spans="116:117" x14ac:dyDescent="0.2">
      <c r="DL862" s="12"/>
      <c r="DM862" s="12"/>
    </row>
    <row r="863" spans="116:117" x14ac:dyDescent="0.2">
      <c r="DL863" s="12"/>
      <c r="DM863" s="12"/>
    </row>
    <row r="864" spans="116:117" x14ac:dyDescent="0.2">
      <c r="DL864" s="12"/>
      <c r="DM864" s="12"/>
    </row>
    <row r="865" spans="116:117" x14ac:dyDescent="0.2">
      <c r="DL865" s="12"/>
      <c r="DM865" s="12"/>
    </row>
    <row r="866" spans="116:117" x14ac:dyDescent="0.2">
      <c r="DL866" s="12"/>
      <c r="DM866" s="12"/>
    </row>
    <row r="867" spans="116:117" x14ac:dyDescent="0.2">
      <c r="DL867" s="12"/>
      <c r="DM867" s="12"/>
    </row>
    <row r="868" spans="116:117" x14ac:dyDescent="0.2">
      <c r="DL868" s="12"/>
      <c r="DM868" s="12"/>
    </row>
    <row r="869" spans="116:117" x14ac:dyDescent="0.2">
      <c r="DL869" s="12"/>
      <c r="DM869" s="12"/>
    </row>
    <row r="870" spans="116:117" x14ac:dyDescent="0.2">
      <c r="DL870" s="12"/>
      <c r="DM870" s="12"/>
    </row>
    <row r="871" spans="116:117" x14ac:dyDescent="0.2">
      <c r="DL871" s="12"/>
      <c r="DM871" s="12"/>
    </row>
    <row r="872" spans="116:117" x14ac:dyDescent="0.2">
      <c r="DL872" s="12"/>
      <c r="DM872" s="12"/>
    </row>
    <row r="873" spans="116:117" x14ac:dyDescent="0.2">
      <c r="DL873" s="12"/>
      <c r="DM873" s="12"/>
    </row>
    <row r="874" spans="116:117" x14ac:dyDescent="0.2">
      <c r="DL874" s="12"/>
      <c r="DM874" s="12"/>
    </row>
    <row r="875" spans="116:117" x14ac:dyDescent="0.2">
      <c r="DL875" s="12"/>
      <c r="DM875" s="12"/>
    </row>
    <row r="876" spans="116:117" x14ac:dyDescent="0.2">
      <c r="DL876" s="12"/>
      <c r="DM876" s="12"/>
    </row>
    <row r="877" spans="116:117" x14ac:dyDescent="0.2">
      <c r="DL877" s="12"/>
      <c r="DM877" s="12"/>
    </row>
    <row r="878" spans="116:117" x14ac:dyDescent="0.2">
      <c r="DL878" s="12"/>
      <c r="DM878" s="12"/>
    </row>
    <row r="879" spans="116:117" x14ac:dyDescent="0.2">
      <c r="DL879" s="12"/>
      <c r="DM879" s="12"/>
    </row>
    <row r="880" spans="116:117" x14ac:dyDescent="0.2">
      <c r="DL880" s="12"/>
      <c r="DM880" s="12"/>
    </row>
    <row r="881" spans="116:117" x14ac:dyDescent="0.2">
      <c r="DL881" s="12"/>
      <c r="DM881" s="12"/>
    </row>
    <row r="882" spans="116:117" x14ac:dyDescent="0.2">
      <c r="DL882" s="12"/>
      <c r="DM882" s="12"/>
    </row>
    <row r="883" spans="116:117" x14ac:dyDescent="0.2">
      <c r="DL883" s="12"/>
      <c r="DM883" s="12"/>
    </row>
    <row r="884" spans="116:117" x14ac:dyDescent="0.2">
      <c r="DL884" s="12"/>
      <c r="DM884" s="12"/>
    </row>
    <row r="885" spans="116:117" x14ac:dyDescent="0.2">
      <c r="DL885" s="12"/>
      <c r="DM885" s="12"/>
    </row>
    <row r="886" spans="116:117" x14ac:dyDescent="0.2">
      <c r="DL886" s="12"/>
      <c r="DM886" s="12"/>
    </row>
    <row r="887" spans="116:117" x14ac:dyDescent="0.2">
      <c r="DL887" s="12"/>
      <c r="DM887" s="12"/>
    </row>
    <row r="888" spans="116:117" x14ac:dyDescent="0.2">
      <c r="DL888" s="12"/>
      <c r="DM888" s="12"/>
    </row>
    <row r="889" spans="116:117" x14ac:dyDescent="0.2">
      <c r="DL889" s="12"/>
      <c r="DM889" s="12"/>
    </row>
    <row r="890" spans="116:117" x14ac:dyDescent="0.2">
      <c r="DL890" s="12"/>
      <c r="DM890" s="12"/>
    </row>
    <row r="891" spans="116:117" x14ac:dyDescent="0.2">
      <c r="DL891" s="12"/>
      <c r="DM891" s="12"/>
    </row>
    <row r="892" spans="116:117" x14ac:dyDescent="0.2">
      <c r="DL892" s="12"/>
      <c r="DM892" s="12"/>
    </row>
    <row r="893" spans="116:117" x14ac:dyDescent="0.2">
      <c r="DL893" s="12"/>
      <c r="DM893" s="12"/>
    </row>
    <row r="894" spans="116:117" x14ac:dyDescent="0.2">
      <c r="DL894" s="12"/>
      <c r="DM894" s="12"/>
    </row>
    <row r="895" spans="116:117" x14ac:dyDescent="0.2">
      <c r="DL895" s="12"/>
      <c r="DM895" s="12"/>
    </row>
    <row r="896" spans="116:117" x14ac:dyDescent="0.2">
      <c r="DL896" s="12"/>
      <c r="DM896" s="12"/>
    </row>
    <row r="897" spans="116:117" x14ac:dyDescent="0.2">
      <c r="DL897" s="12"/>
      <c r="DM897" s="12"/>
    </row>
    <row r="898" spans="116:117" x14ac:dyDescent="0.2">
      <c r="DL898" s="12"/>
      <c r="DM898" s="12"/>
    </row>
    <row r="899" spans="116:117" x14ac:dyDescent="0.2">
      <c r="DL899" s="12"/>
      <c r="DM899" s="12"/>
    </row>
    <row r="900" spans="116:117" x14ac:dyDescent="0.2">
      <c r="DL900" s="12"/>
      <c r="DM900" s="12"/>
    </row>
    <row r="901" spans="116:117" x14ac:dyDescent="0.2">
      <c r="DL901" s="12"/>
      <c r="DM901" s="12"/>
    </row>
    <row r="902" spans="116:117" x14ac:dyDescent="0.2">
      <c r="DL902" s="12"/>
      <c r="DM902" s="12"/>
    </row>
    <row r="903" spans="116:117" x14ac:dyDescent="0.2">
      <c r="DL903" s="12"/>
      <c r="DM903" s="12"/>
    </row>
    <row r="904" spans="116:117" x14ac:dyDescent="0.2">
      <c r="DL904" s="12"/>
      <c r="DM904" s="12"/>
    </row>
    <row r="905" spans="116:117" x14ac:dyDescent="0.2">
      <c r="DL905" s="12"/>
      <c r="DM905" s="12"/>
    </row>
    <row r="906" spans="116:117" x14ac:dyDescent="0.2">
      <c r="DL906" s="12"/>
      <c r="DM906" s="12"/>
    </row>
    <row r="907" spans="116:117" x14ac:dyDescent="0.2">
      <c r="DL907" s="12"/>
      <c r="DM907" s="12"/>
    </row>
    <row r="908" spans="116:117" x14ac:dyDescent="0.2">
      <c r="DL908" s="12"/>
      <c r="DM908" s="12"/>
    </row>
    <row r="909" spans="116:117" x14ac:dyDescent="0.2">
      <c r="DL909" s="12"/>
      <c r="DM909" s="12"/>
    </row>
    <row r="910" spans="116:117" x14ac:dyDescent="0.2">
      <c r="DL910" s="12"/>
      <c r="DM910" s="12"/>
    </row>
    <row r="911" spans="116:117" x14ac:dyDescent="0.2">
      <c r="DL911" s="12"/>
      <c r="DM911" s="12"/>
    </row>
    <row r="912" spans="116:117" x14ac:dyDescent="0.2">
      <c r="DL912" s="12"/>
      <c r="DM912" s="12"/>
    </row>
    <row r="913" spans="116:117" x14ac:dyDescent="0.2">
      <c r="DL913" s="12"/>
      <c r="DM913" s="12"/>
    </row>
    <row r="914" spans="116:117" x14ac:dyDescent="0.2">
      <c r="DL914" s="12"/>
      <c r="DM914" s="12"/>
    </row>
    <row r="915" spans="116:117" x14ac:dyDescent="0.2">
      <c r="DL915" s="12"/>
      <c r="DM915" s="12"/>
    </row>
    <row r="916" spans="116:117" x14ac:dyDescent="0.2">
      <c r="DL916" s="12"/>
      <c r="DM916" s="12"/>
    </row>
    <row r="917" spans="116:117" x14ac:dyDescent="0.2">
      <c r="DL917" s="12"/>
      <c r="DM917" s="12"/>
    </row>
    <row r="918" spans="116:117" x14ac:dyDescent="0.2">
      <c r="DL918" s="12"/>
      <c r="DM918" s="12"/>
    </row>
    <row r="919" spans="116:117" x14ac:dyDescent="0.2">
      <c r="DL919" s="12"/>
      <c r="DM919" s="12"/>
    </row>
    <row r="920" spans="116:117" x14ac:dyDescent="0.2">
      <c r="DL920" s="12"/>
      <c r="DM920" s="12"/>
    </row>
    <row r="921" spans="116:117" x14ac:dyDescent="0.2">
      <c r="DL921" s="12"/>
      <c r="DM921" s="12"/>
    </row>
    <row r="922" spans="116:117" x14ac:dyDescent="0.2">
      <c r="DL922" s="12"/>
      <c r="DM922" s="12"/>
    </row>
    <row r="923" spans="116:117" x14ac:dyDescent="0.2">
      <c r="DL923" s="12"/>
      <c r="DM923" s="12"/>
    </row>
    <row r="924" spans="116:117" x14ac:dyDescent="0.2">
      <c r="DL924" s="12"/>
      <c r="DM924" s="12"/>
    </row>
    <row r="925" spans="116:117" x14ac:dyDescent="0.2">
      <c r="DL925" s="12"/>
      <c r="DM925" s="12"/>
    </row>
    <row r="926" spans="116:117" x14ac:dyDescent="0.2">
      <c r="DL926" s="12"/>
      <c r="DM926" s="12"/>
    </row>
    <row r="927" spans="116:117" x14ac:dyDescent="0.2">
      <c r="DL927" s="12"/>
      <c r="DM927" s="12"/>
    </row>
    <row r="928" spans="116:117" x14ac:dyDescent="0.2">
      <c r="DL928" s="12"/>
      <c r="DM928" s="12"/>
    </row>
    <row r="929" spans="116:117" x14ac:dyDescent="0.2">
      <c r="DL929" s="12"/>
      <c r="DM929" s="12"/>
    </row>
    <row r="930" spans="116:117" x14ac:dyDescent="0.2">
      <c r="DL930" s="12"/>
      <c r="DM930" s="12"/>
    </row>
    <row r="931" spans="116:117" x14ac:dyDescent="0.2">
      <c r="DL931" s="12"/>
      <c r="DM931" s="12"/>
    </row>
    <row r="932" spans="116:117" x14ac:dyDescent="0.2">
      <c r="DL932" s="12"/>
      <c r="DM932" s="12"/>
    </row>
    <row r="933" spans="116:117" x14ac:dyDescent="0.2">
      <c r="DL933" s="12"/>
      <c r="DM933" s="12"/>
    </row>
    <row r="934" spans="116:117" x14ac:dyDescent="0.2">
      <c r="DL934" s="12"/>
      <c r="DM934" s="12"/>
    </row>
    <row r="935" spans="116:117" x14ac:dyDescent="0.2">
      <c r="DL935" s="12"/>
      <c r="DM935" s="12"/>
    </row>
    <row r="936" spans="116:117" x14ac:dyDescent="0.2">
      <c r="DL936" s="12"/>
      <c r="DM936" s="12"/>
    </row>
    <row r="937" spans="116:117" x14ac:dyDescent="0.2">
      <c r="DL937" s="12"/>
      <c r="DM937" s="12"/>
    </row>
    <row r="938" spans="116:117" x14ac:dyDescent="0.2">
      <c r="DL938" s="12"/>
      <c r="DM938" s="12"/>
    </row>
    <row r="939" spans="116:117" x14ac:dyDescent="0.2">
      <c r="DL939" s="12"/>
      <c r="DM939" s="12"/>
    </row>
    <row r="940" spans="116:117" x14ac:dyDescent="0.2">
      <c r="DL940" s="12"/>
      <c r="DM940" s="12"/>
    </row>
    <row r="941" spans="116:117" x14ac:dyDescent="0.2">
      <c r="DL941" s="12"/>
      <c r="DM941" s="12"/>
    </row>
    <row r="942" spans="116:117" x14ac:dyDescent="0.2">
      <c r="DL942" s="12"/>
      <c r="DM942" s="12"/>
    </row>
    <row r="943" spans="116:117" x14ac:dyDescent="0.2">
      <c r="DL943" s="12"/>
      <c r="DM943" s="12"/>
    </row>
    <row r="944" spans="116:117" x14ac:dyDescent="0.2">
      <c r="DL944" s="12"/>
      <c r="DM944" s="12"/>
    </row>
    <row r="945" spans="116:117" x14ac:dyDescent="0.2">
      <c r="DL945" s="12"/>
      <c r="DM945" s="12"/>
    </row>
    <row r="946" spans="116:117" x14ac:dyDescent="0.2">
      <c r="DL946" s="12"/>
      <c r="DM946" s="12"/>
    </row>
    <row r="947" spans="116:117" x14ac:dyDescent="0.2">
      <c r="DL947" s="12"/>
      <c r="DM947" s="12"/>
    </row>
    <row r="948" spans="116:117" x14ac:dyDescent="0.2">
      <c r="DL948" s="12"/>
      <c r="DM948" s="12"/>
    </row>
    <row r="949" spans="116:117" x14ac:dyDescent="0.2">
      <c r="DL949" s="12"/>
      <c r="DM949" s="12"/>
    </row>
    <row r="950" spans="116:117" x14ac:dyDescent="0.2">
      <c r="DL950" s="12"/>
      <c r="DM950" s="12"/>
    </row>
    <row r="951" spans="116:117" x14ac:dyDescent="0.2">
      <c r="DL951" s="12"/>
      <c r="DM951" s="12"/>
    </row>
    <row r="952" spans="116:117" x14ac:dyDescent="0.2">
      <c r="DL952" s="12"/>
      <c r="DM952" s="12"/>
    </row>
    <row r="953" spans="116:117" x14ac:dyDescent="0.2">
      <c r="DL953" s="12"/>
      <c r="DM953" s="12"/>
    </row>
    <row r="954" spans="116:117" x14ac:dyDescent="0.2">
      <c r="DL954" s="12"/>
      <c r="DM954" s="12"/>
    </row>
    <row r="955" spans="116:117" x14ac:dyDescent="0.2">
      <c r="DL955" s="12"/>
      <c r="DM955" s="12"/>
    </row>
    <row r="956" spans="116:117" x14ac:dyDescent="0.2">
      <c r="DL956" s="12"/>
      <c r="DM956" s="12"/>
    </row>
    <row r="957" spans="116:117" x14ac:dyDescent="0.2">
      <c r="DL957" s="12"/>
      <c r="DM957" s="12"/>
    </row>
    <row r="958" spans="116:117" x14ac:dyDescent="0.2">
      <c r="DL958" s="12"/>
      <c r="DM958" s="12"/>
    </row>
    <row r="959" spans="116:117" x14ac:dyDescent="0.2">
      <c r="DL959" s="12"/>
      <c r="DM959" s="12"/>
    </row>
    <row r="960" spans="116:117" x14ac:dyDescent="0.2">
      <c r="DL960" s="12"/>
      <c r="DM960" s="12"/>
    </row>
    <row r="961" spans="116:117" x14ac:dyDescent="0.2">
      <c r="DL961" s="12"/>
      <c r="DM961" s="12"/>
    </row>
    <row r="962" spans="116:117" x14ac:dyDescent="0.2">
      <c r="DL962" s="12"/>
      <c r="DM962" s="12"/>
    </row>
    <row r="963" spans="116:117" x14ac:dyDescent="0.2">
      <c r="DL963" s="12"/>
      <c r="DM963" s="12"/>
    </row>
    <row r="964" spans="116:117" x14ac:dyDescent="0.2">
      <c r="DL964" s="12"/>
      <c r="DM964" s="12"/>
    </row>
    <row r="965" spans="116:117" x14ac:dyDescent="0.2">
      <c r="DL965" s="12"/>
      <c r="DM965" s="12"/>
    </row>
    <row r="966" spans="116:117" x14ac:dyDescent="0.2">
      <c r="DL966" s="12"/>
      <c r="DM966" s="12"/>
    </row>
    <row r="967" spans="116:117" x14ac:dyDescent="0.2">
      <c r="DL967" s="12"/>
      <c r="DM967" s="12"/>
    </row>
    <row r="968" spans="116:117" x14ac:dyDescent="0.2">
      <c r="DL968" s="12"/>
      <c r="DM968" s="12"/>
    </row>
    <row r="969" spans="116:117" x14ac:dyDescent="0.2">
      <c r="DL969" s="12"/>
      <c r="DM969" s="12"/>
    </row>
    <row r="970" spans="116:117" x14ac:dyDescent="0.2">
      <c r="DL970" s="12"/>
      <c r="DM970" s="12"/>
    </row>
    <row r="971" spans="116:117" x14ac:dyDescent="0.2">
      <c r="DL971" s="12"/>
      <c r="DM971" s="12"/>
    </row>
    <row r="972" spans="116:117" x14ac:dyDescent="0.2">
      <c r="DL972" s="12"/>
      <c r="DM972" s="12"/>
    </row>
    <row r="973" spans="116:117" x14ac:dyDescent="0.2">
      <c r="DL973" s="12"/>
      <c r="DM973" s="12"/>
    </row>
    <row r="974" spans="116:117" x14ac:dyDescent="0.2">
      <c r="DL974" s="12"/>
      <c r="DM974" s="12"/>
    </row>
    <row r="975" spans="116:117" x14ac:dyDescent="0.2">
      <c r="DL975" s="12"/>
      <c r="DM975" s="12"/>
    </row>
    <row r="976" spans="116:117" x14ac:dyDescent="0.2">
      <c r="DL976" s="12"/>
      <c r="DM976" s="12"/>
    </row>
    <row r="977" spans="116:117" x14ac:dyDescent="0.2">
      <c r="DL977" s="12"/>
      <c r="DM977" s="12"/>
    </row>
    <row r="978" spans="116:117" x14ac:dyDescent="0.2">
      <c r="DL978" s="12"/>
      <c r="DM978" s="12"/>
    </row>
    <row r="979" spans="116:117" x14ac:dyDescent="0.2">
      <c r="DL979" s="12"/>
      <c r="DM979" s="12"/>
    </row>
    <row r="980" spans="116:117" x14ac:dyDescent="0.2">
      <c r="DL980" s="12"/>
      <c r="DM980" s="12"/>
    </row>
    <row r="981" spans="116:117" x14ac:dyDescent="0.2">
      <c r="DL981" s="12"/>
      <c r="DM981" s="12"/>
    </row>
    <row r="982" spans="116:117" x14ac:dyDescent="0.2">
      <c r="DL982" s="12"/>
      <c r="DM982" s="12"/>
    </row>
    <row r="983" spans="116:117" x14ac:dyDescent="0.2">
      <c r="DL983" s="12"/>
      <c r="DM983" s="12"/>
    </row>
    <row r="984" spans="116:117" x14ac:dyDescent="0.2">
      <c r="DL984" s="12"/>
      <c r="DM984" s="12"/>
    </row>
    <row r="985" spans="116:117" x14ac:dyDescent="0.2">
      <c r="DL985" s="12"/>
      <c r="DM985" s="12"/>
    </row>
    <row r="986" spans="116:117" x14ac:dyDescent="0.2">
      <c r="DL986" s="12"/>
      <c r="DM986" s="12"/>
    </row>
    <row r="987" spans="116:117" x14ac:dyDescent="0.2">
      <c r="DL987" s="12"/>
      <c r="DM987" s="12"/>
    </row>
    <row r="988" spans="116:117" x14ac:dyDescent="0.2">
      <c r="DL988" s="12"/>
      <c r="DM988" s="12"/>
    </row>
    <row r="989" spans="116:117" x14ac:dyDescent="0.2">
      <c r="DL989" s="12"/>
      <c r="DM989" s="12"/>
    </row>
    <row r="990" spans="116:117" x14ac:dyDescent="0.2">
      <c r="DL990" s="12"/>
      <c r="DM990" s="12"/>
    </row>
    <row r="991" spans="116:117" x14ac:dyDescent="0.2">
      <c r="DL991" s="12"/>
      <c r="DM991" s="12"/>
    </row>
    <row r="992" spans="116:117" x14ac:dyDescent="0.2">
      <c r="DL992" s="12"/>
      <c r="DM992" s="12"/>
    </row>
    <row r="993" spans="116:117" x14ac:dyDescent="0.2">
      <c r="DL993" s="12"/>
      <c r="DM993" s="12"/>
    </row>
    <row r="994" spans="116:117" x14ac:dyDescent="0.2">
      <c r="DL994" s="12"/>
      <c r="DM994" s="12"/>
    </row>
    <row r="995" spans="116:117" x14ac:dyDescent="0.2">
      <c r="DL995" s="12"/>
      <c r="DM995" s="12"/>
    </row>
    <row r="996" spans="116:117" x14ac:dyDescent="0.2">
      <c r="DL996" s="12"/>
      <c r="DM996" s="12"/>
    </row>
    <row r="997" spans="116:117" x14ac:dyDescent="0.2">
      <c r="DL997" s="12"/>
      <c r="DM997" s="12"/>
    </row>
    <row r="998" spans="116:117" x14ac:dyDescent="0.2">
      <c r="DL998" s="12"/>
      <c r="DM998" s="12"/>
    </row>
    <row r="999" spans="116:117" x14ac:dyDescent="0.2">
      <c r="DL999" s="12"/>
      <c r="DM999" s="12"/>
    </row>
    <row r="1000" spans="116:117" x14ac:dyDescent="0.2">
      <c r="DL1000" s="12"/>
      <c r="DM1000" s="12"/>
    </row>
    <row r="1001" spans="116:117" x14ac:dyDescent="0.2">
      <c r="DL1001" s="12"/>
      <c r="DM1001" s="12"/>
    </row>
    <row r="1002" spans="116:117" x14ac:dyDescent="0.2">
      <c r="DL1002" s="12"/>
      <c r="DM1002" s="12"/>
    </row>
    <row r="1003" spans="116:117" x14ac:dyDescent="0.2">
      <c r="DL1003" s="12"/>
      <c r="DM1003" s="12"/>
    </row>
    <row r="1004" spans="116:117" x14ac:dyDescent="0.2">
      <c r="DL1004" s="12"/>
      <c r="DM1004" s="12"/>
    </row>
    <row r="1005" spans="116:117" x14ac:dyDescent="0.2">
      <c r="DL1005" s="12"/>
      <c r="DM1005" s="12"/>
    </row>
    <row r="1006" spans="116:117" x14ac:dyDescent="0.2">
      <c r="DL1006" s="12"/>
      <c r="DM1006" s="12"/>
    </row>
    <row r="1007" spans="116:117" x14ac:dyDescent="0.2">
      <c r="DL1007" s="12"/>
      <c r="DM1007" s="12"/>
    </row>
    <row r="1008" spans="116:117" x14ac:dyDescent="0.2">
      <c r="DL1008" s="12"/>
      <c r="DM1008" s="12"/>
    </row>
    <row r="1009" spans="116:117" x14ac:dyDescent="0.2">
      <c r="DL1009" s="12"/>
      <c r="DM1009" s="12"/>
    </row>
    <row r="1010" spans="116:117" x14ac:dyDescent="0.2">
      <c r="DL1010" s="12"/>
      <c r="DM1010" s="12"/>
    </row>
    <row r="1011" spans="116:117" x14ac:dyDescent="0.2">
      <c r="DL1011" s="12"/>
      <c r="DM1011" s="12"/>
    </row>
    <row r="1012" spans="116:117" x14ac:dyDescent="0.2">
      <c r="DL1012" s="12"/>
      <c r="DM1012" s="12"/>
    </row>
    <row r="1013" spans="116:117" x14ac:dyDescent="0.2">
      <c r="DL1013" s="12"/>
      <c r="DM1013" s="12"/>
    </row>
    <row r="1014" spans="116:117" x14ac:dyDescent="0.2">
      <c r="DL1014" s="12"/>
      <c r="DM1014" s="12"/>
    </row>
    <row r="1015" spans="116:117" x14ac:dyDescent="0.2">
      <c r="DL1015" s="12"/>
      <c r="DM1015" s="12"/>
    </row>
    <row r="1016" spans="116:117" x14ac:dyDescent="0.2">
      <c r="DL1016" s="12"/>
      <c r="DM1016" s="12"/>
    </row>
    <row r="1017" spans="116:117" x14ac:dyDescent="0.2">
      <c r="DL1017" s="12"/>
      <c r="DM1017" s="12"/>
    </row>
    <row r="1018" spans="116:117" x14ac:dyDescent="0.2">
      <c r="DL1018" s="12"/>
      <c r="DM1018" s="12"/>
    </row>
    <row r="1019" spans="116:117" x14ac:dyDescent="0.2">
      <c r="DL1019" s="12"/>
      <c r="DM1019" s="12"/>
    </row>
    <row r="1020" spans="116:117" x14ac:dyDescent="0.2">
      <c r="DL1020" s="12"/>
      <c r="DM1020" s="12"/>
    </row>
    <row r="1021" spans="116:117" x14ac:dyDescent="0.2">
      <c r="DL1021" s="12"/>
      <c r="DM1021" s="12"/>
    </row>
    <row r="1022" spans="116:117" x14ac:dyDescent="0.2">
      <c r="DL1022" s="12"/>
      <c r="DM1022" s="12"/>
    </row>
    <row r="1023" spans="116:117" x14ac:dyDescent="0.2">
      <c r="DL1023" s="12"/>
      <c r="DM1023" s="12"/>
    </row>
    <row r="1024" spans="116:117" x14ac:dyDescent="0.2">
      <c r="DL1024" s="12"/>
      <c r="DM1024" s="12"/>
    </row>
    <row r="1025" spans="116:117" x14ac:dyDescent="0.2">
      <c r="DL1025" s="12"/>
      <c r="DM1025" s="12"/>
    </row>
    <row r="1026" spans="116:117" x14ac:dyDescent="0.2">
      <c r="DL1026" s="12"/>
      <c r="DM1026" s="12"/>
    </row>
    <row r="1027" spans="116:117" x14ac:dyDescent="0.2">
      <c r="DL1027" s="12"/>
      <c r="DM1027" s="12"/>
    </row>
    <row r="1028" spans="116:117" x14ac:dyDescent="0.2">
      <c r="DL1028" s="12"/>
      <c r="DM1028" s="12"/>
    </row>
    <row r="1029" spans="116:117" x14ac:dyDescent="0.2">
      <c r="DL1029" s="12"/>
      <c r="DM1029" s="12"/>
    </row>
    <row r="1030" spans="116:117" x14ac:dyDescent="0.2">
      <c r="DL1030" s="12"/>
      <c r="DM1030" s="12"/>
    </row>
    <row r="1031" spans="116:117" x14ac:dyDescent="0.2">
      <c r="DL1031" s="12"/>
      <c r="DM1031" s="12"/>
    </row>
    <row r="1032" spans="116:117" x14ac:dyDescent="0.2">
      <c r="DL1032" s="12"/>
      <c r="DM1032" s="12"/>
    </row>
    <row r="1033" spans="116:117" x14ac:dyDescent="0.2">
      <c r="DL1033" s="12"/>
      <c r="DM1033" s="12"/>
    </row>
    <row r="1034" spans="116:117" x14ac:dyDescent="0.2">
      <c r="DL1034" s="12"/>
      <c r="DM1034" s="12"/>
    </row>
    <row r="1035" spans="116:117" x14ac:dyDescent="0.2">
      <c r="DL1035" s="12"/>
      <c r="DM1035" s="12"/>
    </row>
    <row r="1036" spans="116:117" x14ac:dyDescent="0.2">
      <c r="DL1036" s="12"/>
      <c r="DM1036" s="12"/>
    </row>
    <row r="1037" spans="116:117" x14ac:dyDescent="0.2">
      <c r="DL1037" s="12"/>
      <c r="DM1037" s="12"/>
    </row>
    <row r="1038" spans="116:117" x14ac:dyDescent="0.2">
      <c r="DL1038" s="12"/>
      <c r="DM1038" s="12"/>
    </row>
    <row r="1039" spans="116:117" x14ac:dyDescent="0.2">
      <c r="DL1039" s="12"/>
      <c r="DM1039" s="12"/>
    </row>
    <row r="1040" spans="116:117" x14ac:dyDescent="0.2">
      <c r="DL1040" s="12"/>
      <c r="DM1040" s="12"/>
    </row>
    <row r="1041" spans="116:117" x14ac:dyDescent="0.2">
      <c r="DL1041" s="12"/>
      <c r="DM1041" s="12"/>
    </row>
    <row r="1042" spans="116:117" x14ac:dyDescent="0.2">
      <c r="DL1042" s="12"/>
      <c r="DM1042" s="12"/>
    </row>
    <row r="1043" spans="116:117" x14ac:dyDescent="0.2">
      <c r="DL1043" s="12"/>
      <c r="DM1043" s="12"/>
    </row>
    <row r="1044" spans="116:117" x14ac:dyDescent="0.2">
      <c r="DL1044" s="12"/>
      <c r="DM1044" s="12"/>
    </row>
    <row r="1045" spans="116:117" x14ac:dyDescent="0.2">
      <c r="DL1045" s="12"/>
      <c r="DM1045" s="12"/>
    </row>
    <row r="1046" spans="116:117" x14ac:dyDescent="0.2">
      <c r="DL1046" s="12"/>
      <c r="DM1046" s="12"/>
    </row>
    <row r="1047" spans="116:117" x14ac:dyDescent="0.2">
      <c r="DL1047" s="12"/>
      <c r="DM1047" s="12"/>
    </row>
    <row r="1048" spans="116:117" x14ac:dyDescent="0.2">
      <c r="DL1048" s="12"/>
      <c r="DM1048" s="12"/>
    </row>
    <row r="1049" spans="116:117" x14ac:dyDescent="0.2">
      <c r="DL1049" s="12"/>
      <c r="DM1049" s="12"/>
    </row>
    <row r="1050" spans="116:117" x14ac:dyDescent="0.2">
      <c r="DL1050" s="12"/>
      <c r="DM1050" s="12"/>
    </row>
    <row r="1051" spans="116:117" x14ac:dyDescent="0.2">
      <c r="DL1051" s="12"/>
      <c r="DM1051" s="12"/>
    </row>
    <row r="1052" spans="116:117" x14ac:dyDescent="0.2">
      <c r="DL1052" s="12"/>
      <c r="DM1052" s="12"/>
    </row>
    <row r="1053" spans="116:117" x14ac:dyDescent="0.2">
      <c r="DL1053" s="12"/>
      <c r="DM1053" s="12"/>
    </row>
    <row r="1054" spans="116:117" x14ac:dyDescent="0.2">
      <c r="DL1054" s="12"/>
      <c r="DM1054" s="12"/>
    </row>
    <row r="1055" spans="116:117" x14ac:dyDescent="0.2">
      <c r="DL1055" s="12"/>
      <c r="DM1055" s="12"/>
    </row>
    <row r="1056" spans="116:117" x14ac:dyDescent="0.2">
      <c r="DL1056" s="12"/>
      <c r="DM1056" s="12"/>
    </row>
    <row r="1057" spans="116:117" x14ac:dyDescent="0.2">
      <c r="DL1057" s="12"/>
      <c r="DM1057" s="12"/>
    </row>
    <row r="1058" spans="116:117" x14ac:dyDescent="0.2">
      <c r="DL1058" s="12"/>
      <c r="DM1058" s="12"/>
    </row>
    <row r="1059" spans="116:117" x14ac:dyDescent="0.2">
      <c r="DL1059" s="12"/>
      <c r="DM1059" s="12"/>
    </row>
    <row r="1060" spans="116:117" x14ac:dyDescent="0.2">
      <c r="DL1060" s="12"/>
      <c r="DM1060" s="12"/>
    </row>
    <row r="1061" spans="116:117" x14ac:dyDescent="0.2">
      <c r="DL1061" s="12"/>
      <c r="DM1061" s="12"/>
    </row>
    <row r="1062" spans="116:117" x14ac:dyDescent="0.2">
      <c r="DL1062" s="12"/>
      <c r="DM1062" s="12"/>
    </row>
    <row r="1063" spans="116:117" x14ac:dyDescent="0.2">
      <c r="DL1063" s="12"/>
      <c r="DM1063" s="12"/>
    </row>
    <row r="1064" spans="116:117" x14ac:dyDescent="0.2">
      <c r="DL1064" s="12"/>
      <c r="DM1064" s="12"/>
    </row>
    <row r="1065" spans="116:117" x14ac:dyDescent="0.2">
      <c r="DL1065" s="12"/>
      <c r="DM1065" s="12"/>
    </row>
    <row r="1066" spans="116:117" x14ac:dyDescent="0.2">
      <c r="DL1066" s="12"/>
      <c r="DM1066" s="12"/>
    </row>
    <row r="1067" spans="116:117" x14ac:dyDescent="0.2">
      <c r="DL1067" s="12"/>
      <c r="DM1067" s="12"/>
    </row>
    <row r="1068" spans="116:117" x14ac:dyDescent="0.2">
      <c r="DL1068" s="12"/>
      <c r="DM1068" s="12"/>
    </row>
    <row r="1069" spans="116:117" x14ac:dyDescent="0.2">
      <c r="DL1069" s="12"/>
      <c r="DM1069" s="12"/>
    </row>
    <row r="1070" spans="116:117" x14ac:dyDescent="0.2">
      <c r="DL1070" s="12"/>
      <c r="DM1070" s="12"/>
    </row>
    <row r="1071" spans="116:117" x14ac:dyDescent="0.2">
      <c r="DL1071" s="12"/>
      <c r="DM1071" s="12"/>
    </row>
    <row r="1072" spans="116:117" x14ac:dyDescent="0.2">
      <c r="DL1072" s="12"/>
      <c r="DM1072" s="12"/>
    </row>
    <row r="1073" spans="116:117" x14ac:dyDescent="0.2">
      <c r="DL1073" s="12"/>
      <c r="DM1073" s="12"/>
    </row>
    <row r="1074" spans="116:117" x14ac:dyDescent="0.2">
      <c r="DL1074" s="12"/>
      <c r="DM1074" s="12"/>
    </row>
    <row r="1075" spans="116:117" x14ac:dyDescent="0.2">
      <c r="DL1075" s="12"/>
      <c r="DM1075" s="12"/>
    </row>
    <row r="1076" spans="116:117" x14ac:dyDescent="0.2">
      <c r="DL1076" s="12"/>
      <c r="DM1076" s="12"/>
    </row>
    <row r="1077" spans="116:117" x14ac:dyDescent="0.2">
      <c r="DL1077" s="12"/>
      <c r="DM1077" s="12"/>
    </row>
    <row r="1078" spans="116:117" x14ac:dyDescent="0.2">
      <c r="DL1078" s="12"/>
      <c r="DM1078" s="12"/>
    </row>
    <row r="1079" spans="116:117" x14ac:dyDescent="0.2">
      <c r="DL1079" s="12"/>
      <c r="DM1079" s="12"/>
    </row>
    <row r="1080" spans="116:117" x14ac:dyDescent="0.2">
      <c r="DL1080" s="12"/>
      <c r="DM1080" s="12"/>
    </row>
    <row r="1081" spans="116:117" x14ac:dyDescent="0.2">
      <c r="DL1081" s="12"/>
      <c r="DM1081" s="12"/>
    </row>
    <row r="1082" spans="116:117" x14ac:dyDescent="0.2">
      <c r="DL1082" s="12"/>
      <c r="DM1082" s="12"/>
    </row>
    <row r="1083" spans="116:117" x14ac:dyDescent="0.2">
      <c r="DL1083" s="12"/>
      <c r="DM1083" s="12"/>
    </row>
    <row r="1084" spans="116:117" x14ac:dyDescent="0.2">
      <c r="DL1084" s="12"/>
      <c r="DM1084" s="12"/>
    </row>
    <row r="1085" spans="116:117" x14ac:dyDescent="0.2">
      <c r="DL1085" s="12"/>
      <c r="DM1085" s="12"/>
    </row>
    <row r="1086" spans="116:117" x14ac:dyDescent="0.2">
      <c r="DL1086" s="12"/>
      <c r="DM1086" s="12"/>
    </row>
    <row r="1087" spans="116:117" x14ac:dyDescent="0.2">
      <c r="DL1087" s="12"/>
      <c r="DM1087" s="12"/>
    </row>
    <row r="1088" spans="116:117" x14ac:dyDescent="0.2">
      <c r="DL1088" s="12"/>
      <c r="DM1088" s="12"/>
    </row>
    <row r="1089" spans="116:117" x14ac:dyDescent="0.2">
      <c r="DL1089" s="12"/>
      <c r="DM1089" s="12"/>
    </row>
    <row r="1090" spans="116:117" x14ac:dyDescent="0.2">
      <c r="DL1090" s="12"/>
      <c r="DM1090" s="12"/>
    </row>
    <row r="1091" spans="116:117" x14ac:dyDescent="0.2">
      <c r="DL1091" s="12"/>
      <c r="DM1091" s="12"/>
    </row>
    <row r="1092" spans="116:117" x14ac:dyDescent="0.2">
      <c r="DL1092" s="12"/>
      <c r="DM1092" s="12"/>
    </row>
    <row r="1093" spans="116:117" x14ac:dyDescent="0.2">
      <c r="DL1093" s="12"/>
      <c r="DM1093" s="12"/>
    </row>
    <row r="1094" spans="116:117" x14ac:dyDescent="0.2">
      <c r="DL1094" s="12"/>
      <c r="DM1094" s="12"/>
    </row>
    <row r="1095" spans="116:117" x14ac:dyDescent="0.2">
      <c r="DL1095" s="12"/>
      <c r="DM1095" s="12"/>
    </row>
    <row r="1096" spans="116:117" x14ac:dyDescent="0.2">
      <c r="DL1096" s="12"/>
      <c r="DM1096" s="12"/>
    </row>
    <row r="1097" spans="116:117" x14ac:dyDescent="0.2">
      <c r="DL1097" s="12"/>
      <c r="DM1097" s="12"/>
    </row>
    <row r="1098" spans="116:117" x14ac:dyDescent="0.2">
      <c r="DL1098" s="12"/>
      <c r="DM1098" s="12"/>
    </row>
    <row r="1099" spans="116:117" x14ac:dyDescent="0.2">
      <c r="DL1099" s="12"/>
      <c r="DM1099" s="12"/>
    </row>
    <row r="1100" spans="116:117" x14ac:dyDescent="0.2">
      <c r="DL1100" s="12"/>
      <c r="DM1100" s="12"/>
    </row>
    <row r="1101" spans="116:117" x14ac:dyDescent="0.2">
      <c r="DL1101" s="12"/>
      <c r="DM1101" s="12"/>
    </row>
    <row r="1102" spans="116:117" x14ac:dyDescent="0.2">
      <c r="DL1102" s="12"/>
      <c r="DM1102" s="12"/>
    </row>
    <row r="1103" spans="116:117" x14ac:dyDescent="0.2">
      <c r="DL1103" s="12"/>
      <c r="DM1103" s="12"/>
    </row>
    <row r="1104" spans="116:117" x14ac:dyDescent="0.2">
      <c r="DL1104" s="12"/>
      <c r="DM1104" s="12"/>
    </row>
    <row r="1105" spans="116:117" x14ac:dyDescent="0.2">
      <c r="DL1105" s="12"/>
      <c r="DM1105" s="12"/>
    </row>
    <row r="1106" spans="116:117" x14ac:dyDescent="0.2">
      <c r="DL1106" s="12"/>
      <c r="DM1106" s="12"/>
    </row>
    <row r="1107" spans="116:117" x14ac:dyDescent="0.2">
      <c r="DL1107" s="12"/>
      <c r="DM1107" s="12"/>
    </row>
    <row r="1108" spans="116:117" x14ac:dyDescent="0.2">
      <c r="DL1108" s="12"/>
      <c r="DM1108" s="12"/>
    </row>
    <row r="1109" spans="116:117" x14ac:dyDescent="0.2">
      <c r="DL1109" s="12"/>
      <c r="DM1109" s="12"/>
    </row>
    <row r="1110" spans="116:117" x14ac:dyDescent="0.2">
      <c r="DL1110" s="12"/>
      <c r="DM1110" s="12"/>
    </row>
    <row r="1111" spans="116:117" x14ac:dyDescent="0.2">
      <c r="DL1111" s="12"/>
      <c r="DM1111" s="12"/>
    </row>
    <row r="1112" spans="116:117" x14ac:dyDescent="0.2">
      <c r="DL1112" s="12"/>
      <c r="DM1112" s="12"/>
    </row>
    <row r="1113" spans="116:117" x14ac:dyDescent="0.2">
      <c r="DL1113" s="12"/>
      <c r="DM1113" s="12"/>
    </row>
    <row r="1114" spans="116:117" x14ac:dyDescent="0.2">
      <c r="DL1114" s="12"/>
      <c r="DM1114" s="12"/>
    </row>
    <row r="1115" spans="116:117" x14ac:dyDescent="0.2">
      <c r="DL1115" s="12"/>
      <c r="DM1115" s="12"/>
    </row>
    <row r="1116" spans="116:117" x14ac:dyDescent="0.2">
      <c r="DL1116" s="12"/>
      <c r="DM1116" s="12"/>
    </row>
    <row r="1117" spans="116:117" x14ac:dyDescent="0.2">
      <c r="DL1117" s="12"/>
      <c r="DM1117" s="12"/>
    </row>
    <row r="1118" spans="116:117" x14ac:dyDescent="0.2">
      <c r="DL1118" s="12"/>
      <c r="DM1118" s="12"/>
    </row>
    <row r="1119" spans="116:117" x14ac:dyDescent="0.2">
      <c r="DL1119" s="12"/>
      <c r="DM1119" s="12"/>
    </row>
    <row r="1120" spans="116:117" x14ac:dyDescent="0.2">
      <c r="DL1120" s="12"/>
      <c r="DM1120" s="12"/>
    </row>
    <row r="1121" spans="116:117" x14ac:dyDescent="0.2">
      <c r="DL1121" s="12"/>
      <c r="DM1121" s="12"/>
    </row>
    <row r="1122" spans="116:117" x14ac:dyDescent="0.2">
      <c r="DL1122" s="12"/>
      <c r="DM1122" s="12"/>
    </row>
    <row r="1123" spans="116:117" x14ac:dyDescent="0.2">
      <c r="DL1123" s="12"/>
      <c r="DM1123" s="12"/>
    </row>
    <row r="1124" spans="116:117" x14ac:dyDescent="0.2">
      <c r="DL1124" s="12"/>
      <c r="DM1124" s="12"/>
    </row>
    <row r="1125" spans="116:117" x14ac:dyDescent="0.2">
      <c r="DL1125" s="12"/>
      <c r="DM1125" s="12"/>
    </row>
    <row r="1126" spans="116:117" x14ac:dyDescent="0.2">
      <c r="DL1126" s="12"/>
      <c r="DM1126" s="12"/>
    </row>
    <row r="1127" spans="116:117" x14ac:dyDescent="0.2">
      <c r="DL1127" s="12"/>
      <c r="DM1127" s="12"/>
    </row>
    <row r="1128" spans="116:117" x14ac:dyDescent="0.2">
      <c r="DL1128" s="12"/>
      <c r="DM1128" s="12"/>
    </row>
    <row r="1129" spans="116:117" x14ac:dyDescent="0.2">
      <c r="DL1129" s="12"/>
      <c r="DM1129" s="12"/>
    </row>
    <row r="1130" spans="116:117" x14ac:dyDescent="0.2">
      <c r="DL1130" s="12"/>
      <c r="DM1130" s="12"/>
    </row>
    <row r="1131" spans="116:117" x14ac:dyDescent="0.2">
      <c r="DL1131" s="12"/>
      <c r="DM1131" s="12"/>
    </row>
    <row r="1132" spans="116:117" x14ac:dyDescent="0.2">
      <c r="DL1132" s="12"/>
      <c r="DM1132" s="12"/>
    </row>
    <row r="1133" spans="116:117" x14ac:dyDescent="0.2">
      <c r="DL1133" s="12"/>
      <c r="DM1133" s="12"/>
    </row>
    <row r="1134" spans="116:117" x14ac:dyDescent="0.2">
      <c r="DL1134" s="12"/>
      <c r="DM1134" s="12"/>
    </row>
    <row r="1135" spans="116:117" x14ac:dyDescent="0.2">
      <c r="DL1135" s="12"/>
      <c r="DM1135" s="12"/>
    </row>
    <row r="1136" spans="116:117" x14ac:dyDescent="0.2">
      <c r="DL1136" s="12"/>
      <c r="DM1136" s="12"/>
    </row>
    <row r="1137" spans="116:117" x14ac:dyDescent="0.2">
      <c r="DL1137" s="12"/>
      <c r="DM1137" s="12"/>
    </row>
    <row r="1138" spans="116:117" x14ac:dyDescent="0.2">
      <c r="DL1138" s="12"/>
      <c r="DM1138" s="12"/>
    </row>
    <row r="1139" spans="116:117" x14ac:dyDescent="0.2">
      <c r="DL1139" s="12"/>
      <c r="DM1139" s="12"/>
    </row>
    <row r="1140" spans="116:117" x14ac:dyDescent="0.2">
      <c r="DL1140" s="12"/>
      <c r="DM1140" s="12"/>
    </row>
    <row r="1141" spans="116:117" x14ac:dyDescent="0.2">
      <c r="DL1141" s="12"/>
      <c r="DM1141" s="12"/>
    </row>
    <row r="1142" spans="116:117" x14ac:dyDescent="0.2">
      <c r="DL1142" s="12"/>
      <c r="DM1142" s="12"/>
    </row>
    <row r="1143" spans="116:117" x14ac:dyDescent="0.2">
      <c r="DL1143" s="12"/>
      <c r="DM1143" s="12"/>
    </row>
    <row r="1144" spans="116:117" x14ac:dyDescent="0.2">
      <c r="DL1144" s="12"/>
      <c r="DM1144" s="12"/>
    </row>
    <row r="1145" spans="116:117" x14ac:dyDescent="0.2">
      <c r="DL1145" s="12"/>
      <c r="DM1145" s="12"/>
    </row>
    <row r="1146" spans="116:117" x14ac:dyDescent="0.2">
      <c r="DL1146" s="12"/>
      <c r="DM1146" s="12"/>
    </row>
    <row r="1147" spans="116:117" x14ac:dyDescent="0.2">
      <c r="DL1147" s="12"/>
      <c r="DM1147" s="12"/>
    </row>
    <row r="1148" spans="116:117" x14ac:dyDescent="0.2">
      <c r="DL1148" s="12"/>
      <c r="DM1148" s="12"/>
    </row>
    <row r="1149" spans="116:117" x14ac:dyDescent="0.2">
      <c r="DL1149" s="12"/>
      <c r="DM1149" s="12"/>
    </row>
    <row r="1150" spans="116:117" x14ac:dyDescent="0.2">
      <c r="DL1150" s="12"/>
      <c r="DM1150" s="12"/>
    </row>
    <row r="1151" spans="116:117" x14ac:dyDescent="0.2">
      <c r="DL1151" s="12"/>
      <c r="DM1151" s="12"/>
    </row>
    <row r="1152" spans="116:117" x14ac:dyDescent="0.2">
      <c r="DL1152" s="12"/>
      <c r="DM1152" s="12"/>
    </row>
    <row r="1153" spans="116:117" x14ac:dyDescent="0.2">
      <c r="DL1153" s="12"/>
      <c r="DM1153" s="12"/>
    </row>
    <row r="1154" spans="116:117" x14ac:dyDescent="0.2">
      <c r="DL1154" s="12"/>
      <c r="DM1154" s="12"/>
    </row>
    <row r="1155" spans="116:117" x14ac:dyDescent="0.2">
      <c r="DL1155" s="12"/>
      <c r="DM1155" s="12"/>
    </row>
    <row r="1156" spans="116:117" x14ac:dyDescent="0.2">
      <c r="DL1156" s="12"/>
      <c r="DM1156" s="12"/>
    </row>
    <row r="1157" spans="116:117" x14ac:dyDescent="0.2">
      <c r="DL1157" s="12"/>
      <c r="DM1157" s="12"/>
    </row>
    <row r="1158" spans="116:117" x14ac:dyDescent="0.2">
      <c r="DL1158" s="12"/>
      <c r="DM1158" s="12"/>
    </row>
    <row r="1159" spans="116:117" x14ac:dyDescent="0.2">
      <c r="DL1159" s="12"/>
      <c r="DM1159" s="12"/>
    </row>
    <row r="1160" spans="116:117" x14ac:dyDescent="0.2">
      <c r="DL1160" s="12"/>
      <c r="DM1160" s="12"/>
    </row>
    <row r="1161" spans="116:117" x14ac:dyDescent="0.2">
      <c r="DL1161" s="12"/>
      <c r="DM1161" s="12"/>
    </row>
    <row r="1162" spans="116:117" x14ac:dyDescent="0.2">
      <c r="DL1162" s="12"/>
      <c r="DM1162" s="12"/>
    </row>
    <row r="1163" spans="116:117" x14ac:dyDescent="0.2">
      <c r="DL1163" s="12"/>
      <c r="DM1163" s="12"/>
    </row>
    <row r="1164" spans="116:117" x14ac:dyDescent="0.2">
      <c r="DL1164" s="12"/>
      <c r="DM1164" s="12"/>
    </row>
    <row r="1165" spans="116:117" x14ac:dyDescent="0.2">
      <c r="DL1165" s="12"/>
      <c r="DM1165" s="12"/>
    </row>
    <row r="1166" spans="116:117" x14ac:dyDescent="0.2">
      <c r="DL1166" s="12"/>
      <c r="DM1166" s="12"/>
    </row>
    <row r="1167" spans="116:117" x14ac:dyDescent="0.2">
      <c r="DL1167" s="12"/>
      <c r="DM1167" s="12"/>
    </row>
    <row r="1168" spans="116:117" x14ac:dyDescent="0.2">
      <c r="DL1168" s="12"/>
      <c r="DM1168" s="12"/>
    </row>
    <row r="1169" spans="116:117" x14ac:dyDescent="0.2">
      <c r="DL1169" s="12"/>
      <c r="DM1169" s="12"/>
    </row>
    <row r="1170" spans="116:117" x14ac:dyDescent="0.2">
      <c r="DL1170" s="12"/>
      <c r="DM1170" s="12"/>
    </row>
    <row r="1171" spans="116:117" x14ac:dyDescent="0.2">
      <c r="DL1171" s="12"/>
      <c r="DM1171" s="12"/>
    </row>
    <row r="1172" spans="116:117" x14ac:dyDescent="0.2">
      <c r="DL1172" s="12"/>
      <c r="DM1172" s="12"/>
    </row>
    <row r="1173" spans="116:117" x14ac:dyDescent="0.2">
      <c r="DL1173" s="12"/>
      <c r="DM1173" s="12"/>
    </row>
    <row r="1174" spans="116:117" x14ac:dyDescent="0.2">
      <c r="DL1174" s="12"/>
      <c r="DM1174" s="12"/>
    </row>
    <row r="1175" spans="116:117" x14ac:dyDescent="0.2">
      <c r="DL1175" s="12"/>
      <c r="DM1175" s="12"/>
    </row>
    <row r="1176" spans="116:117" x14ac:dyDescent="0.2">
      <c r="DL1176" s="12"/>
      <c r="DM1176" s="12"/>
    </row>
    <row r="1177" spans="116:117" x14ac:dyDescent="0.2">
      <c r="DL1177" s="12"/>
      <c r="DM1177" s="12"/>
    </row>
    <row r="1178" spans="116:117" x14ac:dyDescent="0.2">
      <c r="DL1178" s="12"/>
      <c r="DM1178" s="12"/>
    </row>
    <row r="1179" spans="116:117" x14ac:dyDescent="0.2">
      <c r="DL1179" s="12"/>
      <c r="DM1179" s="12"/>
    </row>
    <row r="1180" spans="116:117" x14ac:dyDescent="0.2">
      <c r="DL1180" s="12"/>
      <c r="DM1180" s="12"/>
    </row>
    <row r="1181" spans="116:117" x14ac:dyDescent="0.2">
      <c r="DL1181" s="12"/>
      <c r="DM1181" s="12"/>
    </row>
    <row r="1182" spans="116:117" x14ac:dyDescent="0.2">
      <c r="DL1182" s="12"/>
      <c r="DM1182" s="12"/>
    </row>
    <row r="1183" spans="116:117" x14ac:dyDescent="0.2">
      <c r="DL1183" s="12"/>
      <c r="DM1183" s="12"/>
    </row>
    <row r="1184" spans="116:117" x14ac:dyDescent="0.2">
      <c r="DL1184" s="12"/>
      <c r="DM1184" s="12"/>
    </row>
    <row r="1185" spans="116:117" x14ac:dyDescent="0.2">
      <c r="DL1185" s="12"/>
      <c r="DM1185" s="12"/>
    </row>
    <row r="1186" spans="116:117" x14ac:dyDescent="0.2">
      <c r="DL1186" s="12"/>
      <c r="DM1186" s="12"/>
    </row>
    <row r="1187" spans="116:117" x14ac:dyDescent="0.2">
      <c r="DL1187" s="12"/>
      <c r="DM1187" s="12"/>
    </row>
    <row r="1188" spans="116:117" x14ac:dyDescent="0.2">
      <c r="DL1188" s="12"/>
      <c r="DM1188" s="12"/>
    </row>
    <row r="1189" spans="116:117" x14ac:dyDescent="0.2">
      <c r="DL1189" s="12"/>
      <c r="DM1189" s="12"/>
    </row>
    <row r="1190" spans="116:117" x14ac:dyDescent="0.2">
      <c r="DL1190" s="12"/>
      <c r="DM1190" s="12"/>
    </row>
    <row r="1191" spans="116:117" x14ac:dyDescent="0.2">
      <c r="DL1191" s="12"/>
      <c r="DM1191" s="12"/>
    </row>
    <row r="1192" spans="116:117" x14ac:dyDescent="0.2">
      <c r="DL1192" s="12"/>
      <c r="DM1192" s="12"/>
    </row>
    <row r="1193" spans="116:117" x14ac:dyDescent="0.2">
      <c r="DL1193" s="12"/>
      <c r="DM1193" s="12"/>
    </row>
    <row r="1194" spans="116:117" x14ac:dyDescent="0.2">
      <c r="DL1194" s="12"/>
      <c r="DM1194" s="12"/>
    </row>
    <row r="1195" spans="116:117" x14ac:dyDescent="0.2">
      <c r="DL1195" s="12"/>
      <c r="DM1195" s="12"/>
    </row>
    <row r="1196" spans="116:117" x14ac:dyDescent="0.2">
      <c r="DL1196" s="12"/>
      <c r="DM1196" s="12"/>
    </row>
    <row r="1197" spans="116:117" x14ac:dyDescent="0.2">
      <c r="DL1197" s="12"/>
      <c r="DM1197" s="12"/>
    </row>
    <row r="1198" spans="116:117" x14ac:dyDescent="0.2">
      <c r="DL1198" s="12"/>
      <c r="DM1198" s="12"/>
    </row>
    <row r="1199" spans="116:117" x14ac:dyDescent="0.2">
      <c r="DL1199" s="12"/>
      <c r="DM1199" s="12"/>
    </row>
    <row r="1200" spans="116:117" x14ac:dyDescent="0.2">
      <c r="DL1200" s="12"/>
      <c r="DM1200" s="12"/>
    </row>
    <row r="1201" spans="116:117" x14ac:dyDescent="0.2">
      <c r="DL1201" s="12"/>
      <c r="DM1201" s="12"/>
    </row>
    <row r="1202" spans="116:117" x14ac:dyDescent="0.2">
      <c r="DL1202" s="12"/>
      <c r="DM1202" s="12"/>
    </row>
    <row r="1203" spans="116:117" x14ac:dyDescent="0.2">
      <c r="DL1203" s="12"/>
      <c r="DM1203" s="12"/>
    </row>
    <row r="1204" spans="116:117" x14ac:dyDescent="0.2">
      <c r="DL1204" s="12"/>
      <c r="DM1204" s="12"/>
    </row>
    <row r="1205" spans="116:117" x14ac:dyDescent="0.2">
      <c r="DL1205" s="12"/>
      <c r="DM1205" s="12"/>
    </row>
    <row r="1206" spans="116:117" x14ac:dyDescent="0.2">
      <c r="DL1206" s="12"/>
      <c r="DM1206" s="12"/>
    </row>
    <row r="1207" spans="116:117" x14ac:dyDescent="0.2">
      <c r="DL1207" s="12"/>
      <c r="DM1207" s="12"/>
    </row>
    <row r="1208" spans="116:117" x14ac:dyDescent="0.2">
      <c r="DL1208" s="12"/>
      <c r="DM1208" s="12"/>
    </row>
    <row r="1209" spans="116:117" x14ac:dyDescent="0.2">
      <c r="DL1209" s="12"/>
      <c r="DM1209" s="12"/>
    </row>
    <row r="1210" spans="116:117" x14ac:dyDescent="0.2">
      <c r="DL1210" s="12"/>
      <c r="DM1210" s="12"/>
    </row>
    <row r="1211" spans="116:117" x14ac:dyDescent="0.2">
      <c r="DL1211" s="12"/>
      <c r="DM1211" s="12"/>
    </row>
    <row r="1212" spans="116:117" x14ac:dyDescent="0.2">
      <c r="DL1212" s="12"/>
      <c r="DM1212" s="12"/>
    </row>
    <row r="1213" spans="116:117" x14ac:dyDescent="0.2">
      <c r="DL1213" s="12"/>
      <c r="DM1213" s="12"/>
    </row>
    <row r="1214" spans="116:117" x14ac:dyDescent="0.2">
      <c r="DL1214" s="12"/>
      <c r="DM1214" s="12"/>
    </row>
    <row r="1215" spans="116:117" x14ac:dyDescent="0.2">
      <c r="DL1215" s="12"/>
      <c r="DM1215" s="12"/>
    </row>
    <row r="1216" spans="116:117" x14ac:dyDescent="0.2">
      <c r="DL1216" s="12"/>
      <c r="DM1216" s="12"/>
    </row>
    <row r="1217" spans="116:117" x14ac:dyDescent="0.2">
      <c r="DL1217" s="12"/>
      <c r="DM1217" s="12"/>
    </row>
    <row r="1218" spans="116:117" x14ac:dyDescent="0.2">
      <c r="DL1218" s="12"/>
      <c r="DM1218" s="12"/>
    </row>
    <row r="1219" spans="116:117" x14ac:dyDescent="0.2">
      <c r="DL1219" s="12"/>
      <c r="DM1219" s="12"/>
    </row>
    <row r="1220" spans="116:117" x14ac:dyDescent="0.2">
      <c r="DL1220" s="12"/>
      <c r="DM1220" s="12"/>
    </row>
    <row r="1221" spans="116:117" x14ac:dyDescent="0.2">
      <c r="DL1221" s="12"/>
      <c r="DM1221" s="12"/>
    </row>
    <row r="1222" spans="116:117" x14ac:dyDescent="0.2">
      <c r="DL1222" s="12"/>
      <c r="DM1222" s="12"/>
    </row>
    <row r="1223" spans="116:117" x14ac:dyDescent="0.2">
      <c r="DL1223" s="12"/>
      <c r="DM1223" s="12"/>
    </row>
    <row r="1224" spans="116:117" x14ac:dyDescent="0.2">
      <c r="DL1224" s="12"/>
      <c r="DM1224" s="12"/>
    </row>
    <row r="1225" spans="116:117" x14ac:dyDescent="0.2">
      <c r="DL1225" s="12"/>
      <c r="DM1225" s="12"/>
    </row>
    <row r="1226" spans="116:117" x14ac:dyDescent="0.2">
      <c r="DL1226" s="12"/>
      <c r="DM1226" s="12"/>
    </row>
    <row r="1227" spans="116:117" x14ac:dyDescent="0.2">
      <c r="DL1227" s="12"/>
      <c r="DM1227" s="12"/>
    </row>
    <row r="1228" spans="116:117" x14ac:dyDescent="0.2">
      <c r="DL1228" s="12"/>
      <c r="DM1228" s="12"/>
    </row>
    <row r="1229" spans="116:117" x14ac:dyDescent="0.2">
      <c r="DL1229" s="12"/>
      <c r="DM1229" s="12"/>
    </row>
    <row r="1230" spans="116:117" x14ac:dyDescent="0.2">
      <c r="DL1230" s="12"/>
      <c r="DM1230" s="12"/>
    </row>
    <row r="1231" spans="116:117" x14ac:dyDescent="0.2">
      <c r="DL1231" s="12"/>
      <c r="DM1231" s="12"/>
    </row>
    <row r="1232" spans="116:117" x14ac:dyDescent="0.2">
      <c r="DL1232" s="12"/>
      <c r="DM1232" s="12"/>
    </row>
    <row r="1233" spans="116:117" x14ac:dyDescent="0.2">
      <c r="DL1233" s="12"/>
      <c r="DM1233" s="12"/>
    </row>
    <row r="1234" spans="116:117" x14ac:dyDescent="0.2">
      <c r="DL1234" s="12"/>
      <c r="DM1234" s="12"/>
    </row>
    <row r="1235" spans="116:117" x14ac:dyDescent="0.2">
      <c r="DL1235" s="12"/>
      <c r="DM1235" s="12"/>
    </row>
    <row r="1236" spans="116:117" x14ac:dyDescent="0.2">
      <c r="DL1236" s="12"/>
      <c r="DM1236" s="12"/>
    </row>
    <row r="1237" spans="116:117" x14ac:dyDescent="0.2">
      <c r="DL1237" s="12"/>
      <c r="DM1237" s="12"/>
    </row>
    <row r="1238" spans="116:117" x14ac:dyDescent="0.2">
      <c r="DL1238" s="12"/>
      <c r="DM1238" s="12"/>
    </row>
    <row r="1239" spans="116:117" x14ac:dyDescent="0.2">
      <c r="DL1239" s="12"/>
      <c r="DM1239" s="12"/>
    </row>
    <row r="1240" spans="116:117" x14ac:dyDescent="0.2">
      <c r="DL1240" s="12"/>
      <c r="DM1240" s="12"/>
    </row>
    <row r="1241" spans="116:117" x14ac:dyDescent="0.2">
      <c r="DL1241" s="12"/>
      <c r="DM1241" s="12"/>
    </row>
    <row r="1242" spans="116:117" x14ac:dyDescent="0.2">
      <c r="DL1242" s="12"/>
      <c r="DM1242" s="12"/>
    </row>
    <row r="1243" spans="116:117" x14ac:dyDescent="0.2">
      <c r="DL1243" s="12"/>
      <c r="DM1243" s="12"/>
    </row>
    <row r="1244" spans="116:117" x14ac:dyDescent="0.2">
      <c r="DL1244" s="12"/>
      <c r="DM1244" s="12"/>
    </row>
    <row r="1245" spans="116:117" x14ac:dyDescent="0.2">
      <c r="DL1245" s="12"/>
      <c r="DM1245" s="12"/>
    </row>
    <row r="1246" spans="116:117" x14ac:dyDescent="0.2">
      <c r="DL1246" s="12"/>
      <c r="DM1246" s="12"/>
    </row>
    <row r="1247" spans="116:117" x14ac:dyDescent="0.2">
      <c r="DL1247" s="12"/>
      <c r="DM1247" s="12"/>
    </row>
    <row r="1248" spans="116:117" x14ac:dyDescent="0.2">
      <c r="DL1248" s="12"/>
      <c r="DM1248" s="12"/>
    </row>
    <row r="1249" spans="116:117" x14ac:dyDescent="0.2">
      <c r="DL1249" s="12"/>
      <c r="DM1249" s="12"/>
    </row>
    <row r="1250" spans="116:117" x14ac:dyDescent="0.2">
      <c r="DL1250" s="12"/>
      <c r="DM1250" s="12"/>
    </row>
    <row r="1251" spans="116:117" x14ac:dyDescent="0.2">
      <c r="DL1251" s="12"/>
      <c r="DM1251" s="12"/>
    </row>
    <row r="1252" spans="116:117" x14ac:dyDescent="0.2">
      <c r="DL1252" s="12"/>
      <c r="DM1252" s="12"/>
    </row>
    <row r="1253" spans="116:117" x14ac:dyDescent="0.2">
      <c r="DL1253" s="12"/>
      <c r="DM1253" s="12"/>
    </row>
    <row r="1254" spans="116:117" x14ac:dyDescent="0.2">
      <c r="DL1254" s="12"/>
      <c r="DM1254" s="12"/>
    </row>
    <row r="1255" spans="116:117" x14ac:dyDescent="0.2">
      <c r="DL1255" s="12"/>
      <c r="DM1255" s="12"/>
    </row>
    <row r="1256" spans="116:117" x14ac:dyDescent="0.2">
      <c r="DL1256" s="12"/>
      <c r="DM1256" s="12"/>
    </row>
    <row r="1257" spans="116:117" x14ac:dyDescent="0.2">
      <c r="DL1257" s="12"/>
      <c r="DM1257" s="12"/>
    </row>
    <row r="1258" spans="116:117" x14ac:dyDescent="0.2">
      <c r="DL1258" s="12"/>
      <c r="DM1258" s="12"/>
    </row>
    <row r="1259" spans="116:117" x14ac:dyDescent="0.2">
      <c r="DL1259" s="12"/>
      <c r="DM1259" s="12"/>
    </row>
    <row r="1260" spans="116:117" x14ac:dyDescent="0.2">
      <c r="DL1260" s="12"/>
      <c r="DM1260" s="12"/>
    </row>
    <row r="1261" spans="116:117" x14ac:dyDescent="0.2">
      <c r="DL1261" s="12"/>
      <c r="DM1261" s="12"/>
    </row>
    <row r="1262" spans="116:117" x14ac:dyDescent="0.2">
      <c r="DL1262" s="12"/>
      <c r="DM1262" s="12"/>
    </row>
    <row r="1263" spans="116:117" x14ac:dyDescent="0.2">
      <c r="DL1263" s="12"/>
      <c r="DM1263" s="12"/>
    </row>
    <row r="1264" spans="116:117" x14ac:dyDescent="0.2">
      <c r="DL1264" s="12"/>
      <c r="DM1264" s="12"/>
    </row>
    <row r="1265" spans="116:117" x14ac:dyDescent="0.2">
      <c r="DL1265" s="12"/>
      <c r="DM1265" s="12"/>
    </row>
    <row r="1266" spans="116:117" x14ac:dyDescent="0.2">
      <c r="DL1266" s="12"/>
      <c r="DM1266" s="12"/>
    </row>
    <row r="1267" spans="116:117" x14ac:dyDescent="0.2">
      <c r="DL1267" s="12"/>
      <c r="DM1267" s="12"/>
    </row>
    <row r="1268" spans="116:117" x14ac:dyDescent="0.2">
      <c r="DL1268" s="12"/>
      <c r="DM1268" s="12"/>
    </row>
    <row r="1269" spans="116:117" x14ac:dyDescent="0.2">
      <c r="DL1269" s="12"/>
      <c r="DM1269" s="12"/>
    </row>
    <row r="1270" spans="116:117" x14ac:dyDescent="0.2">
      <c r="DL1270" s="12"/>
      <c r="DM1270" s="12"/>
    </row>
    <row r="1271" spans="116:117" x14ac:dyDescent="0.2">
      <c r="DL1271" s="12"/>
      <c r="DM1271" s="12"/>
    </row>
    <row r="1272" spans="116:117" x14ac:dyDescent="0.2">
      <c r="DL1272" s="12"/>
      <c r="DM1272" s="12"/>
    </row>
    <row r="1273" spans="116:117" x14ac:dyDescent="0.2">
      <c r="DL1273" s="12"/>
      <c r="DM1273" s="12"/>
    </row>
    <row r="1274" spans="116:117" x14ac:dyDescent="0.2">
      <c r="DL1274" s="12"/>
      <c r="DM1274" s="12"/>
    </row>
    <row r="1275" spans="116:117" x14ac:dyDescent="0.2">
      <c r="DL1275" s="12"/>
      <c r="DM1275" s="12"/>
    </row>
    <row r="1276" spans="116:117" x14ac:dyDescent="0.2">
      <c r="DL1276" s="12"/>
      <c r="DM1276" s="12"/>
    </row>
    <row r="1277" spans="116:117" x14ac:dyDescent="0.2">
      <c r="DL1277" s="12"/>
      <c r="DM1277" s="12"/>
    </row>
    <row r="1278" spans="116:117" x14ac:dyDescent="0.2">
      <c r="DL1278" s="12"/>
      <c r="DM1278" s="12"/>
    </row>
    <row r="1279" spans="116:117" x14ac:dyDescent="0.2">
      <c r="DL1279" s="12"/>
      <c r="DM1279" s="12"/>
    </row>
    <row r="1280" spans="116:117" x14ac:dyDescent="0.2">
      <c r="DL1280" s="12"/>
      <c r="DM1280" s="12"/>
    </row>
    <row r="1281" spans="116:117" x14ac:dyDescent="0.2">
      <c r="DL1281" s="12"/>
      <c r="DM1281" s="12"/>
    </row>
    <row r="1282" spans="116:117" x14ac:dyDescent="0.2">
      <c r="DL1282" s="12"/>
      <c r="DM1282" s="12"/>
    </row>
    <row r="1283" spans="116:117" x14ac:dyDescent="0.2">
      <c r="DL1283" s="12"/>
      <c r="DM1283" s="12"/>
    </row>
    <row r="1284" spans="116:117" x14ac:dyDescent="0.2">
      <c r="DL1284" s="12"/>
      <c r="DM1284" s="12"/>
    </row>
    <row r="1285" spans="116:117" x14ac:dyDescent="0.2">
      <c r="DL1285" s="12"/>
      <c r="DM1285" s="12"/>
    </row>
    <row r="1286" spans="116:117" x14ac:dyDescent="0.2">
      <c r="DL1286" s="12"/>
      <c r="DM1286" s="12"/>
    </row>
    <row r="1287" spans="116:117" x14ac:dyDescent="0.2">
      <c r="DL1287" s="12"/>
      <c r="DM1287" s="12"/>
    </row>
    <row r="1288" spans="116:117" x14ac:dyDescent="0.2">
      <c r="DL1288" s="12"/>
      <c r="DM1288" s="12"/>
    </row>
    <row r="1289" spans="116:117" x14ac:dyDescent="0.2">
      <c r="DL1289" s="12"/>
      <c r="DM1289" s="12"/>
    </row>
    <row r="1290" spans="116:117" x14ac:dyDescent="0.2">
      <c r="DL1290" s="12"/>
      <c r="DM1290" s="12"/>
    </row>
    <row r="1291" spans="116:117" x14ac:dyDescent="0.2">
      <c r="DL1291" s="12"/>
      <c r="DM1291" s="12"/>
    </row>
    <row r="1292" spans="116:117" x14ac:dyDescent="0.2">
      <c r="DL1292" s="12"/>
      <c r="DM1292" s="12"/>
    </row>
    <row r="1293" spans="116:117" x14ac:dyDescent="0.2">
      <c r="DL1293" s="12"/>
      <c r="DM1293" s="12"/>
    </row>
    <row r="1294" spans="116:117" x14ac:dyDescent="0.2">
      <c r="DL1294" s="12"/>
      <c r="DM1294" s="12"/>
    </row>
    <row r="1295" spans="116:117" x14ac:dyDescent="0.2">
      <c r="DL1295" s="12"/>
      <c r="DM1295" s="12"/>
    </row>
    <row r="1296" spans="116:117" x14ac:dyDescent="0.2">
      <c r="DL1296" s="12"/>
      <c r="DM1296" s="12"/>
    </row>
    <row r="1297" spans="116:117" x14ac:dyDescent="0.2">
      <c r="DL1297" s="12"/>
      <c r="DM1297" s="12"/>
    </row>
    <row r="1298" spans="116:117" x14ac:dyDescent="0.2">
      <c r="DL1298" s="12"/>
      <c r="DM1298" s="12"/>
    </row>
    <row r="1299" spans="116:117" x14ac:dyDescent="0.2">
      <c r="DL1299" s="12"/>
      <c r="DM1299" s="12"/>
    </row>
    <row r="1300" spans="116:117" x14ac:dyDescent="0.2">
      <c r="DL1300" s="12"/>
      <c r="DM1300" s="12"/>
    </row>
    <row r="1301" spans="116:117" x14ac:dyDescent="0.2">
      <c r="DL1301" s="12"/>
      <c r="DM1301" s="12"/>
    </row>
    <row r="1302" spans="116:117" x14ac:dyDescent="0.2">
      <c r="DL1302" s="12"/>
      <c r="DM1302" s="12"/>
    </row>
    <row r="1303" spans="116:117" x14ac:dyDescent="0.2">
      <c r="DL1303" s="12"/>
      <c r="DM1303" s="12"/>
    </row>
    <row r="1304" spans="116:117" x14ac:dyDescent="0.2">
      <c r="DL1304" s="12"/>
      <c r="DM1304" s="12"/>
    </row>
    <row r="1305" spans="116:117" x14ac:dyDescent="0.2">
      <c r="DL1305" s="12"/>
      <c r="DM1305" s="12"/>
    </row>
    <row r="1306" spans="116:117" x14ac:dyDescent="0.2">
      <c r="DL1306" s="12"/>
      <c r="DM1306" s="12"/>
    </row>
    <row r="1307" spans="116:117" x14ac:dyDescent="0.2">
      <c r="DL1307" s="12"/>
      <c r="DM1307" s="12"/>
    </row>
    <row r="1308" spans="116:117" x14ac:dyDescent="0.2">
      <c r="DL1308" s="12"/>
      <c r="DM1308" s="12"/>
    </row>
    <row r="1309" spans="116:117" x14ac:dyDescent="0.2">
      <c r="DL1309" s="12"/>
      <c r="DM1309" s="12"/>
    </row>
    <row r="1310" spans="116:117" x14ac:dyDescent="0.2">
      <c r="DL1310" s="12"/>
      <c r="DM1310" s="12"/>
    </row>
    <row r="1311" spans="116:117" x14ac:dyDescent="0.2">
      <c r="DL1311" s="12"/>
      <c r="DM1311" s="12"/>
    </row>
    <row r="1312" spans="116:117" x14ac:dyDescent="0.2">
      <c r="DL1312" s="12"/>
      <c r="DM1312" s="12"/>
    </row>
    <row r="1313" spans="116:117" x14ac:dyDescent="0.2">
      <c r="DL1313" s="12"/>
      <c r="DM1313" s="12"/>
    </row>
    <row r="1314" spans="116:117" x14ac:dyDescent="0.2">
      <c r="DL1314" s="12"/>
      <c r="DM1314" s="12"/>
    </row>
    <row r="1315" spans="116:117" x14ac:dyDescent="0.2">
      <c r="DL1315" s="12"/>
      <c r="DM1315" s="12"/>
    </row>
    <row r="1316" spans="116:117" x14ac:dyDescent="0.2">
      <c r="DL1316" s="12"/>
      <c r="DM1316" s="12"/>
    </row>
    <row r="1317" spans="116:117" x14ac:dyDescent="0.2">
      <c r="DL1317" s="12"/>
      <c r="DM1317" s="12"/>
    </row>
    <row r="1318" spans="116:117" x14ac:dyDescent="0.2">
      <c r="DL1318" s="12"/>
      <c r="DM1318" s="12"/>
    </row>
    <row r="1319" spans="116:117" x14ac:dyDescent="0.2">
      <c r="DL1319" s="12"/>
      <c r="DM1319" s="12"/>
    </row>
    <row r="1320" spans="116:117" x14ac:dyDescent="0.2">
      <c r="DL1320" s="12"/>
      <c r="DM1320" s="12"/>
    </row>
    <row r="1321" spans="116:117" x14ac:dyDescent="0.2">
      <c r="DL1321" s="12"/>
      <c r="DM1321" s="12"/>
    </row>
    <row r="1322" spans="116:117" x14ac:dyDescent="0.2">
      <c r="DL1322" s="12"/>
      <c r="DM1322" s="12"/>
    </row>
    <row r="1323" spans="116:117" x14ac:dyDescent="0.2">
      <c r="DL1323" s="12"/>
      <c r="DM1323" s="12"/>
    </row>
    <row r="1324" spans="116:117" x14ac:dyDescent="0.2">
      <c r="DL1324" s="12"/>
      <c r="DM1324" s="12"/>
    </row>
    <row r="1325" spans="116:117" x14ac:dyDescent="0.2">
      <c r="DL1325" s="12"/>
      <c r="DM1325" s="12"/>
    </row>
    <row r="1326" spans="116:117" x14ac:dyDescent="0.2">
      <c r="DL1326" s="12"/>
      <c r="DM1326" s="12"/>
    </row>
    <row r="1327" spans="116:117" x14ac:dyDescent="0.2">
      <c r="DL1327" s="12"/>
      <c r="DM1327" s="12"/>
    </row>
    <row r="1328" spans="116:117" x14ac:dyDescent="0.2">
      <c r="DL1328" s="12"/>
      <c r="DM1328" s="12"/>
    </row>
    <row r="1329" spans="116:117" x14ac:dyDescent="0.2">
      <c r="DL1329" s="12"/>
      <c r="DM1329" s="12"/>
    </row>
    <row r="1330" spans="116:117" x14ac:dyDescent="0.2">
      <c r="DL1330" s="12"/>
      <c r="DM1330" s="12"/>
    </row>
    <row r="1331" spans="116:117" x14ac:dyDescent="0.2">
      <c r="DL1331" s="12"/>
      <c r="DM1331" s="12"/>
    </row>
    <row r="1332" spans="116:117" x14ac:dyDescent="0.2">
      <c r="DL1332" s="12"/>
      <c r="DM1332" s="12"/>
    </row>
    <row r="1333" spans="116:117" x14ac:dyDescent="0.2">
      <c r="DL1333" s="12"/>
      <c r="DM1333" s="12"/>
    </row>
    <row r="1334" spans="116:117" x14ac:dyDescent="0.2">
      <c r="DL1334" s="12"/>
      <c r="DM1334" s="12"/>
    </row>
    <row r="1335" spans="116:117" x14ac:dyDescent="0.2">
      <c r="DL1335" s="12"/>
      <c r="DM1335" s="12"/>
    </row>
    <row r="1336" spans="116:117" x14ac:dyDescent="0.2">
      <c r="DL1336" s="12"/>
      <c r="DM1336" s="12"/>
    </row>
    <row r="1337" spans="116:117" x14ac:dyDescent="0.2">
      <c r="DL1337" s="12"/>
      <c r="DM1337" s="12"/>
    </row>
    <row r="1338" spans="116:117" x14ac:dyDescent="0.2">
      <c r="DL1338" s="12"/>
      <c r="DM1338" s="12"/>
    </row>
    <row r="1339" spans="116:117" x14ac:dyDescent="0.2">
      <c r="DL1339" s="12"/>
      <c r="DM1339" s="12"/>
    </row>
    <row r="1340" spans="116:117" x14ac:dyDescent="0.2">
      <c r="DL1340" s="12"/>
      <c r="DM1340" s="12"/>
    </row>
    <row r="1341" spans="116:117" x14ac:dyDescent="0.2">
      <c r="DL1341" s="12"/>
      <c r="DM1341" s="12"/>
    </row>
    <row r="1342" spans="116:117" x14ac:dyDescent="0.2">
      <c r="DL1342" s="12"/>
      <c r="DM1342" s="12"/>
    </row>
    <row r="1343" spans="116:117" x14ac:dyDescent="0.2">
      <c r="DL1343" s="12"/>
      <c r="DM1343" s="12"/>
    </row>
    <row r="1344" spans="116:117" x14ac:dyDescent="0.2">
      <c r="DL1344" s="12"/>
      <c r="DM1344" s="12"/>
    </row>
    <row r="1345" spans="116:117" x14ac:dyDescent="0.2">
      <c r="DL1345" s="12"/>
      <c r="DM1345" s="12"/>
    </row>
    <row r="1346" spans="116:117" x14ac:dyDescent="0.2">
      <c r="DL1346" s="12"/>
      <c r="DM1346" s="12"/>
    </row>
    <row r="1347" spans="116:117" x14ac:dyDescent="0.2">
      <c r="DL1347" s="12"/>
      <c r="DM1347" s="12"/>
    </row>
    <row r="1348" spans="116:117" x14ac:dyDescent="0.2">
      <c r="DL1348" s="12"/>
      <c r="DM1348" s="12"/>
    </row>
    <row r="1349" spans="116:117" x14ac:dyDescent="0.2">
      <c r="DL1349" s="12"/>
      <c r="DM1349" s="12"/>
    </row>
    <row r="1350" spans="116:117" x14ac:dyDescent="0.2">
      <c r="DL1350" s="12"/>
      <c r="DM1350" s="12"/>
    </row>
    <row r="1351" spans="116:117" x14ac:dyDescent="0.2">
      <c r="DL1351" s="12"/>
      <c r="DM1351" s="12"/>
    </row>
    <row r="1352" spans="116:117" x14ac:dyDescent="0.2">
      <c r="DL1352" s="12"/>
      <c r="DM1352" s="12"/>
    </row>
    <row r="1353" spans="116:117" x14ac:dyDescent="0.2">
      <c r="DL1353" s="12"/>
      <c r="DM1353" s="12"/>
    </row>
    <row r="1354" spans="116:117" x14ac:dyDescent="0.2">
      <c r="DL1354" s="12"/>
      <c r="DM1354" s="12"/>
    </row>
    <row r="1355" spans="116:117" x14ac:dyDescent="0.2">
      <c r="DL1355" s="12"/>
      <c r="DM1355" s="12"/>
    </row>
    <row r="1356" spans="116:117" x14ac:dyDescent="0.2">
      <c r="DL1356" s="12"/>
      <c r="DM1356" s="12"/>
    </row>
    <row r="1357" spans="116:117" x14ac:dyDescent="0.2">
      <c r="DL1357" s="12"/>
      <c r="DM1357" s="12"/>
    </row>
    <row r="1358" spans="116:117" x14ac:dyDescent="0.2">
      <c r="DL1358" s="12"/>
      <c r="DM1358" s="12"/>
    </row>
    <row r="1359" spans="116:117" x14ac:dyDescent="0.2">
      <c r="DL1359" s="12"/>
      <c r="DM1359" s="12"/>
    </row>
    <row r="1360" spans="116:117" x14ac:dyDescent="0.2">
      <c r="DL1360" s="12"/>
      <c r="DM1360" s="12"/>
    </row>
    <row r="1361" spans="116:117" x14ac:dyDescent="0.2">
      <c r="DL1361" s="12"/>
      <c r="DM1361" s="12"/>
    </row>
    <row r="1362" spans="116:117" x14ac:dyDescent="0.2">
      <c r="DL1362" s="12"/>
      <c r="DM1362" s="12"/>
    </row>
    <row r="1363" spans="116:117" x14ac:dyDescent="0.2">
      <c r="DL1363" s="12"/>
      <c r="DM1363" s="12"/>
    </row>
    <row r="1364" spans="116:117" x14ac:dyDescent="0.2">
      <c r="DL1364" s="12"/>
      <c r="DM1364" s="12"/>
    </row>
    <row r="1365" spans="116:117" x14ac:dyDescent="0.2">
      <c r="DL1365" s="12"/>
      <c r="DM1365" s="12"/>
    </row>
    <row r="1366" spans="116:117" x14ac:dyDescent="0.2">
      <c r="DL1366" s="12"/>
      <c r="DM1366" s="12"/>
    </row>
    <row r="1367" spans="116:117" x14ac:dyDescent="0.2">
      <c r="DL1367" s="12"/>
      <c r="DM1367" s="12"/>
    </row>
    <row r="1368" spans="116:117" x14ac:dyDescent="0.2">
      <c r="DL1368" s="12"/>
      <c r="DM1368" s="12"/>
    </row>
    <row r="1369" spans="116:117" x14ac:dyDescent="0.2">
      <c r="DL1369" s="12"/>
      <c r="DM1369" s="12"/>
    </row>
    <row r="1370" spans="116:117" x14ac:dyDescent="0.2">
      <c r="DL1370" s="12"/>
      <c r="DM1370" s="12"/>
    </row>
    <row r="1371" spans="116:117" x14ac:dyDescent="0.2">
      <c r="DL1371" s="12"/>
      <c r="DM1371" s="12"/>
    </row>
    <row r="1372" spans="116:117" x14ac:dyDescent="0.2">
      <c r="DL1372" s="12"/>
      <c r="DM1372" s="12"/>
    </row>
    <row r="1373" spans="116:117" x14ac:dyDescent="0.2">
      <c r="DL1373" s="12"/>
      <c r="DM1373" s="12"/>
    </row>
    <row r="1374" spans="116:117" x14ac:dyDescent="0.2">
      <c r="DL1374" s="12"/>
      <c r="DM1374" s="12"/>
    </row>
    <row r="1375" spans="116:117" x14ac:dyDescent="0.2">
      <c r="DL1375" s="12"/>
      <c r="DM1375" s="12"/>
    </row>
    <row r="1376" spans="116:117" x14ac:dyDescent="0.2">
      <c r="DL1376" s="12"/>
      <c r="DM1376" s="12"/>
    </row>
    <row r="1377" spans="116:117" x14ac:dyDescent="0.2">
      <c r="DL1377" s="12"/>
      <c r="DM1377" s="12"/>
    </row>
    <row r="1378" spans="116:117" x14ac:dyDescent="0.2">
      <c r="DL1378" s="12"/>
      <c r="DM1378" s="12"/>
    </row>
    <row r="1379" spans="116:117" x14ac:dyDescent="0.2">
      <c r="DL1379" s="12"/>
      <c r="DM1379" s="12"/>
    </row>
    <row r="1380" spans="116:117" x14ac:dyDescent="0.2">
      <c r="DL1380" s="12"/>
      <c r="DM1380" s="12"/>
    </row>
    <row r="1381" spans="116:117" x14ac:dyDescent="0.2">
      <c r="DL1381" s="12"/>
      <c r="DM1381" s="12"/>
    </row>
    <row r="1382" spans="116:117" x14ac:dyDescent="0.2">
      <c r="DL1382" s="12"/>
      <c r="DM1382" s="12"/>
    </row>
    <row r="1383" spans="116:117" x14ac:dyDescent="0.2">
      <c r="DL1383" s="12"/>
      <c r="DM1383" s="12"/>
    </row>
    <row r="1384" spans="116:117" x14ac:dyDescent="0.2">
      <c r="DL1384" s="12"/>
      <c r="DM1384" s="12"/>
    </row>
    <row r="1385" spans="116:117" x14ac:dyDescent="0.2">
      <c r="DL1385" s="12"/>
      <c r="DM1385" s="12"/>
    </row>
    <row r="1386" spans="116:117" x14ac:dyDescent="0.2">
      <c r="DL1386" s="12"/>
      <c r="DM1386" s="12"/>
    </row>
    <row r="1387" spans="116:117" x14ac:dyDescent="0.2">
      <c r="DL1387" s="12"/>
      <c r="DM1387" s="12"/>
    </row>
    <row r="1388" spans="116:117" x14ac:dyDescent="0.2">
      <c r="DL1388" s="12"/>
      <c r="DM1388" s="12"/>
    </row>
    <row r="1389" spans="116:117" x14ac:dyDescent="0.2">
      <c r="DL1389" s="12"/>
      <c r="DM1389" s="12"/>
    </row>
    <row r="1390" spans="116:117" x14ac:dyDescent="0.2">
      <c r="DL1390" s="12"/>
      <c r="DM1390" s="12"/>
    </row>
    <row r="1391" spans="116:117" x14ac:dyDescent="0.2">
      <c r="DL1391" s="12"/>
      <c r="DM1391" s="12"/>
    </row>
    <row r="1392" spans="116:117" x14ac:dyDescent="0.2">
      <c r="DL1392" s="12"/>
      <c r="DM1392" s="12"/>
    </row>
    <row r="1393" spans="116:117" x14ac:dyDescent="0.2">
      <c r="DL1393" s="12"/>
      <c r="DM1393" s="12"/>
    </row>
    <row r="1394" spans="116:117" x14ac:dyDescent="0.2">
      <c r="DL1394" s="12"/>
      <c r="DM1394" s="12"/>
    </row>
    <row r="1395" spans="116:117" x14ac:dyDescent="0.2">
      <c r="DL1395" s="12"/>
      <c r="DM1395" s="12"/>
    </row>
    <row r="1396" spans="116:117" x14ac:dyDescent="0.2">
      <c r="DL1396" s="12"/>
      <c r="DM1396" s="12"/>
    </row>
    <row r="1397" spans="116:117" x14ac:dyDescent="0.2">
      <c r="DL1397" s="12"/>
      <c r="DM1397" s="12"/>
    </row>
    <row r="1398" spans="116:117" x14ac:dyDescent="0.2">
      <c r="DL1398" s="12"/>
      <c r="DM1398" s="12"/>
    </row>
    <row r="1399" spans="116:117" x14ac:dyDescent="0.2">
      <c r="DL1399" s="12"/>
      <c r="DM1399" s="12"/>
    </row>
    <row r="1400" spans="116:117" x14ac:dyDescent="0.2">
      <c r="DL1400" s="12"/>
      <c r="DM1400" s="12"/>
    </row>
    <row r="1401" spans="116:117" x14ac:dyDescent="0.2">
      <c r="DL1401" s="12"/>
      <c r="DM1401" s="12"/>
    </row>
    <row r="1402" spans="116:117" x14ac:dyDescent="0.2">
      <c r="DL1402" s="12"/>
      <c r="DM1402" s="12"/>
    </row>
    <row r="1403" spans="116:117" x14ac:dyDescent="0.2">
      <c r="DL1403" s="12"/>
      <c r="DM1403" s="12"/>
    </row>
    <row r="1404" spans="116:117" x14ac:dyDescent="0.2">
      <c r="DL1404" s="12"/>
      <c r="DM1404" s="12"/>
    </row>
    <row r="1405" spans="116:117" x14ac:dyDescent="0.2">
      <c r="DL1405" s="12"/>
      <c r="DM1405" s="12"/>
    </row>
    <row r="1406" spans="116:117" x14ac:dyDescent="0.2">
      <c r="DL1406" s="12"/>
      <c r="DM1406" s="12"/>
    </row>
    <row r="1407" spans="116:117" x14ac:dyDescent="0.2">
      <c r="DL1407" s="12"/>
      <c r="DM1407" s="12"/>
    </row>
    <row r="1408" spans="116:117" x14ac:dyDescent="0.2">
      <c r="DL1408" s="12"/>
      <c r="DM1408" s="12"/>
    </row>
    <row r="1409" spans="116:117" x14ac:dyDescent="0.2">
      <c r="DL1409" s="12"/>
      <c r="DM1409" s="12"/>
    </row>
    <row r="1410" spans="116:117" x14ac:dyDescent="0.2">
      <c r="DL1410" s="12"/>
      <c r="DM1410" s="12"/>
    </row>
    <row r="1411" spans="116:117" x14ac:dyDescent="0.2">
      <c r="DL1411" s="12"/>
      <c r="DM1411" s="12"/>
    </row>
    <row r="1412" spans="116:117" x14ac:dyDescent="0.2">
      <c r="DL1412" s="12"/>
      <c r="DM1412" s="12"/>
    </row>
    <row r="1413" spans="116:117" x14ac:dyDescent="0.2">
      <c r="DL1413" s="12"/>
      <c r="DM1413" s="12"/>
    </row>
    <row r="1414" spans="116:117" x14ac:dyDescent="0.2">
      <c r="DL1414" s="12"/>
      <c r="DM1414" s="12"/>
    </row>
    <row r="1415" spans="116:117" x14ac:dyDescent="0.2">
      <c r="DL1415" s="12"/>
      <c r="DM1415" s="12"/>
    </row>
    <row r="1416" spans="116:117" x14ac:dyDescent="0.2">
      <c r="DL1416" s="12"/>
      <c r="DM1416" s="12"/>
    </row>
    <row r="1417" spans="116:117" x14ac:dyDescent="0.2">
      <c r="DL1417" s="12"/>
      <c r="DM1417" s="12"/>
    </row>
    <row r="1418" spans="116:117" x14ac:dyDescent="0.2">
      <c r="DL1418" s="12"/>
      <c r="DM1418" s="12"/>
    </row>
    <row r="1419" spans="116:117" x14ac:dyDescent="0.2">
      <c r="DL1419" s="12"/>
      <c r="DM1419" s="12"/>
    </row>
    <row r="1420" spans="116:117" x14ac:dyDescent="0.2">
      <c r="DL1420" s="12"/>
      <c r="DM1420" s="12"/>
    </row>
    <row r="1421" spans="116:117" x14ac:dyDescent="0.2">
      <c r="DL1421" s="12"/>
      <c r="DM142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1406</vt:i4>
      </vt:variant>
    </vt:vector>
  </HeadingPairs>
  <TitlesOfParts>
    <vt:vector size="1419" baseType="lpstr">
      <vt:lpstr>Project Variables</vt:lpstr>
      <vt:lpstr>Target Settings</vt:lpstr>
      <vt:lpstr>Results</vt:lpstr>
      <vt:lpstr>Result Targets</vt:lpstr>
      <vt:lpstr>KPI Impacts</vt:lpstr>
      <vt:lpstr>Startups</vt:lpstr>
      <vt:lpstr>Economy Ministry</vt:lpstr>
      <vt:lpstr>Environment Ministry</vt:lpstr>
      <vt:lpstr>Defence Ministry</vt:lpstr>
      <vt:lpstr>Education Ministry</vt:lpstr>
      <vt:lpstr>Crises</vt:lpstr>
      <vt:lpstr>Breaking News</vt:lpstr>
      <vt:lpstr>Dilemmas</vt:lpstr>
      <vt:lpstr>_C1</vt:lpstr>
      <vt:lpstr>_C1Enabled</vt:lpstr>
      <vt:lpstr>_C1Prepared</vt:lpstr>
      <vt:lpstr>_C1Show</vt:lpstr>
      <vt:lpstr>_C1ShowCrisisCard</vt:lpstr>
      <vt:lpstr>_C1Year</vt:lpstr>
      <vt:lpstr>_C2</vt:lpstr>
      <vt:lpstr>_C2Enabled</vt:lpstr>
      <vt:lpstr>_C2Prepared</vt:lpstr>
      <vt:lpstr>_C2Show</vt:lpstr>
      <vt:lpstr>_C2ShowCrisisCard</vt:lpstr>
      <vt:lpstr>_C2Year</vt:lpstr>
      <vt:lpstr>_C3</vt:lpstr>
      <vt:lpstr>_C3Enabled</vt:lpstr>
      <vt:lpstr>_C3Prepared</vt:lpstr>
      <vt:lpstr>_C3Show</vt:lpstr>
      <vt:lpstr>_C3ShowCrisisCard</vt:lpstr>
      <vt:lpstr>_C3Year</vt:lpstr>
      <vt:lpstr>_C4</vt:lpstr>
      <vt:lpstr>_C4Enabled</vt:lpstr>
      <vt:lpstr>_C4Prepared</vt:lpstr>
      <vt:lpstr>_C4Show</vt:lpstr>
      <vt:lpstr>_C4ShowCrisisCard</vt:lpstr>
      <vt:lpstr>_C4Year</vt:lpstr>
      <vt:lpstr>_C5</vt:lpstr>
      <vt:lpstr>_C5Enabled</vt:lpstr>
      <vt:lpstr>_C5Prepared</vt:lpstr>
      <vt:lpstr>_C5Show</vt:lpstr>
      <vt:lpstr>_C5ShowCrisisCard</vt:lpstr>
      <vt:lpstr>_C5Year</vt:lpstr>
      <vt:lpstr>_C6</vt:lpstr>
      <vt:lpstr>_C6Enabled</vt:lpstr>
      <vt:lpstr>_C6Prepared</vt:lpstr>
      <vt:lpstr>_C6Show</vt:lpstr>
      <vt:lpstr>_C6ShowCrisisCard</vt:lpstr>
      <vt:lpstr>_C6Year</vt:lpstr>
      <vt:lpstr>Accountability</vt:lpstr>
      <vt:lpstr>AIContributionToGDP</vt:lpstr>
      <vt:lpstr>AIContributionToGDPPercOfTargetAchieved</vt:lpstr>
      <vt:lpstr>AIContributionToGDPTarget</vt:lpstr>
      <vt:lpstr>AIFDIStock</vt:lpstr>
      <vt:lpstr>AIFDIStockPercOfTargetAchieved</vt:lpstr>
      <vt:lpstr>AIFDIStockTarget</vt:lpstr>
      <vt:lpstr>AIFeedbackEnabled</vt:lpstr>
      <vt:lpstr>AILiteracy</vt:lpstr>
      <vt:lpstr>AILiteracyPercOfTargetAchieved</vt:lpstr>
      <vt:lpstr>AILiteracyTarget</vt:lpstr>
      <vt:lpstr>AutonomousSystemsSafteyIndex</vt:lpstr>
      <vt:lpstr>AutonomousSystemsSafteyIndexPercOfTargetAchieved</vt:lpstr>
      <vt:lpstr>AutonomousSystemsSafteyIndexTarget</vt:lpstr>
      <vt:lpstr>AverageMinistryScore</vt:lpstr>
      <vt:lpstr>CarbonIntensityFromDataCenters</vt:lpstr>
      <vt:lpstr>CircularityIndex</vt:lpstr>
      <vt:lpstr>CircularityIndexPercOfTargetAchieved</vt:lpstr>
      <vt:lpstr>CircularityIndexTarget</vt:lpstr>
      <vt:lpstr>CumulativeStartupImpactYear</vt:lpstr>
      <vt:lpstr>CybersecurityIndex</vt:lpstr>
      <vt:lpstr>CybersecurityIndexPercOfTargetAchieved</vt:lpstr>
      <vt:lpstr>CybersecurityIndexTarget</vt:lpstr>
      <vt:lpstr>DefAvaialbleToAllocate</vt:lpstr>
      <vt:lpstr>DefBudget</vt:lpstr>
      <vt:lpstr>DefBudgetRemaining</vt:lpstr>
      <vt:lpstr>DefConfirmed</vt:lpstr>
      <vt:lpstr>DefCumulativeRnDImpactYear</vt:lpstr>
      <vt:lpstr>DefEnabled</vt:lpstr>
      <vt:lpstr>DefenseExports</vt:lpstr>
      <vt:lpstr>DefenseImports</vt:lpstr>
      <vt:lpstr>DefenseScore</vt:lpstr>
      <vt:lpstr>DefInitialCost</vt:lpstr>
      <vt:lpstr>DefNextYearReucurringCost</vt:lpstr>
      <vt:lpstr>DefPro10</vt:lpstr>
      <vt:lpstr>DefPro10CanCancel</vt:lpstr>
      <vt:lpstr>DefPro10CostRecurringValue</vt:lpstr>
      <vt:lpstr>DefPro10CostValue</vt:lpstr>
      <vt:lpstr>DefPro10Decided2yrsago</vt:lpstr>
      <vt:lpstr>DefPro10Decidedlastyr</vt:lpstr>
      <vt:lpstr>DefPro10New</vt:lpstr>
      <vt:lpstr>DefPro10Reasoning</vt:lpstr>
      <vt:lpstr>DefPro10Response</vt:lpstr>
      <vt:lpstr>DefPro10Show</vt:lpstr>
      <vt:lpstr>DefPro10Sort</vt:lpstr>
      <vt:lpstr>DefPro10Type</vt:lpstr>
      <vt:lpstr>DefPro10YearSelected</vt:lpstr>
      <vt:lpstr>DefPro11</vt:lpstr>
      <vt:lpstr>DefPro11CanCancel</vt:lpstr>
      <vt:lpstr>DefPro11CostRecurringValue</vt:lpstr>
      <vt:lpstr>DefPro11CostValue</vt:lpstr>
      <vt:lpstr>DefPro11Decided2yrsago</vt:lpstr>
      <vt:lpstr>DefPro11Decidedlastyr</vt:lpstr>
      <vt:lpstr>DefPro11New</vt:lpstr>
      <vt:lpstr>DefPro11Reasoning</vt:lpstr>
      <vt:lpstr>DefPro11Response</vt:lpstr>
      <vt:lpstr>DefPro11Show</vt:lpstr>
      <vt:lpstr>DefPro11Sort</vt:lpstr>
      <vt:lpstr>DefPro11Type</vt:lpstr>
      <vt:lpstr>DefPro11YearSelected</vt:lpstr>
      <vt:lpstr>DefPro12</vt:lpstr>
      <vt:lpstr>DefPro12CanCancel</vt:lpstr>
      <vt:lpstr>DefPro12CostRecurringValue</vt:lpstr>
      <vt:lpstr>DefPro12CostValue</vt:lpstr>
      <vt:lpstr>DefPro12Decided2yrsago</vt:lpstr>
      <vt:lpstr>DefPro12Decidedlastyr</vt:lpstr>
      <vt:lpstr>DefPro12New</vt:lpstr>
      <vt:lpstr>DefPro12Reasoning</vt:lpstr>
      <vt:lpstr>DefPro12Response</vt:lpstr>
      <vt:lpstr>DefPro12Show</vt:lpstr>
      <vt:lpstr>DefPro12Sort</vt:lpstr>
      <vt:lpstr>DefPro12Type</vt:lpstr>
      <vt:lpstr>DefPro12YearSelected</vt:lpstr>
      <vt:lpstr>DefPro13</vt:lpstr>
      <vt:lpstr>DefPro13CanCancel</vt:lpstr>
      <vt:lpstr>DefPro13CostRecurringValue</vt:lpstr>
      <vt:lpstr>DefPro13CostValue</vt:lpstr>
      <vt:lpstr>DefPro13Decided2yrsago</vt:lpstr>
      <vt:lpstr>DefPro13Decidedlastyr</vt:lpstr>
      <vt:lpstr>DefPro13New</vt:lpstr>
      <vt:lpstr>DefPro13Reasoning</vt:lpstr>
      <vt:lpstr>DefPro13Response</vt:lpstr>
      <vt:lpstr>DefPro13Show</vt:lpstr>
      <vt:lpstr>DefPro13Sort</vt:lpstr>
      <vt:lpstr>DefPro13Type</vt:lpstr>
      <vt:lpstr>DefPro13YearSelected</vt:lpstr>
      <vt:lpstr>DefPro14</vt:lpstr>
      <vt:lpstr>DefPro14CanCancel</vt:lpstr>
      <vt:lpstr>DefPro14CostRecurringValue</vt:lpstr>
      <vt:lpstr>DefPro14CostValue</vt:lpstr>
      <vt:lpstr>DefPro14Decided2yrsago</vt:lpstr>
      <vt:lpstr>DefPro14Decidedlastyr</vt:lpstr>
      <vt:lpstr>DefPro14New</vt:lpstr>
      <vt:lpstr>DefPro14Reasoning</vt:lpstr>
      <vt:lpstr>DefPro14Response</vt:lpstr>
      <vt:lpstr>DefPro14Show</vt:lpstr>
      <vt:lpstr>DefPro14Sort</vt:lpstr>
      <vt:lpstr>DefPro14Type</vt:lpstr>
      <vt:lpstr>DefPro14YearSelected</vt:lpstr>
      <vt:lpstr>DefPro15</vt:lpstr>
      <vt:lpstr>DefPro15CanCancel</vt:lpstr>
      <vt:lpstr>DefPro15CostRecurringValue</vt:lpstr>
      <vt:lpstr>DefPro15CostValue</vt:lpstr>
      <vt:lpstr>DefPro15Decided2yrsago</vt:lpstr>
      <vt:lpstr>DefPro15Decidedlastyr</vt:lpstr>
      <vt:lpstr>DefPro15New</vt:lpstr>
      <vt:lpstr>DefPro15Reasoning</vt:lpstr>
      <vt:lpstr>DefPro15Response</vt:lpstr>
      <vt:lpstr>DefPro15Show</vt:lpstr>
      <vt:lpstr>DefPro15Sort</vt:lpstr>
      <vt:lpstr>DefPro15Type</vt:lpstr>
      <vt:lpstr>DefPro15YearSelected</vt:lpstr>
      <vt:lpstr>DefPro16</vt:lpstr>
      <vt:lpstr>DefPro16CanCancel</vt:lpstr>
      <vt:lpstr>DefPro16CostRecurringValue</vt:lpstr>
      <vt:lpstr>DefPro16CostValue</vt:lpstr>
      <vt:lpstr>DefPro16Decided2yrsago</vt:lpstr>
      <vt:lpstr>DefPro16Decidedlastyr</vt:lpstr>
      <vt:lpstr>DefPro16New</vt:lpstr>
      <vt:lpstr>DefPro16Reasoning</vt:lpstr>
      <vt:lpstr>DefPro16Response</vt:lpstr>
      <vt:lpstr>DefPro16Show</vt:lpstr>
      <vt:lpstr>DefPro16Sort</vt:lpstr>
      <vt:lpstr>DefPro16Type</vt:lpstr>
      <vt:lpstr>DefPro16YearSelected</vt:lpstr>
      <vt:lpstr>DefPro17</vt:lpstr>
      <vt:lpstr>DefPro17CanCancel</vt:lpstr>
      <vt:lpstr>DefPro17CostRecurringValue</vt:lpstr>
      <vt:lpstr>DefPro17CostValue</vt:lpstr>
      <vt:lpstr>DefPro17Decided2yrsago</vt:lpstr>
      <vt:lpstr>DefPro17Decidedlastyr</vt:lpstr>
      <vt:lpstr>DefPro17New</vt:lpstr>
      <vt:lpstr>DefPro17Reasoning</vt:lpstr>
      <vt:lpstr>DefPro17Response</vt:lpstr>
      <vt:lpstr>DefPro17Show</vt:lpstr>
      <vt:lpstr>DefPro17Sort</vt:lpstr>
      <vt:lpstr>DefPro17Type</vt:lpstr>
      <vt:lpstr>DefPro17YearSelected</vt:lpstr>
      <vt:lpstr>DefPro18</vt:lpstr>
      <vt:lpstr>DefPro18CanCancel</vt:lpstr>
      <vt:lpstr>DefPro18CostRecurringValue</vt:lpstr>
      <vt:lpstr>DefPro18CostValue</vt:lpstr>
      <vt:lpstr>DefPro18Decided2yrsago</vt:lpstr>
      <vt:lpstr>DefPro18Decidedlastyr</vt:lpstr>
      <vt:lpstr>DefPro18New</vt:lpstr>
      <vt:lpstr>DefPro18Reasoning</vt:lpstr>
      <vt:lpstr>DefPro18Response</vt:lpstr>
      <vt:lpstr>DefPro18Show</vt:lpstr>
      <vt:lpstr>DefPro18Sort</vt:lpstr>
      <vt:lpstr>DefPro18YearSelected</vt:lpstr>
      <vt:lpstr>DefPro19</vt:lpstr>
      <vt:lpstr>DefPro19CanCancel</vt:lpstr>
      <vt:lpstr>DefPro19CostRecurringValue</vt:lpstr>
      <vt:lpstr>DefPro19CostValue</vt:lpstr>
      <vt:lpstr>DefPro19Decided2yrsago</vt:lpstr>
      <vt:lpstr>DefPro19Decidedlastyr</vt:lpstr>
      <vt:lpstr>DefPro19New</vt:lpstr>
      <vt:lpstr>DefPro19Reasoning</vt:lpstr>
      <vt:lpstr>DefPro19Response</vt:lpstr>
      <vt:lpstr>DefPro19Show</vt:lpstr>
      <vt:lpstr>DefPro19Sort</vt:lpstr>
      <vt:lpstr>DefPro19YearSelected</vt:lpstr>
      <vt:lpstr>DefPro20</vt:lpstr>
      <vt:lpstr>DefPro20CanCancel</vt:lpstr>
      <vt:lpstr>DefPro20CostRecurringValue</vt:lpstr>
      <vt:lpstr>DefPro20CostValue</vt:lpstr>
      <vt:lpstr>DefPro20Decided2yrsago</vt:lpstr>
      <vt:lpstr>DefPro20Decidedlastyr</vt:lpstr>
      <vt:lpstr>DefPro20New</vt:lpstr>
      <vt:lpstr>DefPro20Reasoning</vt:lpstr>
      <vt:lpstr>DefPro20Response</vt:lpstr>
      <vt:lpstr>DefPro20Show</vt:lpstr>
      <vt:lpstr>DefPro20Sort</vt:lpstr>
      <vt:lpstr>DefPro20YearSelected</vt:lpstr>
      <vt:lpstr>DefPro21</vt:lpstr>
      <vt:lpstr>DefPro21CanCancel</vt:lpstr>
      <vt:lpstr>DefPro21CostRecurringValue</vt:lpstr>
      <vt:lpstr>DefPro21CostValue</vt:lpstr>
      <vt:lpstr>DefPro21Decided2yrsago</vt:lpstr>
      <vt:lpstr>DefPro21Decidedlastyr</vt:lpstr>
      <vt:lpstr>DefPro21New</vt:lpstr>
      <vt:lpstr>DefPro21Reasoning</vt:lpstr>
      <vt:lpstr>DefPro21Response</vt:lpstr>
      <vt:lpstr>DefPro21Show</vt:lpstr>
      <vt:lpstr>DefPro21Sort</vt:lpstr>
      <vt:lpstr>DefPro21YearSelected</vt:lpstr>
      <vt:lpstr>DefPro22</vt:lpstr>
      <vt:lpstr>DefPro22CanCancel</vt:lpstr>
      <vt:lpstr>DefPro22CostRecurringValue</vt:lpstr>
      <vt:lpstr>DefPro22CostValue</vt:lpstr>
      <vt:lpstr>DefPro22Decided2yrsago</vt:lpstr>
      <vt:lpstr>DefPro22Decidedlastyr</vt:lpstr>
      <vt:lpstr>DefPro22New</vt:lpstr>
      <vt:lpstr>DefPro22Reasoning</vt:lpstr>
      <vt:lpstr>DefPro22Response</vt:lpstr>
      <vt:lpstr>DefPro22Show</vt:lpstr>
      <vt:lpstr>DefPro22Sort</vt:lpstr>
      <vt:lpstr>DefPro22YearSelected</vt:lpstr>
      <vt:lpstr>DefPro23</vt:lpstr>
      <vt:lpstr>DefPro23CanCancel</vt:lpstr>
      <vt:lpstr>DefPro23CostRecurringValue</vt:lpstr>
      <vt:lpstr>DefPro23CostValue</vt:lpstr>
      <vt:lpstr>DefPro23Decided2yrsago</vt:lpstr>
      <vt:lpstr>DefPro23Decidedlastyr</vt:lpstr>
      <vt:lpstr>DefPro23New</vt:lpstr>
      <vt:lpstr>DefPro23Reasoning</vt:lpstr>
      <vt:lpstr>DefPro23Response</vt:lpstr>
      <vt:lpstr>DefPro23Show</vt:lpstr>
      <vt:lpstr>DefPro23Sort</vt:lpstr>
      <vt:lpstr>DefPro23YearSelected</vt:lpstr>
      <vt:lpstr>DefPro24</vt:lpstr>
      <vt:lpstr>DefPro24CanCancel</vt:lpstr>
      <vt:lpstr>DefPro24CostRecurringValue</vt:lpstr>
      <vt:lpstr>DefPro24CostValue</vt:lpstr>
      <vt:lpstr>DefPro24Decided2yrsago</vt:lpstr>
      <vt:lpstr>DefPro24Decidedlastyr</vt:lpstr>
      <vt:lpstr>DefPro24New</vt:lpstr>
      <vt:lpstr>DefPro24Reasoning</vt:lpstr>
      <vt:lpstr>DefPro24Response</vt:lpstr>
      <vt:lpstr>DefPro24Show</vt:lpstr>
      <vt:lpstr>DefPro24Sort</vt:lpstr>
      <vt:lpstr>DefPro24YearSelected</vt:lpstr>
      <vt:lpstr>DefPro3</vt:lpstr>
      <vt:lpstr>DefPro3CanCancel</vt:lpstr>
      <vt:lpstr>DefPro3CostRecurringValue</vt:lpstr>
      <vt:lpstr>DefPro3CostValue</vt:lpstr>
      <vt:lpstr>DefPro3Decided2yrsago</vt:lpstr>
      <vt:lpstr>DefPro3Decidedlastyr</vt:lpstr>
      <vt:lpstr>DefPro3New</vt:lpstr>
      <vt:lpstr>DefPro3Reasoning</vt:lpstr>
      <vt:lpstr>DefPro3Response</vt:lpstr>
      <vt:lpstr>DefPro3Show</vt:lpstr>
      <vt:lpstr>DefPro3Sort</vt:lpstr>
      <vt:lpstr>DefPro3Type</vt:lpstr>
      <vt:lpstr>DefPro3YearSelected</vt:lpstr>
      <vt:lpstr>DefPro4</vt:lpstr>
      <vt:lpstr>DefPro4CanCancel</vt:lpstr>
      <vt:lpstr>DefPro4CostRecurringValue</vt:lpstr>
      <vt:lpstr>DefPro4CostValue</vt:lpstr>
      <vt:lpstr>DefPro4Decided2yrsago</vt:lpstr>
      <vt:lpstr>DefPro4Decidedlastyr</vt:lpstr>
      <vt:lpstr>DefPro4New</vt:lpstr>
      <vt:lpstr>DefPro4Reasoning</vt:lpstr>
      <vt:lpstr>DefPro4Response</vt:lpstr>
      <vt:lpstr>DefPro4Show</vt:lpstr>
      <vt:lpstr>DefPro4Sort</vt:lpstr>
      <vt:lpstr>DefPro4Type</vt:lpstr>
      <vt:lpstr>DefPro4YearSelected</vt:lpstr>
      <vt:lpstr>DefPro5</vt:lpstr>
      <vt:lpstr>DefPro5CanCancel</vt:lpstr>
      <vt:lpstr>DefPro5CostRecurringValue</vt:lpstr>
      <vt:lpstr>DefPro5CostValue</vt:lpstr>
      <vt:lpstr>DefPro5Decided2yrsago</vt:lpstr>
      <vt:lpstr>DefPro5Decidedlastyr</vt:lpstr>
      <vt:lpstr>DefPro5New</vt:lpstr>
      <vt:lpstr>DefPro5Reasoning</vt:lpstr>
      <vt:lpstr>DefPro5Response</vt:lpstr>
      <vt:lpstr>DefPro5Show</vt:lpstr>
      <vt:lpstr>DefPro5Sort</vt:lpstr>
      <vt:lpstr>DefPro5Type</vt:lpstr>
      <vt:lpstr>DefPro5YearSelected</vt:lpstr>
      <vt:lpstr>DefPro6</vt:lpstr>
      <vt:lpstr>DefPro6CanCancel</vt:lpstr>
      <vt:lpstr>DefPro6CostRecurringValue</vt:lpstr>
      <vt:lpstr>DefPro6CostValue</vt:lpstr>
      <vt:lpstr>DefPro6Decided2yrsago</vt:lpstr>
      <vt:lpstr>DefPro6Decidedlastyr</vt:lpstr>
      <vt:lpstr>DefPro6New</vt:lpstr>
      <vt:lpstr>DefPro6Reasoning</vt:lpstr>
      <vt:lpstr>DefPro6Response</vt:lpstr>
      <vt:lpstr>DefPro6Show</vt:lpstr>
      <vt:lpstr>DefPro6Sort</vt:lpstr>
      <vt:lpstr>DefPro6Type</vt:lpstr>
      <vt:lpstr>DefPro6YearSelected</vt:lpstr>
      <vt:lpstr>DefPro7</vt:lpstr>
      <vt:lpstr>DefPro7CanCancel</vt:lpstr>
      <vt:lpstr>DefPro7CostRecurringValue</vt:lpstr>
      <vt:lpstr>DefPro7CostValue</vt:lpstr>
      <vt:lpstr>DefPro7Decided2yrsago</vt:lpstr>
      <vt:lpstr>DefPro7Decidedlastyr</vt:lpstr>
      <vt:lpstr>DefPro7New</vt:lpstr>
      <vt:lpstr>DefPro7Reasoning</vt:lpstr>
      <vt:lpstr>DefPro7Response</vt:lpstr>
      <vt:lpstr>DefPro7Show</vt:lpstr>
      <vt:lpstr>DefPro7Sort</vt:lpstr>
      <vt:lpstr>DefPro7Type</vt:lpstr>
      <vt:lpstr>DefPro7YearSelected</vt:lpstr>
      <vt:lpstr>DefPro8</vt:lpstr>
      <vt:lpstr>DefPro8CanCancel</vt:lpstr>
      <vt:lpstr>DefPro8CostRecurringValue</vt:lpstr>
      <vt:lpstr>DefPro8CostValue</vt:lpstr>
      <vt:lpstr>DefPro8Decided2yrsago</vt:lpstr>
      <vt:lpstr>DefPro8Decidedlastyr</vt:lpstr>
      <vt:lpstr>DefPro8New</vt:lpstr>
      <vt:lpstr>DefPro8Reasoning</vt:lpstr>
      <vt:lpstr>DefPro8Response</vt:lpstr>
      <vt:lpstr>DefPro8Show</vt:lpstr>
      <vt:lpstr>DefPro8Sort</vt:lpstr>
      <vt:lpstr>DefPro8Type</vt:lpstr>
      <vt:lpstr>DefPro8YearSelected</vt:lpstr>
      <vt:lpstr>DefPro9</vt:lpstr>
      <vt:lpstr>DefPro9CanCancel</vt:lpstr>
      <vt:lpstr>DefPro9CostRecurringValue</vt:lpstr>
      <vt:lpstr>DefPro9CostValue</vt:lpstr>
      <vt:lpstr>DefPro9Decided2yrsago</vt:lpstr>
      <vt:lpstr>DefPro9Decidedlastyr</vt:lpstr>
      <vt:lpstr>DefPro9New</vt:lpstr>
      <vt:lpstr>DefPro9Reasoning</vt:lpstr>
      <vt:lpstr>DefPro9Response</vt:lpstr>
      <vt:lpstr>DefPro9Show</vt:lpstr>
      <vt:lpstr>DefPro9Sort</vt:lpstr>
      <vt:lpstr>DefPro9Type</vt:lpstr>
      <vt:lpstr>DefPro9YearSelected</vt:lpstr>
      <vt:lpstr>DefRecurringCost</vt:lpstr>
      <vt:lpstr>DefSlider1</vt:lpstr>
      <vt:lpstr>DefSlider1Cost</vt:lpstr>
      <vt:lpstr>DefSlider1LastYear</vt:lpstr>
      <vt:lpstr>DefSlider2</vt:lpstr>
      <vt:lpstr>DefSlider2Cost</vt:lpstr>
      <vt:lpstr>DefSlider2LastYear</vt:lpstr>
      <vt:lpstr>DefTotalCost</vt:lpstr>
      <vt:lpstr>EcAvaialbleToAllocate</vt:lpstr>
      <vt:lpstr>EcBudget</vt:lpstr>
      <vt:lpstr>EcBudgetRemaining</vt:lpstr>
      <vt:lpstr>EcCarriedOverBudget</vt:lpstr>
      <vt:lpstr>EcConfirmed</vt:lpstr>
      <vt:lpstr>EcCumulativeRnDImpactYear</vt:lpstr>
      <vt:lpstr>EcEnabled</vt:lpstr>
      <vt:lpstr>EcInitialCost</vt:lpstr>
      <vt:lpstr>EcInvBudget</vt:lpstr>
      <vt:lpstr>EcInvBudgetRemaining</vt:lpstr>
      <vt:lpstr>EcNextYearReucurringCost</vt:lpstr>
      <vt:lpstr>EcNumInisRelLastYr</vt:lpstr>
      <vt:lpstr>EconomyScore</vt:lpstr>
      <vt:lpstr>EcosystemIntegrityIndex</vt:lpstr>
      <vt:lpstr>EcosystemIntegrityIndexPercOfTargetAchieved</vt:lpstr>
      <vt:lpstr>EcosystemIntegrityIndexTarget</vt:lpstr>
      <vt:lpstr>EcPro10</vt:lpstr>
      <vt:lpstr>EcPro10CanCancel</vt:lpstr>
      <vt:lpstr>EcPro10CostRecurringValue</vt:lpstr>
      <vt:lpstr>EcPro10CostValue</vt:lpstr>
      <vt:lpstr>EcPro10Decided2yrsago</vt:lpstr>
      <vt:lpstr>EcPro10Decidedlastyr</vt:lpstr>
      <vt:lpstr>EcPro10New</vt:lpstr>
      <vt:lpstr>EcPro10Reasoning</vt:lpstr>
      <vt:lpstr>EcPro10Response</vt:lpstr>
      <vt:lpstr>EcPro10Show</vt:lpstr>
      <vt:lpstr>EcPro10Sort</vt:lpstr>
      <vt:lpstr>EcPro10Type</vt:lpstr>
      <vt:lpstr>EcPro10YearSelected</vt:lpstr>
      <vt:lpstr>EcPro11</vt:lpstr>
      <vt:lpstr>EcPro11CanCancel</vt:lpstr>
      <vt:lpstr>EcPro11CostRecurringValue</vt:lpstr>
      <vt:lpstr>EcPro11CostValue</vt:lpstr>
      <vt:lpstr>EcPro11Decided2yrsago</vt:lpstr>
      <vt:lpstr>EcPro11Decidedlastyr</vt:lpstr>
      <vt:lpstr>EcPro11New</vt:lpstr>
      <vt:lpstr>EcPro11Reasoning</vt:lpstr>
      <vt:lpstr>EcPro11Response</vt:lpstr>
      <vt:lpstr>EcPro11Show</vt:lpstr>
      <vt:lpstr>EcPro11Sort</vt:lpstr>
      <vt:lpstr>EcPro11Type</vt:lpstr>
      <vt:lpstr>EcPro11YearSelected</vt:lpstr>
      <vt:lpstr>EcPro12</vt:lpstr>
      <vt:lpstr>EcPro12CanCancel</vt:lpstr>
      <vt:lpstr>EcPro12CostRecurringValue</vt:lpstr>
      <vt:lpstr>EcPro12CostValue</vt:lpstr>
      <vt:lpstr>EcPro12Decided2yrsago</vt:lpstr>
      <vt:lpstr>EcPro12Decidedlastyr</vt:lpstr>
      <vt:lpstr>EcPro12New</vt:lpstr>
      <vt:lpstr>EcPro12Reasoning</vt:lpstr>
      <vt:lpstr>EcPro12Response</vt:lpstr>
      <vt:lpstr>EcPro12Show</vt:lpstr>
      <vt:lpstr>EcPro12Sort</vt:lpstr>
      <vt:lpstr>EcPro12Type</vt:lpstr>
      <vt:lpstr>EcPro12YearSelected</vt:lpstr>
      <vt:lpstr>EcPro13</vt:lpstr>
      <vt:lpstr>EcPro13CanCancel</vt:lpstr>
      <vt:lpstr>EcPro13CostRecurringValue</vt:lpstr>
      <vt:lpstr>EcPro13CostValue</vt:lpstr>
      <vt:lpstr>EcPro13Decided2yrsago</vt:lpstr>
      <vt:lpstr>EcPro13Decidedlastyr</vt:lpstr>
      <vt:lpstr>EcPro13New</vt:lpstr>
      <vt:lpstr>EcPro13Reasoning</vt:lpstr>
      <vt:lpstr>EcPro13Response</vt:lpstr>
      <vt:lpstr>EcPro13Show</vt:lpstr>
      <vt:lpstr>EcPro13Sort</vt:lpstr>
      <vt:lpstr>EcPro13Type</vt:lpstr>
      <vt:lpstr>EcPro13YearSelected</vt:lpstr>
      <vt:lpstr>EcPro14</vt:lpstr>
      <vt:lpstr>EcPro14CanCancel</vt:lpstr>
      <vt:lpstr>EcPro14CostRecurringValue</vt:lpstr>
      <vt:lpstr>EcPro14CostValue</vt:lpstr>
      <vt:lpstr>EcPro14Decided2yrsago</vt:lpstr>
      <vt:lpstr>EcPro14Decidedlastyr</vt:lpstr>
      <vt:lpstr>EcPro14New</vt:lpstr>
      <vt:lpstr>EcPro14Reasoning</vt:lpstr>
      <vt:lpstr>EcPro14Response</vt:lpstr>
      <vt:lpstr>EcPro14Show</vt:lpstr>
      <vt:lpstr>EcPro14Sort</vt:lpstr>
      <vt:lpstr>EcPro14Type</vt:lpstr>
      <vt:lpstr>EcPro14YearSelected</vt:lpstr>
      <vt:lpstr>EcPro15</vt:lpstr>
      <vt:lpstr>EcPro15CanCancel</vt:lpstr>
      <vt:lpstr>EcPro15CostRecurringValue</vt:lpstr>
      <vt:lpstr>EcPro15CostValue</vt:lpstr>
      <vt:lpstr>EcPro15Decided2yrsago</vt:lpstr>
      <vt:lpstr>EcPro15Decidedlastyr</vt:lpstr>
      <vt:lpstr>EcPro15New</vt:lpstr>
      <vt:lpstr>EcPro15Reasoning</vt:lpstr>
      <vt:lpstr>EcPro15Response</vt:lpstr>
      <vt:lpstr>EcPro15Show</vt:lpstr>
      <vt:lpstr>EcPro15Sort</vt:lpstr>
      <vt:lpstr>EcPro15Type</vt:lpstr>
      <vt:lpstr>EcPro15YearSelected</vt:lpstr>
      <vt:lpstr>EcPro16</vt:lpstr>
      <vt:lpstr>EcPro16CanCancel</vt:lpstr>
      <vt:lpstr>EcPro16CostRecurringValue</vt:lpstr>
      <vt:lpstr>EcPro16CostValue</vt:lpstr>
      <vt:lpstr>EcPro16Decided2yrsago</vt:lpstr>
      <vt:lpstr>EcPro16Decidedlastyr</vt:lpstr>
      <vt:lpstr>EcPro16New</vt:lpstr>
      <vt:lpstr>EcPro16Reasoning</vt:lpstr>
      <vt:lpstr>EcPro16Response</vt:lpstr>
      <vt:lpstr>EcPro16Show</vt:lpstr>
      <vt:lpstr>EcPro16Sort</vt:lpstr>
      <vt:lpstr>EcPro16Type</vt:lpstr>
      <vt:lpstr>EcPro16YearSelected</vt:lpstr>
      <vt:lpstr>EcPro17</vt:lpstr>
      <vt:lpstr>EcPro17CanCancel</vt:lpstr>
      <vt:lpstr>EcPro17CostRecurringValue</vt:lpstr>
      <vt:lpstr>EcPro17CostValue</vt:lpstr>
      <vt:lpstr>EcPro17Decided2yrsago</vt:lpstr>
      <vt:lpstr>EcPro17Decidedlastyr</vt:lpstr>
      <vt:lpstr>EcPro17New</vt:lpstr>
      <vt:lpstr>EcPro17Reasoning</vt:lpstr>
      <vt:lpstr>EcPro17Response</vt:lpstr>
      <vt:lpstr>EcPro17Show</vt:lpstr>
      <vt:lpstr>EcPro17Sort</vt:lpstr>
      <vt:lpstr>EcPro17Type</vt:lpstr>
      <vt:lpstr>EcPro17YearSelected</vt:lpstr>
      <vt:lpstr>EcPro18</vt:lpstr>
      <vt:lpstr>EcPro18CanCancel</vt:lpstr>
      <vt:lpstr>EcPro18CostRecurringValue</vt:lpstr>
      <vt:lpstr>EcPro18CostValue</vt:lpstr>
      <vt:lpstr>EcPro18Decided2yrsago</vt:lpstr>
      <vt:lpstr>EcPro18Decidedlastyr</vt:lpstr>
      <vt:lpstr>EcPro18New</vt:lpstr>
      <vt:lpstr>EcPro18Reasoning</vt:lpstr>
      <vt:lpstr>EcPro18Response</vt:lpstr>
      <vt:lpstr>EcPro18Show</vt:lpstr>
      <vt:lpstr>EcPro18Sort</vt:lpstr>
      <vt:lpstr>EcPro18YearSelected</vt:lpstr>
      <vt:lpstr>EcPro19</vt:lpstr>
      <vt:lpstr>EcPro19CanCancel</vt:lpstr>
      <vt:lpstr>EcPro19CostRecurringValue</vt:lpstr>
      <vt:lpstr>EcPro19CostValue</vt:lpstr>
      <vt:lpstr>EcPro19Decided2yrsago</vt:lpstr>
      <vt:lpstr>EcPro19Decidedlastyr</vt:lpstr>
      <vt:lpstr>EcPro19New</vt:lpstr>
      <vt:lpstr>EcPro19Reasoning</vt:lpstr>
      <vt:lpstr>EcPro19Response</vt:lpstr>
      <vt:lpstr>EcPro19Show</vt:lpstr>
      <vt:lpstr>EcPro19Sort</vt:lpstr>
      <vt:lpstr>EcPro19YearSelected</vt:lpstr>
      <vt:lpstr>EcPro20</vt:lpstr>
      <vt:lpstr>EcPro20CanCancel</vt:lpstr>
      <vt:lpstr>EcPro20CostRecurringValue</vt:lpstr>
      <vt:lpstr>EcPro20CostValue</vt:lpstr>
      <vt:lpstr>EcPro20Decided2yrsago</vt:lpstr>
      <vt:lpstr>EcPro20Decidedlastyr</vt:lpstr>
      <vt:lpstr>EcPro20New</vt:lpstr>
      <vt:lpstr>EcPro20Reasoning</vt:lpstr>
      <vt:lpstr>EcPro20Response</vt:lpstr>
      <vt:lpstr>EcPro20Show</vt:lpstr>
      <vt:lpstr>EcPro20Sort</vt:lpstr>
      <vt:lpstr>EcPro20YearSelected</vt:lpstr>
      <vt:lpstr>EcPro21</vt:lpstr>
      <vt:lpstr>EcPro21CanCancel</vt:lpstr>
      <vt:lpstr>EcPro21CostRecurringValue</vt:lpstr>
      <vt:lpstr>EcPro21CostValue</vt:lpstr>
      <vt:lpstr>EcPro21Decided2yrsago</vt:lpstr>
      <vt:lpstr>EcPro21Decidedlastyr</vt:lpstr>
      <vt:lpstr>EcPro21New</vt:lpstr>
      <vt:lpstr>EcPro21Reasoning</vt:lpstr>
      <vt:lpstr>EcPro21Response</vt:lpstr>
      <vt:lpstr>EcPro21Show</vt:lpstr>
      <vt:lpstr>EcPro21Sort</vt:lpstr>
      <vt:lpstr>EcPro21YearSelected</vt:lpstr>
      <vt:lpstr>EcPro22</vt:lpstr>
      <vt:lpstr>EcPro22CanCancel</vt:lpstr>
      <vt:lpstr>EcPro22CostRecurringValue</vt:lpstr>
      <vt:lpstr>EcPro22CostValue</vt:lpstr>
      <vt:lpstr>EcPro22Decided2yrsago</vt:lpstr>
      <vt:lpstr>EcPro22Decidedlastyr</vt:lpstr>
      <vt:lpstr>EcPro22New</vt:lpstr>
      <vt:lpstr>EcPro22Reasoning</vt:lpstr>
      <vt:lpstr>EcPro22Response</vt:lpstr>
      <vt:lpstr>EcPro22Show</vt:lpstr>
      <vt:lpstr>EcPro22Sort</vt:lpstr>
      <vt:lpstr>EcPro22YearSelected</vt:lpstr>
      <vt:lpstr>EcPro23</vt:lpstr>
      <vt:lpstr>EcPro23CanCancel</vt:lpstr>
      <vt:lpstr>EcPro23CostRecurringValue</vt:lpstr>
      <vt:lpstr>EcPro23CostValue</vt:lpstr>
      <vt:lpstr>EcPro23Decided2yrsago</vt:lpstr>
      <vt:lpstr>EcPro23Decidedlastyr</vt:lpstr>
      <vt:lpstr>EcPro23New</vt:lpstr>
      <vt:lpstr>EcPro23Reasoning</vt:lpstr>
      <vt:lpstr>EcPro23Response</vt:lpstr>
      <vt:lpstr>EcPro23Show</vt:lpstr>
      <vt:lpstr>EcPro23Sort</vt:lpstr>
      <vt:lpstr>EcPro23YearSelected</vt:lpstr>
      <vt:lpstr>EcPro24</vt:lpstr>
      <vt:lpstr>EcPro24CanCancel</vt:lpstr>
      <vt:lpstr>EcPro24CostRecurringValue</vt:lpstr>
      <vt:lpstr>EcPro24CostValue</vt:lpstr>
      <vt:lpstr>EcPro24Decided2yrsago</vt:lpstr>
      <vt:lpstr>EcPro24Decidedlastyr</vt:lpstr>
      <vt:lpstr>EcPro24New</vt:lpstr>
      <vt:lpstr>EcPro24Reasoning</vt:lpstr>
      <vt:lpstr>EcPro24Response</vt:lpstr>
      <vt:lpstr>EcPro24Show</vt:lpstr>
      <vt:lpstr>EcPro24Sort</vt:lpstr>
      <vt:lpstr>EcPro24YearSelected</vt:lpstr>
      <vt:lpstr>EcPro3</vt:lpstr>
      <vt:lpstr>EcPro3CanCancel</vt:lpstr>
      <vt:lpstr>EcPro3CostRecurringValue</vt:lpstr>
      <vt:lpstr>EcPro3CostValue</vt:lpstr>
      <vt:lpstr>EcPro3Decided2yrsago</vt:lpstr>
      <vt:lpstr>EcPro3Decidedlastyr</vt:lpstr>
      <vt:lpstr>EcPro3New</vt:lpstr>
      <vt:lpstr>EcPro3Reasoning</vt:lpstr>
      <vt:lpstr>EcPro3Response</vt:lpstr>
      <vt:lpstr>EcPro3Show</vt:lpstr>
      <vt:lpstr>EcPro3Sort</vt:lpstr>
      <vt:lpstr>EcPro3Type</vt:lpstr>
      <vt:lpstr>EcPro3YearSelected</vt:lpstr>
      <vt:lpstr>EcPro4</vt:lpstr>
      <vt:lpstr>EcPro4CanCancel</vt:lpstr>
      <vt:lpstr>EcPro4CostRecurringValue</vt:lpstr>
      <vt:lpstr>EcPro4CostValue</vt:lpstr>
      <vt:lpstr>EcPro4Decided2yrsago</vt:lpstr>
      <vt:lpstr>EcPro4Decidedlastyr</vt:lpstr>
      <vt:lpstr>EcPro4New</vt:lpstr>
      <vt:lpstr>EcPro4Reasoning</vt:lpstr>
      <vt:lpstr>EcPro4Response</vt:lpstr>
      <vt:lpstr>EcPro4Show</vt:lpstr>
      <vt:lpstr>EcPro4Sort</vt:lpstr>
      <vt:lpstr>EcPro4Type</vt:lpstr>
      <vt:lpstr>EcPro4YearSelected</vt:lpstr>
      <vt:lpstr>EcPro5</vt:lpstr>
      <vt:lpstr>EcPro5CanCancel</vt:lpstr>
      <vt:lpstr>EcPro5CostRecurringValue</vt:lpstr>
      <vt:lpstr>EcPro5CostValue</vt:lpstr>
      <vt:lpstr>EcPro5Decided2yrsago</vt:lpstr>
      <vt:lpstr>EcPro5Decidedlastyr</vt:lpstr>
      <vt:lpstr>EcPro5New</vt:lpstr>
      <vt:lpstr>EcPro5Reasoning</vt:lpstr>
      <vt:lpstr>EcPro5Response</vt:lpstr>
      <vt:lpstr>EcPro5Show</vt:lpstr>
      <vt:lpstr>EcPro5Sort</vt:lpstr>
      <vt:lpstr>EcPro5Type</vt:lpstr>
      <vt:lpstr>EcPro5YearSelected</vt:lpstr>
      <vt:lpstr>EcPro6</vt:lpstr>
      <vt:lpstr>EcPro6CanCancel</vt:lpstr>
      <vt:lpstr>EcPro6CostRecurringValue</vt:lpstr>
      <vt:lpstr>EcPro6CostValue</vt:lpstr>
      <vt:lpstr>EcPro6Decided2yrsago</vt:lpstr>
      <vt:lpstr>EcPro6Decidedlastyr</vt:lpstr>
      <vt:lpstr>EcPro6New</vt:lpstr>
      <vt:lpstr>EcPro6Reasoning</vt:lpstr>
      <vt:lpstr>EcPro6Response</vt:lpstr>
      <vt:lpstr>EcPro6Show</vt:lpstr>
      <vt:lpstr>EcPro6Sort</vt:lpstr>
      <vt:lpstr>EcPro6Type</vt:lpstr>
      <vt:lpstr>EcPro6YearSelected</vt:lpstr>
      <vt:lpstr>EcPro7</vt:lpstr>
      <vt:lpstr>EcPro7CanCancel</vt:lpstr>
      <vt:lpstr>EcPro7CostRecurringValue</vt:lpstr>
      <vt:lpstr>EcPro7CostValue</vt:lpstr>
      <vt:lpstr>EcPro7Decided2yrsago</vt:lpstr>
      <vt:lpstr>EcPro7Decidedlastyr</vt:lpstr>
      <vt:lpstr>EcPro7New</vt:lpstr>
      <vt:lpstr>EcPro7Reasoning</vt:lpstr>
      <vt:lpstr>EcPro7Response</vt:lpstr>
      <vt:lpstr>EcPro7Show</vt:lpstr>
      <vt:lpstr>EcPro7Sort</vt:lpstr>
      <vt:lpstr>EcPro7Type</vt:lpstr>
      <vt:lpstr>EcPro7YearSelected</vt:lpstr>
      <vt:lpstr>EcPro8</vt:lpstr>
      <vt:lpstr>EcPro8CanCancel</vt:lpstr>
      <vt:lpstr>EcPro8CostRecurringValue</vt:lpstr>
      <vt:lpstr>EcPro8CostValue</vt:lpstr>
      <vt:lpstr>EcPro8Decided2yrsago</vt:lpstr>
      <vt:lpstr>EcPro8Decidedlastyr</vt:lpstr>
      <vt:lpstr>EcPro8New</vt:lpstr>
      <vt:lpstr>EcPro8Reasoning</vt:lpstr>
      <vt:lpstr>EcPro8Response</vt:lpstr>
      <vt:lpstr>EcPro8Show</vt:lpstr>
      <vt:lpstr>EcPro8Sort</vt:lpstr>
      <vt:lpstr>EcPro8Type</vt:lpstr>
      <vt:lpstr>EcPro8YearSelected</vt:lpstr>
      <vt:lpstr>EcPro9</vt:lpstr>
      <vt:lpstr>EcPro9CanCancel</vt:lpstr>
      <vt:lpstr>EcPro9CostRecurringValue</vt:lpstr>
      <vt:lpstr>EcPro9CostValue</vt:lpstr>
      <vt:lpstr>EcPro9Decided2yrsago</vt:lpstr>
      <vt:lpstr>EcPro9Decidedlastyr</vt:lpstr>
      <vt:lpstr>EcPro9New</vt:lpstr>
      <vt:lpstr>EcPro9Reasoning</vt:lpstr>
      <vt:lpstr>EcPro9Response</vt:lpstr>
      <vt:lpstr>EcPro9Show</vt:lpstr>
      <vt:lpstr>EcPro9Sort</vt:lpstr>
      <vt:lpstr>EcPro9Type</vt:lpstr>
      <vt:lpstr>EcPro9YearSelected</vt:lpstr>
      <vt:lpstr>EcRecurringCost</vt:lpstr>
      <vt:lpstr>EcSlider1</vt:lpstr>
      <vt:lpstr>EcSlider1Cost</vt:lpstr>
      <vt:lpstr>EcSlider1LastYear</vt:lpstr>
      <vt:lpstr>EcSlider2</vt:lpstr>
      <vt:lpstr>EcSlider2Cost</vt:lpstr>
      <vt:lpstr>EcSlider2LastYear</vt:lpstr>
      <vt:lpstr>EcTotalCost</vt:lpstr>
      <vt:lpstr>EcTotalInvCost</vt:lpstr>
      <vt:lpstr>EduAvaialbleToAllocate</vt:lpstr>
      <vt:lpstr>EduBudget</vt:lpstr>
      <vt:lpstr>EduBudgetRemaining</vt:lpstr>
      <vt:lpstr>EducationScore</vt:lpstr>
      <vt:lpstr>EduConfirmed</vt:lpstr>
      <vt:lpstr>EduCumulativeRnDImpactYear</vt:lpstr>
      <vt:lpstr>EduEnabled</vt:lpstr>
      <vt:lpstr>EduInitialCost</vt:lpstr>
      <vt:lpstr>EduNextYearReucurringCost</vt:lpstr>
      <vt:lpstr>EduPro10</vt:lpstr>
      <vt:lpstr>EduPro10CanCancel</vt:lpstr>
      <vt:lpstr>EduPro10CostRecurringValue</vt:lpstr>
      <vt:lpstr>EduPro10CostValue</vt:lpstr>
      <vt:lpstr>EduPro10Decided2yrsago</vt:lpstr>
      <vt:lpstr>EduPro10Decidedlastyr</vt:lpstr>
      <vt:lpstr>EduPro10New</vt:lpstr>
      <vt:lpstr>EduPro10Reasoning</vt:lpstr>
      <vt:lpstr>EduPro10Response</vt:lpstr>
      <vt:lpstr>EduPro10Show</vt:lpstr>
      <vt:lpstr>EduPro10Sort</vt:lpstr>
      <vt:lpstr>EduPro10Type</vt:lpstr>
      <vt:lpstr>EduPro10YearSelected</vt:lpstr>
      <vt:lpstr>EduPro11</vt:lpstr>
      <vt:lpstr>EduPro11CanCancel</vt:lpstr>
      <vt:lpstr>EduPro11CostRecurringValue</vt:lpstr>
      <vt:lpstr>EduPro11CostValue</vt:lpstr>
      <vt:lpstr>EduPro11Decided2yrsago</vt:lpstr>
      <vt:lpstr>EduPro11Decidedlastyr</vt:lpstr>
      <vt:lpstr>EduPro11New</vt:lpstr>
      <vt:lpstr>EduPro11Reasoning</vt:lpstr>
      <vt:lpstr>EduPro11Response</vt:lpstr>
      <vt:lpstr>EduPro11Show</vt:lpstr>
      <vt:lpstr>EduPro11Sort</vt:lpstr>
      <vt:lpstr>EduPro11Type</vt:lpstr>
      <vt:lpstr>EduPro11YearSelected</vt:lpstr>
      <vt:lpstr>EduPro12</vt:lpstr>
      <vt:lpstr>EduPro12CanCancel</vt:lpstr>
      <vt:lpstr>EduPro12CostRecurringValue</vt:lpstr>
      <vt:lpstr>EduPro12CostValue</vt:lpstr>
      <vt:lpstr>EduPro12Decided2yrsago</vt:lpstr>
      <vt:lpstr>EduPro12Decidedlastyr</vt:lpstr>
      <vt:lpstr>EduPro12New</vt:lpstr>
      <vt:lpstr>EduPro12Reasoning</vt:lpstr>
      <vt:lpstr>EduPro12Response</vt:lpstr>
      <vt:lpstr>EduPro12Show</vt:lpstr>
      <vt:lpstr>EduPro12Sort</vt:lpstr>
      <vt:lpstr>EduPro12Type</vt:lpstr>
      <vt:lpstr>EduPro12YearSelected</vt:lpstr>
      <vt:lpstr>EduPro13</vt:lpstr>
      <vt:lpstr>EduPro13CanCancel</vt:lpstr>
      <vt:lpstr>EduPro13CostRecurringValue</vt:lpstr>
      <vt:lpstr>EduPro13CostValue</vt:lpstr>
      <vt:lpstr>EduPro13Decided2yrsago</vt:lpstr>
      <vt:lpstr>EduPro13Decidedlastyr</vt:lpstr>
      <vt:lpstr>EduPro13New</vt:lpstr>
      <vt:lpstr>EduPro13Reasoning</vt:lpstr>
      <vt:lpstr>EduPro13Response</vt:lpstr>
      <vt:lpstr>EduPro13Show</vt:lpstr>
      <vt:lpstr>EduPro13Sort</vt:lpstr>
      <vt:lpstr>EduPro13Type</vt:lpstr>
      <vt:lpstr>EduPro13YearSelected</vt:lpstr>
      <vt:lpstr>EduPro14</vt:lpstr>
      <vt:lpstr>EduPro14CanCancel</vt:lpstr>
      <vt:lpstr>EduPro14CostRecurringValue</vt:lpstr>
      <vt:lpstr>EduPro14CostValue</vt:lpstr>
      <vt:lpstr>EduPro14Decided2yrsago</vt:lpstr>
      <vt:lpstr>EduPro14Decidedlastyr</vt:lpstr>
      <vt:lpstr>EduPro14New</vt:lpstr>
      <vt:lpstr>EduPro14Reasoning</vt:lpstr>
      <vt:lpstr>EduPro14Response</vt:lpstr>
      <vt:lpstr>EduPro14Show</vt:lpstr>
      <vt:lpstr>EduPro14Sort</vt:lpstr>
      <vt:lpstr>EduPro14Type</vt:lpstr>
      <vt:lpstr>EduPro14YearSelected</vt:lpstr>
      <vt:lpstr>EduPro15</vt:lpstr>
      <vt:lpstr>EduPro15CanCancel</vt:lpstr>
      <vt:lpstr>EduPro15CostRecurringValue</vt:lpstr>
      <vt:lpstr>EduPro15CostValue</vt:lpstr>
      <vt:lpstr>EduPro15Decided2yrsago</vt:lpstr>
      <vt:lpstr>EduPro15Decidedlastyr</vt:lpstr>
      <vt:lpstr>EduPro15New</vt:lpstr>
      <vt:lpstr>EduPro15Reasoning</vt:lpstr>
      <vt:lpstr>EduPro15Response</vt:lpstr>
      <vt:lpstr>EduPro15Show</vt:lpstr>
      <vt:lpstr>EduPro15Sort</vt:lpstr>
      <vt:lpstr>EduPro15Type</vt:lpstr>
      <vt:lpstr>EduPro15YearSelected</vt:lpstr>
      <vt:lpstr>EduPro16</vt:lpstr>
      <vt:lpstr>EduPro16CanCancel</vt:lpstr>
      <vt:lpstr>EduPro16CostRecurringValue</vt:lpstr>
      <vt:lpstr>EduPro16CostValue</vt:lpstr>
      <vt:lpstr>EduPro16Decided2yrsago</vt:lpstr>
      <vt:lpstr>EduPro16Decidedlastyr</vt:lpstr>
      <vt:lpstr>EduPro16New</vt:lpstr>
      <vt:lpstr>EduPro16Reasoning</vt:lpstr>
      <vt:lpstr>EduPro16Response</vt:lpstr>
      <vt:lpstr>EduPro16Show</vt:lpstr>
      <vt:lpstr>EduPro16Sort</vt:lpstr>
      <vt:lpstr>EduPro16Type</vt:lpstr>
      <vt:lpstr>EduPro16YearSelected</vt:lpstr>
      <vt:lpstr>EduPro17</vt:lpstr>
      <vt:lpstr>EduPro17CanCancel</vt:lpstr>
      <vt:lpstr>EduPro17CostRecurringValue</vt:lpstr>
      <vt:lpstr>EduPro17CostValue</vt:lpstr>
      <vt:lpstr>EduPro17Decided2yrsago</vt:lpstr>
      <vt:lpstr>EduPro17Decidedlastyr</vt:lpstr>
      <vt:lpstr>EduPro17New</vt:lpstr>
      <vt:lpstr>EduPro17Reasoning</vt:lpstr>
      <vt:lpstr>EduPro17Response</vt:lpstr>
      <vt:lpstr>EduPro17Show</vt:lpstr>
      <vt:lpstr>EduPro17Sort</vt:lpstr>
      <vt:lpstr>EduPro17Type</vt:lpstr>
      <vt:lpstr>EduPro17YearSelected</vt:lpstr>
      <vt:lpstr>EduPro18</vt:lpstr>
      <vt:lpstr>EduPro18CanCancel</vt:lpstr>
      <vt:lpstr>EduPro18CostRecurringValue</vt:lpstr>
      <vt:lpstr>EduPro18CostValue</vt:lpstr>
      <vt:lpstr>EduPro18Decided2yrsago</vt:lpstr>
      <vt:lpstr>EduPro18Decidedlastyr</vt:lpstr>
      <vt:lpstr>EduPro18New</vt:lpstr>
      <vt:lpstr>EduPro18Reasoning</vt:lpstr>
      <vt:lpstr>EduPro18Response</vt:lpstr>
      <vt:lpstr>EduPro18Show</vt:lpstr>
      <vt:lpstr>EduPro18Sort</vt:lpstr>
      <vt:lpstr>EduPro18YearSelected</vt:lpstr>
      <vt:lpstr>EduPro19</vt:lpstr>
      <vt:lpstr>EduPro19CanCancel</vt:lpstr>
      <vt:lpstr>EduPro19CostRecurringValue</vt:lpstr>
      <vt:lpstr>EduPro19CostValue</vt:lpstr>
      <vt:lpstr>EduPro19Decided2yrsago</vt:lpstr>
      <vt:lpstr>EduPro19Decidedlastyr</vt:lpstr>
      <vt:lpstr>EduPro19New</vt:lpstr>
      <vt:lpstr>EduPro19Reasoning</vt:lpstr>
      <vt:lpstr>EduPro19Response</vt:lpstr>
      <vt:lpstr>EduPro19Show</vt:lpstr>
      <vt:lpstr>EduPro19Sort</vt:lpstr>
      <vt:lpstr>EduPro19YearSelected</vt:lpstr>
      <vt:lpstr>EduPro20</vt:lpstr>
      <vt:lpstr>EduPro20CanCancel</vt:lpstr>
      <vt:lpstr>EduPro20CostRecurringValue</vt:lpstr>
      <vt:lpstr>EduPro20CostValue</vt:lpstr>
      <vt:lpstr>EduPro20Decided2yrsago</vt:lpstr>
      <vt:lpstr>EduPro20Decidedlastyr</vt:lpstr>
      <vt:lpstr>EduPro20New</vt:lpstr>
      <vt:lpstr>EduPro20Reasoning</vt:lpstr>
      <vt:lpstr>EduPro20Response</vt:lpstr>
      <vt:lpstr>EduPro20Show</vt:lpstr>
      <vt:lpstr>EduPro20Sort</vt:lpstr>
      <vt:lpstr>EduPro20YearSelected</vt:lpstr>
      <vt:lpstr>EduPro21</vt:lpstr>
      <vt:lpstr>EduPro21CanCancel</vt:lpstr>
      <vt:lpstr>EduPro21CostRecurringValue</vt:lpstr>
      <vt:lpstr>EduPro21CostValue</vt:lpstr>
      <vt:lpstr>EduPro21Decided2yrsago</vt:lpstr>
      <vt:lpstr>EduPro21Decidedlastyr</vt:lpstr>
      <vt:lpstr>EduPro21New</vt:lpstr>
      <vt:lpstr>EduPro21Reasoning</vt:lpstr>
      <vt:lpstr>EduPro21Response</vt:lpstr>
      <vt:lpstr>EduPro21Show</vt:lpstr>
      <vt:lpstr>EduPro21Sort</vt:lpstr>
      <vt:lpstr>EduPro21YearSelected</vt:lpstr>
      <vt:lpstr>EduPro22</vt:lpstr>
      <vt:lpstr>EduPro22CanCancel</vt:lpstr>
      <vt:lpstr>EduPro22CostRecurringValue</vt:lpstr>
      <vt:lpstr>EduPro22CostValue</vt:lpstr>
      <vt:lpstr>EduPro22Decided2yrsago</vt:lpstr>
      <vt:lpstr>EduPro22Decidedlastyr</vt:lpstr>
      <vt:lpstr>EduPro22New</vt:lpstr>
      <vt:lpstr>EduPro22Reasoning</vt:lpstr>
      <vt:lpstr>EduPro22Response</vt:lpstr>
      <vt:lpstr>EduPro22Show</vt:lpstr>
      <vt:lpstr>EduPro22Sort</vt:lpstr>
      <vt:lpstr>EduPro22YearSelected</vt:lpstr>
      <vt:lpstr>EduPro23</vt:lpstr>
      <vt:lpstr>EduPro23CanCancel</vt:lpstr>
      <vt:lpstr>EduPro23CostRecurringValue</vt:lpstr>
      <vt:lpstr>EduPro23CostValue</vt:lpstr>
      <vt:lpstr>EduPro23Decided2yrsago</vt:lpstr>
      <vt:lpstr>EduPro23Decidedlastyr</vt:lpstr>
      <vt:lpstr>EduPro23New</vt:lpstr>
      <vt:lpstr>EduPro23Reasoning</vt:lpstr>
      <vt:lpstr>EduPro23Response</vt:lpstr>
      <vt:lpstr>EduPro23Show</vt:lpstr>
      <vt:lpstr>EduPro23Sort</vt:lpstr>
      <vt:lpstr>EduPro23YearSelected</vt:lpstr>
      <vt:lpstr>EduPro24</vt:lpstr>
      <vt:lpstr>EduPro24CanCancel</vt:lpstr>
      <vt:lpstr>EduPro24CostRecurringValue</vt:lpstr>
      <vt:lpstr>EduPro24CostValue</vt:lpstr>
      <vt:lpstr>EduPro24Decided2yrsago</vt:lpstr>
      <vt:lpstr>EduPro24Decidedlastyr</vt:lpstr>
      <vt:lpstr>EduPro24New</vt:lpstr>
      <vt:lpstr>EduPro24Reasoning</vt:lpstr>
      <vt:lpstr>EduPro24Response</vt:lpstr>
      <vt:lpstr>EduPro24Show</vt:lpstr>
      <vt:lpstr>EduPro24Sort</vt:lpstr>
      <vt:lpstr>EduPro24YearSelected</vt:lpstr>
      <vt:lpstr>EduPro3</vt:lpstr>
      <vt:lpstr>EduPro3CanCancel</vt:lpstr>
      <vt:lpstr>EduPro3CostRecurringValue</vt:lpstr>
      <vt:lpstr>EduPro3CostValue</vt:lpstr>
      <vt:lpstr>EduPro3Decided2yrsago</vt:lpstr>
      <vt:lpstr>EduPro3Decidedlastyr</vt:lpstr>
      <vt:lpstr>EduPro3New</vt:lpstr>
      <vt:lpstr>EduPro3Reasoning</vt:lpstr>
      <vt:lpstr>EduPro3Response</vt:lpstr>
      <vt:lpstr>EduPro3Show</vt:lpstr>
      <vt:lpstr>EduPro3Sort</vt:lpstr>
      <vt:lpstr>EduPro3Type</vt:lpstr>
      <vt:lpstr>EduPro3YearSelected</vt:lpstr>
      <vt:lpstr>EduPro4</vt:lpstr>
      <vt:lpstr>EduPro4CanCancel</vt:lpstr>
      <vt:lpstr>EduPro4CostRecurringValue</vt:lpstr>
      <vt:lpstr>EduPro4CostValue</vt:lpstr>
      <vt:lpstr>EduPro4Decided2yrsago</vt:lpstr>
      <vt:lpstr>EduPro4Decidedlastyr</vt:lpstr>
      <vt:lpstr>EduPro4New</vt:lpstr>
      <vt:lpstr>EduPro4Reasoning</vt:lpstr>
      <vt:lpstr>EduPro4Response</vt:lpstr>
      <vt:lpstr>EduPro4Show</vt:lpstr>
      <vt:lpstr>EduPro4Sort</vt:lpstr>
      <vt:lpstr>EduPro4Type</vt:lpstr>
      <vt:lpstr>EduPro4YearSelected</vt:lpstr>
      <vt:lpstr>EduPro5</vt:lpstr>
      <vt:lpstr>EduPro5CanCancel</vt:lpstr>
      <vt:lpstr>EduPro5CostRecurringValue</vt:lpstr>
      <vt:lpstr>EduPro5CostValue</vt:lpstr>
      <vt:lpstr>EduPro5Decided2yrsago</vt:lpstr>
      <vt:lpstr>EduPro5Decidedlastyr</vt:lpstr>
      <vt:lpstr>EduPro5New</vt:lpstr>
      <vt:lpstr>EduPro5Reasoning</vt:lpstr>
      <vt:lpstr>EduPro5Response</vt:lpstr>
      <vt:lpstr>EduPro5Show</vt:lpstr>
      <vt:lpstr>EduPro5Sort</vt:lpstr>
      <vt:lpstr>EduPro5Type</vt:lpstr>
      <vt:lpstr>EduPro5YearSelected</vt:lpstr>
      <vt:lpstr>EduPro6</vt:lpstr>
      <vt:lpstr>EduPro6CanCancel</vt:lpstr>
      <vt:lpstr>EduPro6CostRecurringValue</vt:lpstr>
      <vt:lpstr>EduPro6CostValue</vt:lpstr>
      <vt:lpstr>EduPro6Decided2yrsago</vt:lpstr>
      <vt:lpstr>EduPro6Decidedlastyr</vt:lpstr>
      <vt:lpstr>EduPro6New</vt:lpstr>
      <vt:lpstr>EduPro6Reasoning</vt:lpstr>
      <vt:lpstr>EduPro6Response</vt:lpstr>
      <vt:lpstr>EduPro6Show</vt:lpstr>
      <vt:lpstr>EduPro6Sort</vt:lpstr>
      <vt:lpstr>EduPro6Type</vt:lpstr>
      <vt:lpstr>EduPro6YearSelected</vt:lpstr>
      <vt:lpstr>EduPro7</vt:lpstr>
      <vt:lpstr>EduPro7CanCancel</vt:lpstr>
      <vt:lpstr>EduPro7CostRecurringValue</vt:lpstr>
      <vt:lpstr>EduPro7CostValue</vt:lpstr>
      <vt:lpstr>EduPro7Decided2yrsago</vt:lpstr>
      <vt:lpstr>EduPro7Decidedlastyr</vt:lpstr>
      <vt:lpstr>EduPro7New</vt:lpstr>
      <vt:lpstr>EduPro7Reasoning</vt:lpstr>
      <vt:lpstr>EduPro7Response</vt:lpstr>
      <vt:lpstr>EduPro7Show</vt:lpstr>
      <vt:lpstr>EduPro7Sort</vt:lpstr>
      <vt:lpstr>EduPro7Type</vt:lpstr>
      <vt:lpstr>EduPro7YearSelected</vt:lpstr>
      <vt:lpstr>EduPro8</vt:lpstr>
      <vt:lpstr>EduPro8CanCancel</vt:lpstr>
      <vt:lpstr>EduPro8CostRecurringValue</vt:lpstr>
      <vt:lpstr>EduPro8CostValue</vt:lpstr>
      <vt:lpstr>EduPro8Decided2yrsago</vt:lpstr>
      <vt:lpstr>EduPro8Decidedlastyr</vt:lpstr>
      <vt:lpstr>EduPro8New</vt:lpstr>
      <vt:lpstr>EduPro8Reasoning</vt:lpstr>
      <vt:lpstr>EduPro8Response</vt:lpstr>
      <vt:lpstr>EduPro8Show</vt:lpstr>
      <vt:lpstr>EduPro8Sort</vt:lpstr>
      <vt:lpstr>EduPro8Type</vt:lpstr>
      <vt:lpstr>EduPro8YearSelected</vt:lpstr>
      <vt:lpstr>EduPro9</vt:lpstr>
      <vt:lpstr>EduPro9CanCancel</vt:lpstr>
      <vt:lpstr>EduPro9CostRecurringValue</vt:lpstr>
      <vt:lpstr>EduPro9CostValue</vt:lpstr>
      <vt:lpstr>EduPro9Decided2yrsago</vt:lpstr>
      <vt:lpstr>EduPro9Decidedlastyr</vt:lpstr>
      <vt:lpstr>EduPro9New</vt:lpstr>
      <vt:lpstr>EduPro9Reasoning</vt:lpstr>
      <vt:lpstr>EduPro9Response</vt:lpstr>
      <vt:lpstr>EduPro9Show</vt:lpstr>
      <vt:lpstr>EduPro9Sort</vt:lpstr>
      <vt:lpstr>EduPro9Type</vt:lpstr>
      <vt:lpstr>EduPro9YearSelected</vt:lpstr>
      <vt:lpstr>EduRecurringCost</vt:lpstr>
      <vt:lpstr>EduSlider1</vt:lpstr>
      <vt:lpstr>EduSlider1Cost</vt:lpstr>
      <vt:lpstr>EduSlider1LastYear</vt:lpstr>
      <vt:lpstr>EduSlider2</vt:lpstr>
      <vt:lpstr>EduSlider2Cost</vt:lpstr>
      <vt:lpstr>EduSlider2LastYear</vt:lpstr>
      <vt:lpstr>EduTotalCost</vt:lpstr>
      <vt:lpstr>EnergyConsumedFromDataCenters</vt:lpstr>
      <vt:lpstr>EnvAvaialbleToAllocate</vt:lpstr>
      <vt:lpstr>EnvBudget</vt:lpstr>
      <vt:lpstr>EnvBudgetRemaining</vt:lpstr>
      <vt:lpstr>EnvConfirmed</vt:lpstr>
      <vt:lpstr>EnvCumulativeRnDImpactYear</vt:lpstr>
      <vt:lpstr>EnvEnabled</vt:lpstr>
      <vt:lpstr>EnvInitialCost</vt:lpstr>
      <vt:lpstr>EnvironmentScore</vt:lpstr>
      <vt:lpstr>EnvNextYearReucurringCost</vt:lpstr>
      <vt:lpstr>EnvPro10</vt:lpstr>
      <vt:lpstr>EnvPro10CanCancel</vt:lpstr>
      <vt:lpstr>EnvPro10CostRecurringValue</vt:lpstr>
      <vt:lpstr>EnvPro10CostValue</vt:lpstr>
      <vt:lpstr>EnvPro10Decided2yrsago</vt:lpstr>
      <vt:lpstr>EnvPro10Decidedlastyr</vt:lpstr>
      <vt:lpstr>EnvPro10New</vt:lpstr>
      <vt:lpstr>EnvPro10Reasoning</vt:lpstr>
      <vt:lpstr>EnvPro10Response</vt:lpstr>
      <vt:lpstr>EnvPro10Show</vt:lpstr>
      <vt:lpstr>EnvPro10Sort</vt:lpstr>
      <vt:lpstr>EnvPro10Type</vt:lpstr>
      <vt:lpstr>EnvPro10YearSelected</vt:lpstr>
      <vt:lpstr>EnvPro11</vt:lpstr>
      <vt:lpstr>EnvPro11CanCancel</vt:lpstr>
      <vt:lpstr>EnvPro11CostRecurringValue</vt:lpstr>
      <vt:lpstr>EnvPro11CostValue</vt:lpstr>
      <vt:lpstr>EnvPro11Decided2yrsago</vt:lpstr>
      <vt:lpstr>EnvPro11Decidedlastyr</vt:lpstr>
      <vt:lpstr>EnvPro11New</vt:lpstr>
      <vt:lpstr>EnvPro11Reasoning</vt:lpstr>
      <vt:lpstr>EnvPro11Response</vt:lpstr>
      <vt:lpstr>EnvPro11Show</vt:lpstr>
      <vt:lpstr>EnvPro11Sort</vt:lpstr>
      <vt:lpstr>EnvPro11Type</vt:lpstr>
      <vt:lpstr>EnvPro11YearSelected</vt:lpstr>
      <vt:lpstr>EnvPro12</vt:lpstr>
      <vt:lpstr>EnvPro12CanCancel</vt:lpstr>
      <vt:lpstr>EnvPro12CostRecurringValue</vt:lpstr>
      <vt:lpstr>EnvPro12CostValue</vt:lpstr>
      <vt:lpstr>EnvPro12Decided2yrsago</vt:lpstr>
      <vt:lpstr>EnvPro12Decidedlastyr</vt:lpstr>
      <vt:lpstr>EnvPro12New</vt:lpstr>
      <vt:lpstr>EnvPro12Reasoning</vt:lpstr>
      <vt:lpstr>EnvPro12Response</vt:lpstr>
      <vt:lpstr>EnvPro12Show</vt:lpstr>
      <vt:lpstr>EnvPro12Sort</vt:lpstr>
      <vt:lpstr>EnvPro12Type</vt:lpstr>
      <vt:lpstr>EnvPro12YearSelected</vt:lpstr>
      <vt:lpstr>EnvPro13</vt:lpstr>
      <vt:lpstr>EnvPro13CanCancel</vt:lpstr>
      <vt:lpstr>EnvPro13CostRecurringValue</vt:lpstr>
      <vt:lpstr>EnvPro13CostValue</vt:lpstr>
      <vt:lpstr>EnvPro13Decided2yrsago</vt:lpstr>
      <vt:lpstr>EnvPro13Decidedlastyr</vt:lpstr>
      <vt:lpstr>EnvPro13New</vt:lpstr>
      <vt:lpstr>EnvPro13Reasoning</vt:lpstr>
      <vt:lpstr>EnvPro13Response</vt:lpstr>
      <vt:lpstr>EnvPro13Show</vt:lpstr>
      <vt:lpstr>EnvPro13Sort</vt:lpstr>
      <vt:lpstr>EnvPro13Type</vt:lpstr>
      <vt:lpstr>EnvPro13YearSelected</vt:lpstr>
      <vt:lpstr>EnvPro14</vt:lpstr>
      <vt:lpstr>EnvPro14CanCancel</vt:lpstr>
      <vt:lpstr>EnvPro14CostRecurringValue</vt:lpstr>
      <vt:lpstr>EnvPro14CostValue</vt:lpstr>
      <vt:lpstr>EnvPro14Decided2yrsago</vt:lpstr>
      <vt:lpstr>EnvPro14Decidedlastyr</vt:lpstr>
      <vt:lpstr>EnvPro14New</vt:lpstr>
      <vt:lpstr>EnvPro14Reasoning</vt:lpstr>
      <vt:lpstr>EnvPro14Response</vt:lpstr>
      <vt:lpstr>EnvPro14Show</vt:lpstr>
      <vt:lpstr>EnvPro14Sort</vt:lpstr>
      <vt:lpstr>EnvPro14Type</vt:lpstr>
      <vt:lpstr>EnvPro14YearSelected</vt:lpstr>
      <vt:lpstr>EnvPro15</vt:lpstr>
      <vt:lpstr>EnvPro15CanCancel</vt:lpstr>
      <vt:lpstr>EnvPro15CostRecurringValue</vt:lpstr>
      <vt:lpstr>EnvPro15CostValue</vt:lpstr>
      <vt:lpstr>EnvPro15Decided2yrsago</vt:lpstr>
      <vt:lpstr>EnvPro15Decidedlastyr</vt:lpstr>
      <vt:lpstr>EnvPro15New</vt:lpstr>
      <vt:lpstr>EnvPro15Reasoning</vt:lpstr>
      <vt:lpstr>EnvPro15Response</vt:lpstr>
      <vt:lpstr>EnvPro15Show</vt:lpstr>
      <vt:lpstr>EnvPro15Sort</vt:lpstr>
      <vt:lpstr>EnvPro15Type</vt:lpstr>
      <vt:lpstr>EnvPro15YearSelected</vt:lpstr>
      <vt:lpstr>EnvPro16</vt:lpstr>
      <vt:lpstr>EnvPro16CanCancel</vt:lpstr>
      <vt:lpstr>EnvPro16CostRecurringValue</vt:lpstr>
      <vt:lpstr>EnvPro16CostValue</vt:lpstr>
      <vt:lpstr>EnvPro16Decided2yrsago</vt:lpstr>
      <vt:lpstr>EnvPro16Decidedlastyr</vt:lpstr>
      <vt:lpstr>EnvPro16New</vt:lpstr>
      <vt:lpstr>EnvPro16Reasoning</vt:lpstr>
      <vt:lpstr>EnvPro16Response</vt:lpstr>
      <vt:lpstr>EnvPro16Show</vt:lpstr>
      <vt:lpstr>EnvPro16Sort</vt:lpstr>
      <vt:lpstr>EnvPro16Type</vt:lpstr>
      <vt:lpstr>EnvPro16YearSelected</vt:lpstr>
      <vt:lpstr>EnvPro17</vt:lpstr>
      <vt:lpstr>EnvPro17CanCancel</vt:lpstr>
      <vt:lpstr>EnvPro17CostRecurringValue</vt:lpstr>
      <vt:lpstr>EnvPro17CostValue</vt:lpstr>
      <vt:lpstr>EnvPro17Decided2yrsago</vt:lpstr>
      <vt:lpstr>EnvPro17Decidedlastyr</vt:lpstr>
      <vt:lpstr>EnvPro17New</vt:lpstr>
      <vt:lpstr>EnvPro17Reasoning</vt:lpstr>
      <vt:lpstr>EnvPro17Response</vt:lpstr>
      <vt:lpstr>EnvPro17Show</vt:lpstr>
      <vt:lpstr>EnvPro17Sort</vt:lpstr>
      <vt:lpstr>EnvPro17Type</vt:lpstr>
      <vt:lpstr>EnvPro17YearSelected</vt:lpstr>
      <vt:lpstr>EnvPro18</vt:lpstr>
      <vt:lpstr>EnvPro18CanCancel</vt:lpstr>
      <vt:lpstr>EnvPro18CostRecurringValue</vt:lpstr>
      <vt:lpstr>EnvPro18CostValue</vt:lpstr>
      <vt:lpstr>EnvPro18Decided2yrsago</vt:lpstr>
      <vt:lpstr>EnvPro18Decidedlastyr</vt:lpstr>
      <vt:lpstr>EnvPro18New</vt:lpstr>
      <vt:lpstr>EnvPro18Reasoning</vt:lpstr>
      <vt:lpstr>EnvPro18Response</vt:lpstr>
      <vt:lpstr>EnvPro18Show</vt:lpstr>
      <vt:lpstr>EnvPro18Sort</vt:lpstr>
      <vt:lpstr>EnvPro18YearSelected</vt:lpstr>
      <vt:lpstr>EnvPro19</vt:lpstr>
      <vt:lpstr>EnvPro19CanCancel</vt:lpstr>
      <vt:lpstr>EnvPro19CostRecurringValue</vt:lpstr>
      <vt:lpstr>EnvPro19CostValue</vt:lpstr>
      <vt:lpstr>EnvPro19Decided2yrsago</vt:lpstr>
      <vt:lpstr>EnvPro19Decidedlastyr</vt:lpstr>
      <vt:lpstr>EnvPro19New</vt:lpstr>
      <vt:lpstr>EnvPro19Reasoning</vt:lpstr>
      <vt:lpstr>EnvPro19Response</vt:lpstr>
      <vt:lpstr>EnvPro19Show</vt:lpstr>
      <vt:lpstr>EnvPro19Sort</vt:lpstr>
      <vt:lpstr>EnvPro19YearSelected</vt:lpstr>
      <vt:lpstr>EnvPro20</vt:lpstr>
      <vt:lpstr>EnvPro20CanCancel</vt:lpstr>
      <vt:lpstr>EnvPro20CostRecurringValue</vt:lpstr>
      <vt:lpstr>EnvPro20CostValue</vt:lpstr>
      <vt:lpstr>EnvPro20Decided2yrsago</vt:lpstr>
      <vt:lpstr>EnvPro20Decidedlastyr</vt:lpstr>
      <vt:lpstr>EnvPro20New</vt:lpstr>
      <vt:lpstr>EnvPro20Reasoning</vt:lpstr>
      <vt:lpstr>EnvPro20Response</vt:lpstr>
      <vt:lpstr>EnvPro20Show</vt:lpstr>
      <vt:lpstr>EnvPro20Sort</vt:lpstr>
      <vt:lpstr>EnvPro20YearSelected</vt:lpstr>
      <vt:lpstr>EnvPro21</vt:lpstr>
      <vt:lpstr>EnvPro21CanCancel</vt:lpstr>
      <vt:lpstr>EnvPro21CostRecurringValue</vt:lpstr>
      <vt:lpstr>EnvPro21CostValue</vt:lpstr>
      <vt:lpstr>EnvPro21Decided2yrsago</vt:lpstr>
      <vt:lpstr>EnvPro21Decidedlastyr</vt:lpstr>
      <vt:lpstr>EnvPro21New</vt:lpstr>
      <vt:lpstr>EnvPro21Reasoning</vt:lpstr>
      <vt:lpstr>EnvPro21Response</vt:lpstr>
      <vt:lpstr>EnvPro21Show</vt:lpstr>
      <vt:lpstr>EnvPro21Sort</vt:lpstr>
      <vt:lpstr>EnvPro21YearSelected</vt:lpstr>
      <vt:lpstr>EnvPro22</vt:lpstr>
      <vt:lpstr>EnvPro22CanCancel</vt:lpstr>
      <vt:lpstr>EnvPro22CostRecurringValue</vt:lpstr>
      <vt:lpstr>EnvPro22CostValue</vt:lpstr>
      <vt:lpstr>EnvPro22Decided2yrsago</vt:lpstr>
      <vt:lpstr>EnvPro22Decidedlastyr</vt:lpstr>
      <vt:lpstr>EnvPro22New</vt:lpstr>
      <vt:lpstr>EnvPro22Reasoning</vt:lpstr>
      <vt:lpstr>EnvPro22Response</vt:lpstr>
      <vt:lpstr>EnvPro22Show</vt:lpstr>
      <vt:lpstr>EnvPro22Sort</vt:lpstr>
      <vt:lpstr>EnvPro22YearSelected</vt:lpstr>
      <vt:lpstr>EnvPro23</vt:lpstr>
      <vt:lpstr>EnvPro23CanCancel</vt:lpstr>
      <vt:lpstr>EnvPro23CostRecurringValue</vt:lpstr>
      <vt:lpstr>EnvPro23CostValue</vt:lpstr>
      <vt:lpstr>EnvPro23Decided2yrsago</vt:lpstr>
      <vt:lpstr>EnvPro23Decidedlastyr</vt:lpstr>
      <vt:lpstr>EnvPro23New</vt:lpstr>
      <vt:lpstr>EnvPro23Reasoning</vt:lpstr>
      <vt:lpstr>EnvPro23Response</vt:lpstr>
      <vt:lpstr>EnvPro23Show</vt:lpstr>
      <vt:lpstr>EnvPro23Sort</vt:lpstr>
      <vt:lpstr>EnvPro23YearSelected</vt:lpstr>
      <vt:lpstr>EnvPro24</vt:lpstr>
      <vt:lpstr>EnvPro24CanCancel</vt:lpstr>
      <vt:lpstr>EnvPro24CostRecurringValue</vt:lpstr>
      <vt:lpstr>EnvPro24CostValue</vt:lpstr>
      <vt:lpstr>EnvPro24Decided2yrsago</vt:lpstr>
      <vt:lpstr>EnvPro24Decidedlastyr</vt:lpstr>
      <vt:lpstr>EnvPro24New</vt:lpstr>
      <vt:lpstr>EnvPro24Reasoning</vt:lpstr>
      <vt:lpstr>EnvPro24Response</vt:lpstr>
      <vt:lpstr>EnvPro24Show</vt:lpstr>
      <vt:lpstr>EnvPro24Sort</vt:lpstr>
      <vt:lpstr>EnvPro24Type</vt:lpstr>
      <vt:lpstr>EnvPro24YearSelected</vt:lpstr>
      <vt:lpstr>EnvPro3</vt:lpstr>
      <vt:lpstr>EnvPro3CanCancel</vt:lpstr>
      <vt:lpstr>EnvPro3CostRecurringValue</vt:lpstr>
      <vt:lpstr>EnvPro3CostValue</vt:lpstr>
      <vt:lpstr>EnvPro3Decided2yrsago</vt:lpstr>
      <vt:lpstr>EnvPro3Decidedlastyr</vt:lpstr>
      <vt:lpstr>EnvPro3New</vt:lpstr>
      <vt:lpstr>EnvPro3Reasoning</vt:lpstr>
      <vt:lpstr>EnvPro3Response</vt:lpstr>
      <vt:lpstr>EnvPro3Show</vt:lpstr>
      <vt:lpstr>EnvPro3Sort</vt:lpstr>
      <vt:lpstr>EnvPro3Type</vt:lpstr>
      <vt:lpstr>EnvPro3YearSelected</vt:lpstr>
      <vt:lpstr>EnvPro4</vt:lpstr>
      <vt:lpstr>EnvPro4CanCancel</vt:lpstr>
      <vt:lpstr>EnvPro4CostRecurringValue</vt:lpstr>
      <vt:lpstr>EnvPro4CostValue</vt:lpstr>
      <vt:lpstr>EnvPro4Decided2yrsago</vt:lpstr>
      <vt:lpstr>EnvPro4Decidedlastyr</vt:lpstr>
      <vt:lpstr>EnvPro4New</vt:lpstr>
      <vt:lpstr>EnvPro4Reasoning</vt:lpstr>
      <vt:lpstr>EnvPro4Response</vt:lpstr>
      <vt:lpstr>EnvPro4Show</vt:lpstr>
      <vt:lpstr>EnvPro4Sort</vt:lpstr>
      <vt:lpstr>EnvPro4Type</vt:lpstr>
      <vt:lpstr>EnvPro4YearSelected</vt:lpstr>
      <vt:lpstr>EnvPro5</vt:lpstr>
      <vt:lpstr>EnvPro5CanCancel</vt:lpstr>
      <vt:lpstr>EnvPro5CostRecurringValue</vt:lpstr>
      <vt:lpstr>EnvPro5CostValue</vt:lpstr>
      <vt:lpstr>EnvPro5Decided2yrsago</vt:lpstr>
      <vt:lpstr>EnvPro5Decidedlastyr</vt:lpstr>
      <vt:lpstr>EnvPro5New</vt:lpstr>
      <vt:lpstr>EnvPro5Reasoning</vt:lpstr>
      <vt:lpstr>EnvPro5Response</vt:lpstr>
      <vt:lpstr>EnvPro5Show</vt:lpstr>
      <vt:lpstr>EnvPro5Sort</vt:lpstr>
      <vt:lpstr>EnvPro5Type</vt:lpstr>
      <vt:lpstr>EnvPro5YearSelected</vt:lpstr>
      <vt:lpstr>EnvPro6</vt:lpstr>
      <vt:lpstr>EnvPro6CanCancel</vt:lpstr>
      <vt:lpstr>EnvPro6CostRecurringValue</vt:lpstr>
      <vt:lpstr>EnvPro6CostValue</vt:lpstr>
      <vt:lpstr>EnvPro6Decided2yrsago</vt:lpstr>
      <vt:lpstr>EnvPro6Decidedlastyr</vt:lpstr>
      <vt:lpstr>EnvPro6New</vt:lpstr>
      <vt:lpstr>EnvPro6Reasoning</vt:lpstr>
      <vt:lpstr>EnvPro6Response</vt:lpstr>
      <vt:lpstr>EnvPro6Show</vt:lpstr>
      <vt:lpstr>EnvPro6Sort</vt:lpstr>
      <vt:lpstr>EnvPro6Type</vt:lpstr>
      <vt:lpstr>EnvPro6YearSelected</vt:lpstr>
      <vt:lpstr>EnvPro7</vt:lpstr>
      <vt:lpstr>EnvPro7CanCancel</vt:lpstr>
      <vt:lpstr>EnvPro7CostRecurringValue</vt:lpstr>
      <vt:lpstr>EnvPro7CostValue</vt:lpstr>
      <vt:lpstr>EnvPro7Decided2yrsago</vt:lpstr>
      <vt:lpstr>EnvPro7Decidedlastyr</vt:lpstr>
      <vt:lpstr>EnvPro7New</vt:lpstr>
      <vt:lpstr>EnvPro7Reasoning</vt:lpstr>
      <vt:lpstr>EnvPro7Response</vt:lpstr>
      <vt:lpstr>EnvPro7Show</vt:lpstr>
      <vt:lpstr>EnvPro7Sort</vt:lpstr>
      <vt:lpstr>EnvPro7Type</vt:lpstr>
      <vt:lpstr>EnvPro7YearSelected</vt:lpstr>
      <vt:lpstr>EnvPro8</vt:lpstr>
      <vt:lpstr>EnvPro8CanCancel</vt:lpstr>
      <vt:lpstr>EnvPro8CostRecurringValue</vt:lpstr>
      <vt:lpstr>EnvPro8CostValue</vt:lpstr>
      <vt:lpstr>EnvPro8Decided2yrsago</vt:lpstr>
      <vt:lpstr>EnvPro8Decidedlastyr</vt:lpstr>
      <vt:lpstr>EnvPro8New</vt:lpstr>
      <vt:lpstr>EnvPro8Reasoning</vt:lpstr>
      <vt:lpstr>EnvPro8Response</vt:lpstr>
      <vt:lpstr>EnvPro8Show</vt:lpstr>
      <vt:lpstr>EnvPro8Sort</vt:lpstr>
      <vt:lpstr>EnvPro8Type</vt:lpstr>
      <vt:lpstr>EnvPro8YearSelected</vt:lpstr>
      <vt:lpstr>EnvPro9</vt:lpstr>
      <vt:lpstr>EnvPro9CanCancel</vt:lpstr>
      <vt:lpstr>EnvPro9CostRecurringValue</vt:lpstr>
      <vt:lpstr>EnvPro9CostValue</vt:lpstr>
      <vt:lpstr>EnvPro9Decided2yrsago</vt:lpstr>
      <vt:lpstr>EnvPro9Decidedlastyr</vt:lpstr>
      <vt:lpstr>EnvPro9New</vt:lpstr>
      <vt:lpstr>EnvPro9Reasoning</vt:lpstr>
      <vt:lpstr>EnvPro9Response</vt:lpstr>
      <vt:lpstr>EnvPro9Show</vt:lpstr>
      <vt:lpstr>EnvPro9Sort</vt:lpstr>
      <vt:lpstr>EnvPro9Type</vt:lpstr>
      <vt:lpstr>EnvPro9YearSelected</vt:lpstr>
      <vt:lpstr>EnvRecurringCost</vt:lpstr>
      <vt:lpstr>EnvSlider1</vt:lpstr>
      <vt:lpstr>EnvSlider1Cost</vt:lpstr>
      <vt:lpstr>EnvSlider1LastYear</vt:lpstr>
      <vt:lpstr>EnvSlider2</vt:lpstr>
      <vt:lpstr>EnvSlider2Cost</vt:lpstr>
      <vt:lpstr>EnvSlider2LastYear</vt:lpstr>
      <vt:lpstr>EnvTotalCost</vt:lpstr>
      <vt:lpstr>EwasteCircularityIndex</vt:lpstr>
      <vt:lpstr>F_AIContributionToGDPTarget</vt:lpstr>
      <vt:lpstr>F_AIFDIStockTarget</vt:lpstr>
      <vt:lpstr>F_AILiteracyTarget</vt:lpstr>
      <vt:lpstr>F_AutonomousSystemsSafteyIndexTarget</vt:lpstr>
      <vt:lpstr>F_CircularityIndexTarget</vt:lpstr>
      <vt:lpstr>F_CybersecurityIndexTarget</vt:lpstr>
      <vt:lpstr>F_EcosystemIntegrityIndexTarget</vt:lpstr>
      <vt:lpstr>F_InnovationIndexTarget</vt:lpstr>
      <vt:lpstr>F_InstitutionalAdoptionRateTarget</vt:lpstr>
      <vt:lpstr>F_MilitaryTechnologyTradeBalanceTarget</vt:lpstr>
      <vt:lpstr>F_NetJobsFromAITarget</vt:lpstr>
      <vt:lpstr>F_RenewableEnergyFactorTarget</vt:lpstr>
      <vt:lpstr>FacAllowMinistryChoice</vt:lpstr>
      <vt:lpstr>FacDefEnabled</vt:lpstr>
      <vt:lpstr>FacEcEnabled</vt:lpstr>
      <vt:lpstr>FacEduEnabled</vt:lpstr>
      <vt:lpstr>FacEnvEnabled</vt:lpstr>
      <vt:lpstr>FacilSetsTargets</vt:lpstr>
      <vt:lpstr>GameOver</vt:lpstr>
      <vt:lpstr>GrowthWB</vt:lpstr>
      <vt:lpstr>GrowthWellBeing</vt:lpstr>
      <vt:lpstr>HumanRights</vt:lpstr>
      <vt:lpstr>InnovationIndex</vt:lpstr>
      <vt:lpstr>InnovationIndexPercOfTargetAchieved</vt:lpstr>
      <vt:lpstr>InnovationIndexTarget</vt:lpstr>
      <vt:lpstr>InstitutionalAdoptionRate</vt:lpstr>
      <vt:lpstr>InstitutionalAdoptionRatePercOfTargetAchieved</vt:lpstr>
      <vt:lpstr>InstitutionalAdoptionRateTarget</vt:lpstr>
      <vt:lpstr>IsMultiplayer</vt:lpstr>
      <vt:lpstr>JobsCreated</vt:lpstr>
      <vt:lpstr>JobsDisplaced</vt:lpstr>
      <vt:lpstr>MilitaryTechnologyTradeBalance</vt:lpstr>
      <vt:lpstr>MilitaryTechnologyTradeBalancePercOfTargetAchieved</vt:lpstr>
      <vt:lpstr>MilitaryTechnologyTradeBalanceTarget</vt:lpstr>
      <vt:lpstr>MinistriesConfirmed</vt:lpstr>
      <vt:lpstr>ModelKitID</vt:lpstr>
      <vt:lpstr>NetJobsFromAI</vt:lpstr>
      <vt:lpstr>NetJobsFromAIPercOfTargetAchieved</vt:lpstr>
      <vt:lpstr>NetJobsFromAITarget</vt:lpstr>
      <vt:lpstr>News1</vt:lpstr>
      <vt:lpstr>News1Enabled</vt:lpstr>
      <vt:lpstr>News1Show</vt:lpstr>
      <vt:lpstr>News1Year</vt:lpstr>
      <vt:lpstr>News2</vt:lpstr>
      <vt:lpstr>News2Enabled</vt:lpstr>
      <vt:lpstr>News2Show</vt:lpstr>
      <vt:lpstr>News2Year</vt:lpstr>
      <vt:lpstr>News3</vt:lpstr>
      <vt:lpstr>News3Enabled</vt:lpstr>
      <vt:lpstr>News3Show</vt:lpstr>
      <vt:lpstr>News3Year</vt:lpstr>
      <vt:lpstr>News4</vt:lpstr>
      <vt:lpstr>News4Enabled</vt:lpstr>
      <vt:lpstr>News4Show</vt:lpstr>
      <vt:lpstr>News4Year</vt:lpstr>
      <vt:lpstr>News5</vt:lpstr>
      <vt:lpstr>News5Enabled</vt:lpstr>
      <vt:lpstr>News5Show</vt:lpstr>
      <vt:lpstr>News5Year</vt:lpstr>
      <vt:lpstr>News6</vt:lpstr>
      <vt:lpstr>News6Enabled</vt:lpstr>
      <vt:lpstr>News6Show</vt:lpstr>
      <vt:lpstr>News6Year</vt:lpstr>
      <vt:lpstr>NumTargetsAlmostMet</vt:lpstr>
      <vt:lpstr>NumTargetsMet</vt:lpstr>
      <vt:lpstr>NumTargetsNotMet</vt:lpstr>
      <vt:lpstr>NumYears</vt:lpstr>
      <vt:lpstr>Op1_</vt:lpstr>
      <vt:lpstr>Op1Selected</vt:lpstr>
      <vt:lpstr>Op1Year</vt:lpstr>
      <vt:lpstr>Op2_</vt:lpstr>
      <vt:lpstr>Op2Selected</vt:lpstr>
      <vt:lpstr>Op2Year</vt:lpstr>
      <vt:lpstr>Op3_</vt:lpstr>
      <vt:lpstr>Op3Selected</vt:lpstr>
      <vt:lpstr>Op3Year</vt:lpstr>
      <vt:lpstr>Op4_</vt:lpstr>
      <vt:lpstr>Op4Selected</vt:lpstr>
      <vt:lpstr>Op4Year</vt:lpstr>
      <vt:lpstr>Op5_</vt:lpstr>
      <vt:lpstr>Op5Selected</vt:lpstr>
      <vt:lpstr>Op5Year</vt:lpstr>
      <vt:lpstr>Op6_</vt:lpstr>
      <vt:lpstr>Op6Selected</vt:lpstr>
      <vt:lpstr>Op6Year</vt:lpstr>
      <vt:lpstr>PrivacyDataProtection</vt:lpstr>
      <vt:lpstr>PrivacyDP</vt:lpstr>
      <vt:lpstr>ReadVault</vt:lpstr>
      <vt:lpstr>RenewableEnergyFactor</vt:lpstr>
      <vt:lpstr>RenewableEnergyFactorPercOfTargetAchieved</vt:lpstr>
      <vt:lpstr>RenewableEnergyFactorTarget</vt:lpstr>
      <vt:lpstr>RolesConfirmed</vt:lpstr>
      <vt:lpstr>RoleUser0</vt:lpstr>
      <vt:lpstr>RoleUser0Value1Position</vt:lpstr>
      <vt:lpstr>RoleUser0Value2Position</vt:lpstr>
      <vt:lpstr>RoleUser0Value3Position</vt:lpstr>
      <vt:lpstr>RoleUser0Value4Position</vt:lpstr>
      <vt:lpstr>RoleUser0Value5Position</vt:lpstr>
      <vt:lpstr>RoleUser0Value6Position</vt:lpstr>
      <vt:lpstr>RoleUser0ValuesConfirmed</vt:lpstr>
      <vt:lpstr>RoleUser1</vt:lpstr>
      <vt:lpstr>RoleUser1Value1Position</vt:lpstr>
      <vt:lpstr>RoleUser1Value2Position</vt:lpstr>
      <vt:lpstr>RoleUser1Value3Position</vt:lpstr>
      <vt:lpstr>RoleUser1Value4Position</vt:lpstr>
      <vt:lpstr>RoleUser1Value5Position</vt:lpstr>
      <vt:lpstr>RoleUser1Value6Position</vt:lpstr>
      <vt:lpstr>RoleUser1ValuesConfirmed</vt:lpstr>
      <vt:lpstr>RoleUser2</vt:lpstr>
      <vt:lpstr>RoleUser2Value1Position</vt:lpstr>
      <vt:lpstr>RoleUser2Value2Position</vt:lpstr>
      <vt:lpstr>RoleUser2Value3Position</vt:lpstr>
      <vt:lpstr>RoleUser2Value4Position</vt:lpstr>
      <vt:lpstr>RoleUser2Value5Position</vt:lpstr>
      <vt:lpstr>RoleUser2Value6Position</vt:lpstr>
      <vt:lpstr>RoleUser2ValuesConfirmed</vt:lpstr>
      <vt:lpstr>RoleUser3</vt:lpstr>
      <vt:lpstr>RoleUser3Value1Position</vt:lpstr>
      <vt:lpstr>RoleUser3Value2Position</vt:lpstr>
      <vt:lpstr>RoleUser3Value3Position</vt:lpstr>
      <vt:lpstr>RoleUser3Value4Position</vt:lpstr>
      <vt:lpstr>RoleUser3Value5Position</vt:lpstr>
      <vt:lpstr>RoleUser3Value6Position</vt:lpstr>
      <vt:lpstr>RoleUser3ValuesConfirmed</vt:lpstr>
      <vt:lpstr>RoleUser4</vt:lpstr>
      <vt:lpstr>RoleUser4Value1Position</vt:lpstr>
      <vt:lpstr>RoleUser4Value2Position</vt:lpstr>
      <vt:lpstr>RoleUser4Value3Position</vt:lpstr>
      <vt:lpstr>RoleUser4Value4Position</vt:lpstr>
      <vt:lpstr>RoleUser4Value5Position</vt:lpstr>
      <vt:lpstr>RoleUser4Value6Position</vt:lpstr>
      <vt:lpstr>RoleUser4ValuesConfirmed</vt:lpstr>
      <vt:lpstr>SecuritySafety</vt:lpstr>
      <vt:lpstr>settingsID</vt:lpstr>
      <vt:lpstr>SliderCosts</vt:lpstr>
      <vt:lpstr>SliderReasoningEnabled</vt:lpstr>
      <vt:lpstr>Step</vt:lpstr>
      <vt:lpstr>TeamName</vt:lpstr>
      <vt:lpstr>Time</vt:lpstr>
      <vt:lpstr>Transparency</vt:lpstr>
      <vt:lpstr>TrustInGovernment</vt:lpstr>
      <vt:lpstr>Value1Position</vt:lpstr>
      <vt:lpstr>Value2Position</vt:lpstr>
      <vt:lpstr>Value3Position</vt:lpstr>
      <vt:lpstr>Value4Position</vt:lpstr>
      <vt:lpstr>Value5Position</vt:lpstr>
      <vt:lpstr>Value6Position</vt:lpstr>
      <vt:lpstr>ValuesConfirmed</vt:lpstr>
      <vt:lpstr>WaterCircularityIndex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Rogmans</dc:creator>
  <cp:lastModifiedBy>Roy Ghandour</cp:lastModifiedBy>
  <cp:lastPrinted>2025-09-26T08:56:15Z</cp:lastPrinted>
  <dcterms:created xsi:type="dcterms:W3CDTF">2025-05-02T09:06:27Z</dcterms:created>
  <dcterms:modified xsi:type="dcterms:W3CDTF">2026-09-13T10:38:15Z</dcterms:modified>
</cp:coreProperties>
</file>